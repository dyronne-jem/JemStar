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kcuboard.sharepoint.com/sites/BudgetTeam/Shared Documents/General/2026 Budget/FINAL/"/>
    </mc:Choice>
  </mc:AlternateContent>
  <xr:revisionPtr revIDLastSave="56" documentId="8_{E8D1E244-9836-449B-A6A7-DCB3B9A2AA48}" xr6:coauthVersionLast="47" xr6:coauthVersionMax="47" xr10:uidLastSave="{BD99BE97-E06D-428E-B954-88ADECC08928}"/>
  <bookViews>
    <workbookView xWindow="-120" yWindow="-120" windowWidth="29040" windowHeight="15720" activeTab="6" xr2:uid="{047F56E6-B4ED-4F28-9B9E-D263312EDF0A}"/>
  </bookViews>
  <sheets>
    <sheet name="BS Lv1" sheetId="1" r:id="rId1"/>
    <sheet name="BS Lv4" sheetId="2" r:id="rId2"/>
    <sheet name="IS Lv1" sheetId="3" r:id="rId3"/>
    <sheet name="IS Lv4" sheetId="4" r:id="rId4"/>
    <sheet name="Port" sheetId="5" r:id="rId5"/>
    <sheet name="Offer" sheetId="6" r:id="rId6"/>
    <sheet name="S Ratios" sheetId="7" r:id="rId7"/>
    <sheet name="R Ratio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715" i="3" l="1"/>
  <c r="AB32" i="2"/>
  <c r="BT34" i="4"/>
  <c r="BQ713" i="3"/>
  <c r="BO713" i="3"/>
  <c r="BR713" i="3" s="1"/>
  <c r="BM713" i="3"/>
  <c r="BL713" i="3"/>
  <c r="BJ713" i="3"/>
  <c r="BI713" i="3"/>
  <c r="BK713" i="3" s="1"/>
  <c r="BG713" i="3"/>
  <c r="BE713" i="3"/>
  <c r="BD713" i="3"/>
  <c r="BF713" i="3" s="1"/>
  <c r="BB713" i="3"/>
  <c r="BA713" i="3"/>
  <c r="BO711" i="3"/>
  <c r="BR711" i="3" s="1"/>
  <c r="BM711" i="3"/>
  <c r="BL711" i="3"/>
  <c r="BI711" i="3"/>
  <c r="BK711" i="3" s="1"/>
  <c r="BD711" i="3"/>
  <c r="BG711" i="3" s="1"/>
  <c r="BB711" i="3"/>
  <c r="BA711" i="3"/>
  <c r="BQ710" i="3"/>
  <c r="BO710" i="3"/>
  <c r="BR710" i="3" s="1"/>
  <c r="BM710" i="3"/>
  <c r="BL710" i="3"/>
  <c r="BJ710" i="3"/>
  <c r="BI710" i="3"/>
  <c r="BK710" i="3" s="1"/>
  <c r="BG710" i="3"/>
  <c r="BD710" i="3"/>
  <c r="BF710" i="3" s="1"/>
  <c r="BB710" i="3"/>
  <c r="BA710" i="3"/>
  <c r="BO708" i="3"/>
  <c r="BR708" i="3" s="1"/>
  <c r="BM708" i="3"/>
  <c r="BL708" i="3"/>
  <c r="BJ708" i="3"/>
  <c r="BI708" i="3"/>
  <c r="BK708" i="3" s="1"/>
  <c r="BE708" i="3"/>
  <c r="BD708" i="3"/>
  <c r="BG708" i="3" s="1"/>
  <c r="BB708" i="3"/>
  <c r="BA708" i="3"/>
  <c r="BR706" i="3"/>
  <c r="BQ706" i="3"/>
  <c r="BO706" i="3"/>
  <c r="BM706" i="3"/>
  <c r="BL706" i="3"/>
  <c r="BJ706" i="3"/>
  <c r="BI706" i="3"/>
  <c r="BP706" i="3" s="1"/>
  <c r="BG706" i="3"/>
  <c r="BF706" i="3"/>
  <c r="BD706" i="3"/>
  <c r="BE706" i="3" s="1"/>
  <c r="BB706" i="3"/>
  <c r="BA706" i="3"/>
  <c r="BR704" i="3"/>
  <c r="BO704" i="3"/>
  <c r="BP704" i="3" s="1"/>
  <c r="BM704" i="3"/>
  <c r="BL704" i="3"/>
  <c r="BJ704" i="3"/>
  <c r="BI704" i="3"/>
  <c r="BQ704" i="3" s="1"/>
  <c r="BD704" i="3"/>
  <c r="BG704" i="3" s="1"/>
  <c r="BB704" i="3"/>
  <c r="BA704" i="3"/>
  <c r="BR702" i="3"/>
  <c r="BQ702" i="3"/>
  <c r="BP702" i="3"/>
  <c r="BO702" i="3"/>
  <c r="BM702" i="3"/>
  <c r="BL702" i="3"/>
  <c r="BJ702" i="3"/>
  <c r="BI702" i="3"/>
  <c r="BK702" i="3" s="1"/>
  <c r="BG702" i="3"/>
  <c r="BF702" i="3"/>
  <c r="BD702" i="3"/>
  <c r="BE702" i="3" s="1"/>
  <c r="BB702" i="3"/>
  <c r="BA702" i="3"/>
  <c r="BO701" i="3"/>
  <c r="BR701" i="3" s="1"/>
  <c r="BM701" i="3"/>
  <c r="BL701" i="3"/>
  <c r="BI701" i="3"/>
  <c r="BK701" i="3" s="1"/>
  <c r="BD701" i="3"/>
  <c r="BG701" i="3" s="1"/>
  <c r="BB701" i="3"/>
  <c r="BA701" i="3"/>
  <c r="BR700" i="3"/>
  <c r="BQ700" i="3"/>
  <c r="BP700" i="3"/>
  <c r="BO700" i="3"/>
  <c r="BM700" i="3"/>
  <c r="BL700" i="3"/>
  <c r="BJ700" i="3"/>
  <c r="BI700" i="3"/>
  <c r="BK700" i="3" s="1"/>
  <c r="BG700" i="3"/>
  <c r="BF700" i="3"/>
  <c r="BD700" i="3"/>
  <c r="BE700" i="3" s="1"/>
  <c r="BB700" i="3"/>
  <c r="BA700" i="3"/>
  <c r="BO699" i="3"/>
  <c r="BR699" i="3" s="1"/>
  <c r="BM699" i="3"/>
  <c r="BL699" i="3"/>
  <c r="BK699" i="3"/>
  <c r="BJ699" i="3"/>
  <c r="BI699" i="3"/>
  <c r="BD699" i="3"/>
  <c r="BG699" i="3" s="1"/>
  <c r="BA699" i="3"/>
  <c r="BB699" i="3" s="1"/>
  <c r="BQ698" i="3"/>
  <c r="BP698" i="3"/>
  <c r="BO698" i="3"/>
  <c r="BR698" i="3" s="1"/>
  <c r="BM698" i="3"/>
  <c r="BL698" i="3"/>
  <c r="BJ698" i="3"/>
  <c r="BI698" i="3"/>
  <c r="BK698" i="3" s="1"/>
  <c r="BG698" i="3"/>
  <c r="BF698" i="3"/>
  <c r="BD698" i="3"/>
  <c r="BE698" i="3" s="1"/>
  <c r="BB698" i="3"/>
  <c r="BA698" i="3"/>
  <c r="BR697" i="3"/>
  <c r="BO697" i="3"/>
  <c r="BQ697" i="3" s="1"/>
  <c r="BM697" i="3"/>
  <c r="BL697" i="3"/>
  <c r="BJ697" i="3"/>
  <c r="BI697" i="3"/>
  <c r="BP697" i="3" s="1"/>
  <c r="BF697" i="3"/>
  <c r="BD697" i="3"/>
  <c r="BG697" i="3" s="1"/>
  <c r="BA697" i="3"/>
  <c r="BB697" i="3" s="1"/>
  <c r="BO695" i="3"/>
  <c r="BR695" i="3" s="1"/>
  <c r="BM695" i="3"/>
  <c r="BL695" i="3"/>
  <c r="BI695" i="3"/>
  <c r="BJ695" i="3" s="1"/>
  <c r="BD695" i="3"/>
  <c r="BG695" i="3" s="1"/>
  <c r="BB695" i="3"/>
  <c r="BA695" i="3"/>
  <c r="BR693" i="3"/>
  <c r="BO693" i="3"/>
  <c r="BP693" i="3" s="1"/>
  <c r="BM693" i="3"/>
  <c r="BL693" i="3"/>
  <c r="BJ693" i="3"/>
  <c r="BI693" i="3"/>
  <c r="BQ693" i="3" s="1"/>
  <c r="BG693" i="3"/>
  <c r="BD693" i="3"/>
  <c r="BF693" i="3" s="1"/>
  <c r="BB693" i="3"/>
  <c r="BA693" i="3"/>
  <c r="BR692" i="3"/>
  <c r="BO692" i="3"/>
  <c r="BM692" i="3"/>
  <c r="BL692" i="3"/>
  <c r="BK692" i="3"/>
  <c r="BI692" i="3"/>
  <c r="BQ692" i="3" s="1"/>
  <c r="BG692" i="3"/>
  <c r="BD692" i="3"/>
  <c r="BE692" i="3" s="1"/>
  <c r="BA692" i="3"/>
  <c r="BF692" i="3" s="1"/>
  <c r="BQ691" i="3"/>
  <c r="BP691" i="3"/>
  <c r="BO691" i="3"/>
  <c r="BR691" i="3" s="1"/>
  <c r="BM691" i="3"/>
  <c r="BL691" i="3"/>
  <c r="BK691" i="3"/>
  <c r="BJ691" i="3"/>
  <c r="BI691" i="3"/>
  <c r="BG691" i="3"/>
  <c r="BF691" i="3"/>
  <c r="BE691" i="3"/>
  <c r="BD691" i="3"/>
  <c r="BA691" i="3"/>
  <c r="BB691" i="3" s="1"/>
  <c r="BR690" i="3"/>
  <c r="BP690" i="3"/>
  <c r="BO690" i="3"/>
  <c r="BQ690" i="3" s="1"/>
  <c r="BM690" i="3"/>
  <c r="BL690" i="3"/>
  <c r="BI690" i="3"/>
  <c r="BK690" i="3" s="1"/>
  <c r="BF690" i="3"/>
  <c r="BE690" i="3"/>
  <c r="BD690" i="3"/>
  <c r="BG690" i="3" s="1"/>
  <c r="BA690" i="3"/>
  <c r="BB690" i="3" s="1"/>
  <c r="BO689" i="3"/>
  <c r="BQ689" i="3" s="1"/>
  <c r="BM689" i="3"/>
  <c r="BL689" i="3"/>
  <c r="BI689" i="3"/>
  <c r="BK689" i="3" s="1"/>
  <c r="BG689" i="3"/>
  <c r="BE689" i="3"/>
  <c r="BD689" i="3"/>
  <c r="BF689" i="3" s="1"/>
  <c r="BB689" i="3"/>
  <c r="BA689" i="3"/>
  <c r="BR688" i="3"/>
  <c r="BQ688" i="3"/>
  <c r="BP688" i="3"/>
  <c r="BO688" i="3"/>
  <c r="BM688" i="3"/>
  <c r="BL688" i="3"/>
  <c r="BI688" i="3"/>
  <c r="BJ688" i="3" s="1"/>
  <c r="BD688" i="3"/>
  <c r="BK688" i="3" s="1"/>
  <c r="BB688" i="3"/>
  <c r="BA688" i="3"/>
  <c r="BO687" i="3"/>
  <c r="BR687" i="3" s="1"/>
  <c r="BM687" i="3"/>
  <c r="BL687" i="3"/>
  <c r="BK687" i="3"/>
  <c r="BJ687" i="3"/>
  <c r="BI687" i="3"/>
  <c r="BG687" i="3"/>
  <c r="BE687" i="3"/>
  <c r="BD687" i="3"/>
  <c r="BB687" i="3"/>
  <c r="BA687" i="3"/>
  <c r="BF687" i="3" s="1"/>
  <c r="BR686" i="3"/>
  <c r="BO686" i="3"/>
  <c r="BQ686" i="3" s="1"/>
  <c r="BM686" i="3"/>
  <c r="BL686" i="3"/>
  <c r="BK686" i="3"/>
  <c r="BI686" i="3"/>
  <c r="BD686" i="3"/>
  <c r="BJ686" i="3" s="1"/>
  <c r="BA686" i="3"/>
  <c r="BB686" i="3" s="1"/>
  <c r="BR685" i="3"/>
  <c r="BO685" i="3"/>
  <c r="BP685" i="3" s="1"/>
  <c r="BM685" i="3"/>
  <c r="BL685" i="3"/>
  <c r="BJ685" i="3"/>
  <c r="BI685" i="3"/>
  <c r="BQ685" i="3" s="1"/>
  <c r="BG685" i="3"/>
  <c r="BD685" i="3"/>
  <c r="BF685" i="3" s="1"/>
  <c r="BB685" i="3"/>
  <c r="BA685" i="3"/>
  <c r="BR684" i="3"/>
  <c r="BO684" i="3"/>
  <c r="BM684" i="3"/>
  <c r="BL684" i="3"/>
  <c r="BI684" i="3"/>
  <c r="BQ684" i="3" s="1"/>
  <c r="BG684" i="3"/>
  <c r="BD684" i="3"/>
  <c r="BE684" i="3" s="1"/>
  <c r="BA684" i="3"/>
  <c r="BF684" i="3" s="1"/>
  <c r="BQ683" i="3"/>
  <c r="BO683" i="3"/>
  <c r="BP683" i="3" s="1"/>
  <c r="BM683" i="3"/>
  <c r="BL683" i="3"/>
  <c r="BK683" i="3"/>
  <c r="BJ683" i="3"/>
  <c r="BI683" i="3"/>
  <c r="BG683" i="3"/>
  <c r="BF683" i="3"/>
  <c r="BE683" i="3"/>
  <c r="BD683" i="3"/>
  <c r="BA683" i="3"/>
  <c r="BB683" i="3" s="1"/>
  <c r="BR682" i="3"/>
  <c r="BP682" i="3"/>
  <c r="BO682" i="3"/>
  <c r="BQ682" i="3" s="1"/>
  <c r="BM682" i="3"/>
  <c r="BL682" i="3"/>
  <c r="BI682" i="3"/>
  <c r="BK682" i="3" s="1"/>
  <c r="BF682" i="3"/>
  <c r="BD682" i="3"/>
  <c r="BE682" i="3" s="1"/>
  <c r="BA682" i="3"/>
  <c r="BB682" i="3" s="1"/>
  <c r="BO681" i="3"/>
  <c r="BQ681" i="3" s="1"/>
  <c r="BM681" i="3"/>
  <c r="BL681" i="3"/>
  <c r="BI681" i="3"/>
  <c r="BK681" i="3" s="1"/>
  <c r="BG681" i="3"/>
  <c r="BE681" i="3"/>
  <c r="BD681" i="3"/>
  <c r="BJ681" i="3" s="1"/>
  <c r="BB681" i="3"/>
  <c r="BA681" i="3"/>
  <c r="BR680" i="3"/>
  <c r="BP680" i="3"/>
  <c r="BO680" i="3"/>
  <c r="BM680" i="3"/>
  <c r="BL680" i="3"/>
  <c r="BI680" i="3"/>
  <c r="BJ680" i="3" s="1"/>
  <c r="BD680" i="3"/>
  <c r="BK680" i="3" s="1"/>
  <c r="BA680" i="3"/>
  <c r="BB680" i="3" s="1"/>
  <c r="BO679" i="3"/>
  <c r="BR679" i="3" s="1"/>
  <c r="BM679" i="3"/>
  <c r="BL679" i="3"/>
  <c r="BK679" i="3"/>
  <c r="BJ679" i="3"/>
  <c r="BI679" i="3"/>
  <c r="BG679" i="3"/>
  <c r="BE679" i="3"/>
  <c r="BD679" i="3"/>
  <c r="BB679" i="3"/>
  <c r="BA679" i="3"/>
  <c r="BF679" i="3" s="1"/>
  <c r="BR678" i="3"/>
  <c r="BO678" i="3"/>
  <c r="BQ678" i="3" s="1"/>
  <c r="BM678" i="3"/>
  <c r="BL678" i="3"/>
  <c r="BK678" i="3"/>
  <c r="BI678" i="3"/>
  <c r="BJ678" i="3" s="1"/>
  <c r="BD678" i="3"/>
  <c r="BG678" i="3" s="1"/>
  <c r="BA678" i="3"/>
  <c r="BB678" i="3" s="1"/>
  <c r="BR677" i="3"/>
  <c r="BO677" i="3"/>
  <c r="BP677" i="3" s="1"/>
  <c r="BM677" i="3"/>
  <c r="BL677" i="3"/>
  <c r="BJ677" i="3"/>
  <c r="BI677" i="3"/>
  <c r="BQ677" i="3" s="1"/>
  <c r="BG677" i="3"/>
  <c r="BD677" i="3"/>
  <c r="BF677" i="3" s="1"/>
  <c r="BB677" i="3"/>
  <c r="BA677" i="3"/>
  <c r="BR676" i="3"/>
  <c r="BO676" i="3"/>
  <c r="BM676" i="3"/>
  <c r="BL676" i="3"/>
  <c r="BI676" i="3"/>
  <c r="BQ676" i="3" s="1"/>
  <c r="BG676" i="3"/>
  <c r="BD676" i="3"/>
  <c r="BE676" i="3" s="1"/>
  <c r="BA676" i="3"/>
  <c r="BF676" i="3" s="1"/>
  <c r="BQ675" i="3"/>
  <c r="BO675" i="3"/>
  <c r="BP675" i="3" s="1"/>
  <c r="BM675" i="3"/>
  <c r="BL675" i="3"/>
  <c r="BK675" i="3"/>
  <c r="BJ675" i="3"/>
  <c r="BI675" i="3"/>
  <c r="BG675" i="3"/>
  <c r="BF675" i="3"/>
  <c r="BE675" i="3"/>
  <c r="BD675" i="3"/>
  <c r="BA675" i="3"/>
  <c r="BB675" i="3" s="1"/>
  <c r="BR674" i="3"/>
  <c r="BP674" i="3"/>
  <c r="BO674" i="3"/>
  <c r="BQ674" i="3" s="1"/>
  <c r="BM674" i="3"/>
  <c r="BL674" i="3"/>
  <c r="BI674" i="3"/>
  <c r="BK674" i="3" s="1"/>
  <c r="BF674" i="3"/>
  <c r="BD674" i="3"/>
  <c r="BE674" i="3" s="1"/>
  <c r="BA674" i="3"/>
  <c r="BB674" i="3" s="1"/>
  <c r="BO673" i="3"/>
  <c r="BQ673" i="3" s="1"/>
  <c r="BM673" i="3"/>
  <c r="BL673" i="3"/>
  <c r="BI673" i="3"/>
  <c r="BK673" i="3" s="1"/>
  <c r="BG673" i="3"/>
  <c r="BE673" i="3"/>
  <c r="BD673" i="3"/>
  <c r="BF673" i="3" s="1"/>
  <c r="BB673" i="3"/>
  <c r="BA673" i="3"/>
  <c r="BR672" i="3"/>
  <c r="BP672" i="3"/>
  <c r="BO672" i="3"/>
  <c r="BM672" i="3"/>
  <c r="BL672" i="3"/>
  <c r="BI672" i="3"/>
  <c r="BJ672" i="3" s="1"/>
  <c r="BD672" i="3"/>
  <c r="BF672" i="3" s="1"/>
  <c r="BA672" i="3"/>
  <c r="BB672" i="3" s="1"/>
  <c r="BR670" i="3"/>
  <c r="BQ670" i="3"/>
  <c r="BP670" i="3"/>
  <c r="BO670" i="3"/>
  <c r="BM670" i="3"/>
  <c r="BL670" i="3"/>
  <c r="BJ670" i="3"/>
  <c r="BI670" i="3"/>
  <c r="BK670" i="3" s="1"/>
  <c r="BG670" i="3"/>
  <c r="BF670" i="3"/>
  <c r="BD670" i="3"/>
  <c r="BE670" i="3" s="1"/>
  <c r="BB670" i="3"/>
  <c r="BA670" i="3"/>
  <c r="BR668" i="3"/>
  <c r="BQ668" i="3"/>
  <c r="BO668" i="3"/>
  <c r="BM668" i="3"/>
  <c r="BL668" i="3"/>
  <c r="BJ668" i="3"/>
  <c r="BI668" i="3"/>
  <c r="BP668" i="3" s="1"/>
  <c r="BD668" i="3"/>
  <c r="BG668" i="3" s="1"/>
  <c r="BB668" i="3"/>
  <c r="BA668" i="3"/>
  <c r="BR666" i="3"/>
  <c r="BO666" i="3"/>
  <c r="BQ666" i="3" s="1"/>
  <c r="BM666" i="3"/>
  <c r="BL666" i="3"/>
  <c r="BJ666" i="3"/>
  <c r="BI666" i="3"/>
  <c r="BK666" i="3" s="1"/>
  <c r="BD666" i="3"/>
  <c r="BG666" i="3" s="1"/>
  <c r="BB666" i="3"/>
  <c r="BA666" i="3"/>
  <c r="BR664" i="3"/>
  <c r="BO664" i="3"/>
  <c r="BP664" i="3" s="1"/>
  <c r="BM664" i="3"/>
  <c r="BL664" i="3"/>
  <c r="BJ664" i="3"/>
  <c r="BI664" i="3"/>
  <c r="BQ664" i="3" s="1"/>
  <c r="BG664" i="3"/>
  <c r="BD664" i="3"/>
  <c r="BF664" i="3" s="1"/>
  <c r="BB664" i="3"/>
  <c r="BA664" i="3"/>
  <c r="BQ663" i="3"/>
  <c r="BO663" i="3"/>
  <c r="BP663" i="3" s="1"/>
  <c r="BM663" i="3"/>
  <c r="BL663" i="3"/>
  <c r="BK663" i="3"/>
  <c r="BI663" i="3"/>
  <c r="BD663" i="3"/>
  <c r="BG663" i="3" s="1"/>
  <c r="BA663" i="3"/>
  <c r="BB663" i="3" s="1"/>
  <c r="BR662" i="3"/>
  <c r="BP662" i="3"/>
  <c r="BO662" i="3"/>
  <c r="BM662" i="3"/>
  <c r="BL662" i="3"/>
  <c r="BJ662" i="3"/>
  <c r="BI662" i="3"/>
  <c r="BQ662" i="3" s="1"/>
  <c r="BD662" i="3"/>
  <c r="BF662" i="3" s="1"/>
  <c r="BA662" i="3"/>
  <c r="BB662" i="3" s="1"/>
  <c r="BR661" i="3"/>
  <c r="BO661" i="3"/>
  <c r="BQ661" i="3" s="1"/>
  <c r="BM661" i="3"/>
  <c r="BL661" i="3"/>
  <c r="BI661" i="3"/>
  <c r="BK661" i="3" s="1"/>
  <c r="BG661" i="3"/>
  <c r="BD661" i="3"/>
  <c r="BF661" i="3" s="1"/>
  <c r="BB661" i="3"/>
  <c r="BA661" i="3"/>
  <c r="BE661" i="3" s="1"/>
  <c r="BR660" i="3"/>
  <c r="BQ660" i="3"/>
  <c r="BO660" i="3"/>
  <c r="BM660" i="3"/>
  <c r="BL660" i="3"/>
  <c r="BI660" i="3"/>
  <c r="BK660" i="3" s="1"/>
  <c r="BG660" i="3"/>
  <c r="BD660" i="3"/>
  <c r="BF660" i="3" s="1"/>
  <c r="BA660" i="3"/>
  <c r="BB660" i="3" s="1"/>
  <c r="BR659" i="3"/>
  <c r="BQ659" i="3"/>
  <c r="BP659" i="3"/>
  <c r="BO659" i="3"/>
  <c r="BM659" i="3"/>
  <c r="BL659" i="3"/>
  <c r="BJ659" i="3"/>
  <c r="BI659" i="3"/>
  <c r="BK659" i="3" s="1"/>
  <c r="BG659" i="3"/>
  <c r="BF659" i="3"/>
  <c r="BE659" i="3"/>
  <c r="BD659" i="3"/>
  <c r="BB659" i="3"/>
  <c r="BA659" i="3"/>
  <c r="BO658" i="3"/>
  <c r="BR658" i="3" s="1"/>
  <c r="BM658" i="3"/>
  <c r="BL658" i="3"/>
  <c r="BI658" i="3"/>
  <c r="BK658" i="3" s="1"/>
  <c r="BG658" i="3"/>
  <c r="BF658" i="3"/>
  <c r="BE658" i="3"/>
  <c r="BD658" i="3"/>
  <c r="BA658" i="3"/>
  <c r="BB658" i="3" s="1"/>
  <c r="BO657" i="3"/>
  <c r="BR657" i="3" s="1"/>
  <c r="BM657" i="3"/>
  <c r="BL657" i="3"/>
  <c r="BI657" i="3"/>
  <c r="BK657" i="3" s="1"/>
  <c r="BD657" i="3"/>
  <c r="BJ657" i="3" s="1"/>
  <c r="BB657" i="3"/>
  <c r="BA657" i="3"/>
  <c r="BP656" i="3"/>
  <c r="BO656" i="3"/>
  <c r="BR656" i="3" s="1"/>
  <c r="BM656" i="3"/>
  <c r="BL656" i="3"/>
  <c r="BI656" i="3"/>
  <c r="BK656" i="3" s="1"/>
  <c r="BD656" i="3"/>
  <c r="BG656" i="3" s="1"/>
  <c r="BB656" i="3"/>
  <c r="BA656" i="3"/>
  <c r="BO655" i="3"/>
  <c r="BQ655" i="3" s="1"/>
  <c r="BM655" i="3"/>
  <c r="BL655" i="3"/>
  <c r="BK655" i="3"/>
  <c r="BI655" i="3"/>
  <c r="BD655" i="3"/>
  <c r="BG655" i="3" s="1"/>
  <c r="BA655" i="3"/>
  <c r="BE655" i="3" s="1"/>
  <c r="BR654" i="3"/>
  <c r="BP654" i="3"/>
  <c r="BO654" i="3"/>
  <c r="BQ654" i="3" s="1"/>
  <c r="BM654" i="3"/>
  <c r="BL654" i="3"/>
  <c r="BJ654" i="3"/>
  <c r="BI654" i="3"/>
  <c r="BD654" i="3"/>
  <c r="BF654" i="3" s="1"/>
  <c r="BA654" i="3"/>
  <c r="BB654" i="3" s="1"/>
  <c r="BR653" i="3"/>
  <c r="BO653" i="3"/>
  <c r="BQ653" i="3" s="1"/>
  <c r="BM653" i="3"/>
  <c r="BL653" i="3"/>
  <c r="BI653" i="3"/>
  <c r="BK653" i="3" s="1"/>
  <c r="BG653" i="3"/>
  <c r="BD653" i="3"/>
  <c r="BF653" i="3" s="1"/>
  <c r="BB653" i="3"/>
  <c r="BA653" i="3"/>
  <c r="BE653" i="3" s="1"/>
  <c r="BR652" i="3"/>
  <c r="BQ652" i="3"/>
  <c r="BO652" i="3"/>
  <c r="BM652" i="3"/>
  <c r="BL652" i="3"/>
  <c r="BI652" i="3"/>
  <c r="BK652" i="3" s="1"/>
  <c r="BG652" i="3"/>
  <c r="BD652" i="3"/>
  <c r="BF652" i="3" s="1"/>
  <c r="BA652" i="3"/>
  <c r="BB652" i="3" s="1"/>
  <c r="BR651" i="3"/>
  <c r="BQ651" i="3"/>
  <c r="BP651" i="3"/>
  <c r="BO651" i="3"/>
  <c r="BM651" i="3"/>
  <c r="BL651" i="3"/>
  <c r="BJ651" i="3"/>
  <c r="BI651" i="3"/>
  <c r="BK651" i="3" s="1"/>
  <c r="BG651" i="3"/>
  <c r="BF651" i="3"/>
  <c r="BE651" i="3"/>
  <c r="BD651" i="3"/>
  <c r="BB651" i="3"/>
  <c r="BA651" i="3"/>
  <c r="BO650" i="3"/>
  <c r="BR650" i="3" s="1"/>
  <c r="BM650" i="3"/>
  <c r="BL650" i="3"/>
  <c r="BI650" i="3"/>
  <c r="BK650" i="3" s="1"/>
  <c r="BG650" i="3"/>
  <c r="BF650" i="3"/>
  <c r="BE650" i="3"/>
  <c r="BD650" i="3"/>
  <c r="BA650" i="3"/>
  <c r="BB650" i="3" s="1"/>
  <c r="BO649" i="3"/>
  <c r="BR649" i="3" s="1"/>
  <c r="BM649" i="3"/>
  <c r="BL649" i="3"/>
  <c r="BI649" i="3"/>
  <c r="BK649" i="3" s="1"/>
  <c r="BD649" i="3"/>
  <c r="BJ649" i="3" s="1"/>
  <c r="BA649" i="3"/>
  <c r="BB649" i="3" s="1"/>
  <c r="BP648" i="3"/>
  <c r="BO648" i="3"/>
  <c r="BR648" i="3" s="1"/>
  <c r="BM648" i="3"/>
  <c r="BL648" i="3"/>
  <c r="BI648" i="3"/>
  <c r="BK648" i="3" s="1"/>
  <c r="BD648" i="3"/>
  <c r="BG648" i="3" s="1"/>
  <c r="BB648" i="3"/>
  <c r="BA648" i="3"/>
  <c r="BO647" i="3"/>
  <c r="BQ647" i="3" s="1"/>
  <c r="BM647" i="3"/>
  <c r="BL647" i="3"/>
  <c r="BK647" i="3"/>
  <c r="BI647" i="3"/>
  <c r="BJ647" i="3" s="1"/>
  <c r="BD647" i="3"/>
  <c r="BG647" i="3" s="1"/>
  <c r="BA647" i="3"/>
  <c r="BE647" i="3" s="1"/>
  <c r="BP646" i="3"/>
  <c r="BO646" i="3"/>
  <c r="BR646" i="3" s="1"/>
  <c r="BM646" i="3"/>
  <c r="BL646" i="3"/>
  <c r="BJ646" i="3"/>
  <c r="BI646" i="3"/>
  <c r="BD646" i="3"/>
  <c r="BF646" i="3" s="1"/>
  <c r="BA646" i="3"/>
  <c r="BB646" i="3" s="1"/>
  <c r="BR645" i="3"/>
  <c r="BO645" i="3"/>
  <c r="BQ645" i="3" s="1"/>
  <c r="BM645" i="3"/>
  <c r="BL645" i="3"/>
  <c r="BI645" i="3"/>
  <c r="BK645" i="3" s="1"/>
  <c r="BD645" i="3"/>
  <c r="BG645" i="3" s="1"/>
  <c r="BB645" i="3"/>
  <c r="BA645" i="3"/>
  <c r="BE645" i="3" s="1"/>
  <c r="BR644" i="3"/>
  <c r="BQ644" i="3"/>
  <c r="BO644" i="3"/>
  <c r="BP644" i="3" s="1"/>
  <c r="BM644" i="3"/>
  <c r="BL644" i="3"/>
  <c r="BI644" i="3"/>
  <c r="BK644" i="3" s="1"/>
  <c r="BG644" i="3"/>
  <c r="BD644" i="3"/>
  <c r="BF644" i="3" s="1"/>
  <c r="BA644" i="3"/>
  <c r="BB644" i="3" s="1"/>
  <c r="BR643" i="3"/>
  <c r="BQ643" i="3"/>
  <c r="BP643" i="3"/>
  <c r="BO643" i="3"/>
  <c r="BM643" i="3"/>
  <c r="BL643" i="3"/>
  <c r="BJ643" i="3"/>
  <c r="BI643" i="3"/>
  <c r="BK643" i="3" s="1"/>
  <c r="BG643" i="3"/>
  <c r="BF643" i="3"/>
  <c r="BD643" i="3"/>
  <c r="BE643" i="3" s="1"/>
  <c r="BB643" i="3"/>
  <c r="BA643" i="3"/>
  <c r="BO642" i="3"/>
  <c r="BR642" i="3" s="1"/>
  <c r="BM642" i="3"/>
  <c r="BL642" i="3"/>
  <c r="BI642" i="3"/>
  <c r="BK642" i="3" s="1"/>
  <c r="BG642" i="3"/>
  <c r="BF642" i="3"/>
  <c r="BE642" i="3"/>
  <c r="BD642" i="3"/>
  <c r="BA642" i="3"/>
  <c r="BB642" i="3" s="1"/>
  <c r="BO641" i="3"/>
  <c r="BR641" i="3" s="1"/>
  <c r="BM641" i="3"/>
  <c r="BL641" i="3"/>
  <c r="BI641" i="3"/>
  <c r="BK641" i="3" s="1"/>
  <c r="BD641" i="3"/>
  <c r="BJ641" i="3" s="1"/>
  <c r="BA641" i="3"/>
  <c r="BB641" i="3" s="1"/>
  <c r="BR639" i="3"/>
  <c r="BO639" i="3"/>
  <c r="BP639" i="3" s="1"/>
  <c r="BM639" i="3"/>
  <c r="BL639" i="3"/>
  <c r="BJ639" i="3"/>
  <c r="BI639" i="3"/>
  <c r="BQ639" i="3" s="1"/>
  <c r="BG639" i="3"/>
  <c r="BD639" i="3"/>
  <c r="BF639" i="3" s="1"/>
  <c r="BB639" i="3"/>
  <c r="BA639" i="3"/>
  <c r="BO637" i="3"/>
  <c r="BR637" i="3" s="1"/>
  <c r="BM637" i="3"/>
  <c r="BL637" i="3"/>
  <c r="BJ637" i="3"/>
  <c r="BI637" i="3"/>
  <c r="BK637" i="3" s="1"/>
  <c r="BE637" i="3"/>
  <c r="BD637" i="3"/>
  <c r="BG637" i="3" s="1"/>
  <c r="BB637" i="3"/>
  <c r="BA637" i="3"/>
  <c r="BQ635" i="3"/>
  <c r="BO635" i="3"/>
  <c r="BR635" i="3" s="1"/>
  <c r="BM635" i="3"/>
  <c r="BL635" i="3"/>
  <c r="BK635" i="3"/>
  <c r="BJ635" i="3"/>
  <c r="BI635" i="3"/>
  <c r="BD635" i="3"/>
  <c r="BG635" i="3" s="1"/>
  <c r="BB635" i="3"/>
  <c r="BA635" i="3"/>
  <c r="BQ633" i="3"/>
  <c r="BO633" i="3"/>
  <c r="BR633" i="3" s="1"/>
  <c r="BM633" i="3"/>
  <c r="BL633" i="3"/>
  <c r="BJ633" i="3"/>
  <c r="BI633" i="3"/>
  <c r="BK633" i="3" s="1"/>
  <c r="BG633" i="3"/>
  <c r="BD633" i="3"/>
  <c r="BF633" i="3" s="1"/>
  <c r="BB633" i="3"/>
  <c r="BA633" i="3"/>
  <c r="BR632" i="3"/>
  <c r="BO632" i="3"/>
  <c r="BM632" i="3"/>
  <c r="BL632" i="3"/>
  <c r="BI632" i="3"/>
  <c r="BQ632" i="3" s="1"/>
  <c r="BD632" i="3"/>
  <c r="BG632" i="3" s="1"/>
  <c r="BA632" i="3"/>
  <c r="BF632" i="3" s="1"/>
  <c r="BQ631" i="3"/>
  <c r="BO631" i="3"/>
  <c r="BP631" i="3" s="1"/>
  <c r="BM631" i="3"/>
  <c r="BL631" i="3"/>
  <c r="BK631" i="3"/>
  <c r="BJ631" i="3"/>
  <c r="BI631" i="3"/>
  <c r="BG631" i="3"/>
  <c r="BE631" i="3"/>
  <c r="BD631" i="3"/>
  <c r="BF631" i="3" s="1"/>
  <c r="BA631" i="3"/>
  <c r="BB631" i="3" s="1"/>
  <c r="BR630" i="3"/>
  <c r="BP630" i="3"/>
  <c r="BO630" i="3"/>
  <c r="BQ630" i="3" s="1"/>
  <c r="BM630" i="3"/>
  <c r="BL630" i="3"/>
  <c r="BI630" i="3"/>
  <c r="BK630" i="3" s="1"/>
  <c r="BF630" i="3"/>
  <c r="BD630" i="3"/>
  <c r="BE630" i="3" s="1"/>
  <c r="BA630" i="3"/>
  <c r="BB630" i="3" s="1"/>
  <c r="BO629" i="3"/>
  <c r="BR629" i="3" s="1"/>
  <c r="BM629" i="3"/>
  <c r="BL629" i="3"/>
  <c r="BI629" i="3"/>
  <c r="BK629" i="3" s="1"/>
  <c r="BG629" i="3"/>
  <c r="BE629" i="3"/>
  <c r="BD629" i="3"/>
  <c r="BF629" i="3" s="1"/>
  <c r="BB629" i="3"/>
  <c r="BA629" i="3"/>
  <c r="BR628" i="3"/>
  <c r="BP628" i="3"/>
  <c r="BO628" i="3"/>
  <c r="BM628" i="3"/>
  <c r="BL628" i="3"/>
  <c r="BI628" i="3"/>
  <c r="BJ628" i="3" s="1"/>
  <c r="BD628" i="3"/>
  <c r="BK628" i="3" s="1"/>
  <c r="BA628" i="3"/>
  <c r="BB628" i="3" s="1"/>
  <c r="BO627" i="3"/>
  <c r="BR627" i="3" s="1"/>
  <c r="BM627" i="3"/>
  <c r="BL627" i="3"/>
  <c r="BK627" i="3"/>
  <c r="BJ627" i="3"/>
  <c r="BI627" i="3"/>
  <c r="BG627" i="3"/>
  <c r="BF627" i="3"/>
  <c r="BE627" i="3"/>
  <c r="BD627" i="3"/>
  <c r="BB627" i="3"/>
  <c r="BA627" i="3"/>
  <c r="BR626" i="3"/>
  <c r="BO626" i="3"/>
  <c r="BQ626" i="3" s="1"/>
  <c r="BM626" i="3"/>
  <c r="BL626" i="3"/>
  <c r="BK626" i="3"/>
  <c r="BI626" i="3"/>
  <c r="BJ626" i="3" s="1"/>
  <c r="BD626" i="3"/>
  <c r="BG626" i="3" s="1"/>
  <c r="BA626" i="3"/>
  <c r="BB626" i="3" s="1"/>
  <c r="BO624" i="3"/>
  <c r="BR624" i="3" s="1"/>
  <c r="BM624" i="3"/>
  <c r="BL624" i="3"/>
  <c r="BJ624" i="3"/>
  <c r="BI624" i="3"/>
  <c r="BK624" i="3" s="1"/>
  <c r="BD624" i="3"/>
  <c r="BG624" i="3" s="1"/>
  <c r="BA624" i="3"/>
  <c r="BB624" i="3" s="1"/>
  <c r="BR621" i="3"/>
  <c r="BO621" i="3"/>
  <c r="BQ621" i="3" s="1"/>
  <c r="BM621" i="3"/>
  <c r="BL621" i="3"/>
  <c r="BJ621" i="3"/>
  <c r="BI621" i="3"/>
  <c r="BP621" i="3" s="1"/>
  <c r="BF621" i="3"/>
  <c r="BD621" i="3"/>
  <c r="BG621" i="3" s="1"/>
  <c r="BB621" i="3"/>
  <c r="BA621" i="3"/>
  <c r="BR620" i="3"/>
  <c r="BO620" i="3"/>
  <c r="BQ620" i="3" s="1"/>
  <c r="BM620" i="3"/>
  <c r="BL620" i="3"/>
  <c r="BI620" i="3"/>
  <c r="BK620" i="3" s="1"/>
  <c r="BG620" i="3"/>
  <c r="BD620" i="3"/>
  <c r="BF620" i="3" s="1"/>
  <c r="BA620" i="3"/>
  <c r="BE620" i="3" s="1"/>
  <c r="BQ619" i="3"/>
  <c r="BP619" i="3"/>
  <c r="BO619" i="3"/>
  <c r="BR619" i="3" s="1"/>
  <c r="BM619" i="3"/>
  <c r="BL619" i="3"/>
  <c r="BJ619" i="3"/>
  <c r="BI619" i="3"/>
  <c r="BG619" i="3"/>
  <c r="BD619" i="3"/>
  <c r="BF619" i="3" s="1"/>
  <c r="BA619" i="3"/>
  <c r="BB619" i="3" s="1"/>
  <c r="BR618" i="3"/>
  <c r="BP618" i="3"/>
  <c r="BO618" i="3"/>
  <c r="BQ618" i="3" s="1"/>
  <c r="BM618" i="3"/>
  <c r="BL618" i="3"/>
  <c r="BI618" i="3"/>
  <c r="BK618" i="3" s="1"/>
  <c r="BF618" i="3"/>
  <c r="BE618" i="3"/>
  <c r="BD618" i="3"/>
  <c r="BG618" i="3" s="1"/>
  <c r="BB618" i="3"/>
  <c r="BA618" i="3"/>
  <c r="BO617" i="3"/>
  <c r="BQ617" i="3" s="1"/>
  <c r="BM617" i="3"/>
  <c r="BL617" i="3"/>
  <c r="BK617" i="3"/>
  <c r="BI617" i="3"/>
  <c r="BJ617" i="3" s="1"/>
  <c r="BG617" i="3"/>
  <c r="BE617" i="3"/>
  <c r="BD617" i="3"/>
  <c r="BF617" i="3" s="1"/>
  <c r="BA617" i="3"/>
  <c r="BB617" i="3" s="1"/>
  <c r="BR616" i="3"/>
  <c r="BQ616" i="3"/>
  <c r="BP616" i="3"/>
  <c r="BO616" i="3"/>
  <c r="BM616" i="3"/>
  <c r="BL616" i="3"/>
  <c r="BI616" i="3"/>
  <c r="BD616" i="3"/>
  <c r="BK616" i="3" s="1"/>
  <c r="BB616" i="3"/>
  <c r="BA616" i="3"/>
  <c r="BO615" i="3"/>
  <c r="BR615" i="3" s="1"/>
  <c r="BM615" i="3"/>
  <c r="BL615" i="3"/>
  <c r="BI615" i="3"/>
  <c r="BK615" i="3" s="1"/>
  <c r="BG615" i="3"/>
  <c r="BE615" i="3"/>
  <c r="BD615" i="3"/>
  <c r="BB615" i="3"/>
  <c r="BA615" i="3"/>
  <c r="BF615" i="3" s="1"/>
  <c r="BQ614" i="3"/>
  <c r="BO614" i="3"/>
  <c r="BR614" i="3" s="1"/>
  <c r="BM614" i="3"/>
  <c r="BL614" i="3"/>
  <c r="BK614" i="3"/>
  <c r="BI614" i="3"/>
  <c r="BD614" i="3"/>
  <c r="BJ614" i="3" s="1"/>
  <c r="BA614" i="3"/>
  <c r="BB614" i="3" s="1"/>
  <c r="BR613" i="3"/>
  <c r="BP613" i="3"/>
  <c r="BO613" i="3"/>
  <c r="BM613" i="3"/>
  <c r="BL613" i="3"/>
  <c r="BJ613" i="3"/>
  <c r="BI613" i="3"/>
  <c r="BQ613" i="3" s="1"/>
  <c r="BF613" i="3"/>
  <c r="BD613" i="3"/>
  <c r="BG613" i="3" s="1"/>
  <c r="BB613" i="3"/>
  <c r="BA613" i="3"/>
  <c r="BR612" i="3"/>
  <c r="BO612" i="3"/>
  <c r="BQ612" i="3" s="1"/>
  <c r="BM612" i="3"/>
  <c r="BL612" i="3"/>
  <c r="BI612" i="3"/>
  <c r="BK612" i="3" s="1"/>
  <c r="BG612" i="3"/>
  <c r="BD612" i="3"/>
  <c r="BA612" i="3"/>
  <c r="BF612" i="3" s="1"/>
  <c r="BQ611" i="3"/>
  <c r="BP611" i="3"/>
  <c r="BO611" i="3"/>
  <c r="BR611" i="3" s="1"/>
  <c r="BM611" i="3"/>
  <c r="BL611" i="3"/>
  <c r="BJ611" i="3"/>
  <c r="BI611" i="3"/>
  <c r="BG611" i="3"/>
  <c r="BD611" i="3"/>
  <c r="BF611" i="3" s="1"/>
  <c r="BA611" i="3"/>
  <c r="BB611" i="3" s="1"/>
  <c r="BR610" i="3"/>
  <c r="BP610" i="3"/>
  <c r="BO610" i="3"/>
  <c r="BQ610" i="3" s="1"/>
  <c r="BM610" i="3"/>
  <c r="BL610" i="3"/>
  <c r="BI610" i="3"/>
  <c r="BK610" i="3" s="1"/>
  <c r="BF610" i="3"/>
  <c r="BE610" i="3"/>
  <c r="BD610" i="3"/>
  <c r="BG610" i="3" s="1"/>
  <c r="BB610" i="3"/>
  <c r="BA610" i="3"/>
  <c r="BO609" i="3"/>
  <c r="BQ609" i="3" s="1"/>
  <c r="BM609" i="3"/>
  <c r="BL609" i="3"/>
  <c r="BK609" i="3"/>
  <c r="BI609" i="3"/>
  <c r="BJ609" i="3" s="1"/>
  <c r="BG609" i="3"/>
  <c r="BE609" i="3"/>
  <c r="BD609" i="3"/>
  <c r="BF609" i="3" s="1"/>
  <c r="BA609" i="3"/>
  <c r="BB609" i="3" s="1"/>
  <c r="BQ608" i="3"/>
  <c r="BP608" i="3"/>
  <c r="BO608" i="3"/>
  <c r="BR608" i="3" s="1"/>
  <c r="BM608" i="3"/>
  <c r="BL608" i="3"/>
  <c r="BI608" i="3"/>
  <c r="BD608" i="3"/>
  <c r="BK608" i="3" s="1"/>
  <c r="BB608" i="3"/>
  <c r="BA608" i="3"/>
  <c r="BO607" i="3"/>
  <c r="BR607" i="3" s="1"/>
  <c r="BM607" i="3"/>
  <c r="BL607" i="3"/>
  <c r="BI607" i="3"/>
  <c r="BK607" i="3" s="1"/>
  <c r="BE607" i="3"/>
  <c r="BD607" i="3"/>
  <c r="BG607" i="3" s="1"/>
  <c r="BB607" i="3"/>
  <c r="BA607" i="3"/>
  <c r="BF607" i="3" s="1"/>
  <c r="BQ606" i="3"/>
  <c r="BO606" i="3"/>
  <c r="BR606" i="3" s="1"/>
  <c r="BM606" i="3"/>
  <c r="BL606" i="3"/>
  <c r="BK606" i="3"/>
  <c r="BI606" i="3"/>
  <c r="BD606" i="3"/>
  <c r="BJ606" i="3" s="1"/>
  <c r="BA606" i="3"/>
  <c r="BB606" i="3" s="1"/>
  <c r="BR605" i="3"/>
  <c r="BP605" i="3"/>
  <c r="BO605" i="3"/>
  <c r="BM605" i="3"/>
  <c r="BL605" i="3"/>
  <c r="BJ605" i="3"/>
  <c r="BI605" i="3"/>
  <c r="BQ605" i="3" s="1"/>
  <c r="BF605" i="3"/>
  <c r="BD605" i="3"/>
  <c r="BG605" i="3" s="1"/>
  <c r="BB605" i="3"/>
  <c r="BA605" i="3"/>
  <c r="BR604" i="3"/>
  <c r="BO604" i="3"/>
  <c r="BQ604" i="3" s="1"/>
  <c r="BM604" i="3"/>
  <c r="BL604" i="3"/>
  <c r="BI604" i="3"/>
  <c r="BK604" i="3" s="1"/>
  <c r="BG604" i="3"/>
  <c r="BD604" i="3"/>
  <c r="BA604" i="3"/>
  <c r="BF604" i="3" s="1"/>
  <c r="BQ603" i="3"/>
  <c r="BP603" i="3"/>
  <c r="BO603" i="3"/>
  <c r="BR603" i="3" s="1"/>
  <c r="BM603" i="3"/>
  <c r="BL603" i="3"/>
  <c r="BJ603" i="3"/>
  <c r="BI603" i="3"/>
  <c r="BG603" i="3"/>
  <c r="BD603" i="3"/>
  <c r="BF603" i="3" s="1"/>
  <c r="BA603" i="3"/>
  <c r="BB603" i="3" s="1"/>
  <c r="BR602" i="3"/>
  <c r="BP602" i="3"/>
  <c r="BO602" i="3"/>
  <c r="BQ602" i="3" s="1"/>
  <c r="BM602" i="3"/>
  <c r="BL602" i="3"/>
  <c r="BI602" i="3"/>
  <c r="BK602" i="3" s="1"/>
  <c r="BF602" i="3"/>
  <c r="BE602" i="3"/>
  <c r="BD602" i="3"/>
  <c r="BG602" i="3" s="1"/>
  <c r="BB602" i="3"/>
  <c r="BA602" i="3"/>
  <c r="BO601" i="3"/>
  <c r="BQ601" i="3" s="1"/>
  <c r="BM601" i="3"/>
  <c r="BL601" i="3"/>
  <c r="BK601" i="3"/>
  <c r="BI601" i="3"/>
  <c r="BJ601" i="3" s="1"/>
  <c r="BG601" i="3"/>
  <c r="BE601" i="3"/>
  <c r="BD601" i="3"/>
  <c r="BF601" i="3" s="1"/>
  <c r="BA601" i="3"/>
  <c r="BB601" i="3" s="1"/>
  <c r="BQ600" i="3"/>
  <c r="BP600" i="3"/>
  <c r="BO600" i="3"/>
  <c r="BR600" i="3" s="1"/>
  <c r="BM600" i="3"/>
  <c r="BL600" i="3"/>
  <c r="BI600" i="3"/>
  <c r="BD600" i="3"/>
  <c r="BK600" i="3" s="1"/>
  <c r="BB600" i="3"/>
  <c r="BA600" i="3"/>
  <c r="BO599" i="3"/>
  <c r="BR599" i="3" s="1"/>
  <c r="BM599" i="3"/>
  <c r="BL599" i="3"/>
  <c r="BI599" i="3"/>
  <c r="BK599" i="3" s="1"/>
  <c r="BE599" i="3"/>
  <c r="BD599" i="3"/>
  <c r="BG599" i="3" s="1"/>
  <c r="BB599" i="3"/>
  <c r="BA599" i="3"/>
  <c r="BF599" i="3" s="1"/>
  <c r="BQ598" i="3"/>
  <c r="BO598" i="3"/>
  <c r="BR598" i="3" s="1"/>
  <c r="BM598" i="3"/>
  <c r="BL598" i="3"/>
  <c r="BI598" i="3"/>
  <c r="BD598" i="3"/>
  <c r="BJ598" i="3" s="1"/>
  <c r="BA598" i="3"/>
  <c r="BB598" i="3" s="1"/>
  <c r="BR597" i="3"/>
  <c r="BP597" i="3"/>
  <c r="BO597" i="3"/>
  <c r="BM597" i="3"/>
  <c r="BL597" i="3"/>
  <c r="BJ597" i="3"/>
  <c r="BI597" i="3"/>
  <c r="BQ597" i="3" s="1"/>
  <c r="BF597" i="3"/>
  <c r="BD597" i="3"/>
  <c r="BG597" i="3" s="1"/>
  <c r="BB597" i="3"/>
  <c r="BA597" i="3"/>
  <c r="BR596" i="3"/>
  <c r="BO596" i="3"/>
  <c r="BQ596" i="3" s="1"/>
  <c r="BM596" i="3"/>
  <c r="BL596" i="3"/>
  <c r="BI596" i="3"/>
  <c r="BK596" i="3" s="1"/>
  <c r="BG596" i="3"/>
  <c r="BD596" i="3"/>
  <c r="BA596" i="3"/>
  <c r="BF596" i="3" s="1"/>
  <c r="BQ595" i="3"/>
  <c r="BP595" i="3"/>
  <c r="BO595" i="3"/>
  <c r="BR595" i="3" s="1"/>
  <c r="BM595" i="3"/>
  <c r="BL595" i="3"/>
  <c r="BJ595" i="3"/>
  <c r="BI595" i="3"/>
  <c r="BG595" i="3"/>
  <c r="BD595" i="3"/>
  <c r="BF595" i="3" s="1"/>
  <c r="BA595" i="3"/>
  <c r="BB595" i="3" s="1"/>
  <c r="BR593" i="3"/>
  <c r="BQ593" i="3"/>
  <c r="BP593" i="3"/>
  <c r="BO593" i="3"/>
  <c r="BM593" i="3"/>
  <c r="BL593" i="3"/>
  <c r="BI593" i="3"/>
  <c r="BK593" i="3" s="1"/>
  <c r="BG593" i="3"/>
  <c r="BF593" i="3"/>
  <c r="BD593" i="3"/>
  <c r="BE593" i="3" s="1"/>
  <c r="BB593" i="3"/>
  <c r="BA593" i="3"/>
  <c r="BR591" i="3"/>
  <c r="BQ591" i="3"/>
  <c r="BP591" i="3"/>
  <c r="BO591" i="3"/>
  <c r="BM591" i="3"/>
  <c r="BL591" i="3"/>
  <c r="BJ591" i="3"/>
  <c r="BI591" i="3"/>
  <c r="BK591" i="3" s="1"/>
  <c r="BG591" i="3"/>
  <c r="BF591" i="3"/>
  <c r="BD591" i="3"/>
  <c r="BE591" i="3" s="1"/>
  <c r="BB591" i="3"/>
  <c r="BA591" i="3"/>
  <c r="BR590" i="3"/>
  <c r="BO590" i="3"/>
  <c r="BQ590" i="3" s="1"/>
  <c r="BM590" i="3"/>
  <c r="BL590" i="3"/>
  <c r="BI590" i="3"/>
  <c r="BK590" i="3" s="1"/>
  <c r="BG590" i="3"/>
  <c r="BF590" i="3"/>
  <c r="BE590" i="3"/>
  <c r="BD590" i="3"/>
  <c r="BA590" i="3"/>
  <c r="BB590" i="3" s="1"/>
  <c r="BQ589" i="3"/>
  <c r="BO589" i="3"/>
  <c r="BP589" i="3" s="1"/>
  <c r="BM589" i="3"/>
  <c r="BL589" i="3"/>
  <c r="BI589" i="3"/>
  <c r="BG589" i="3"/>
  <c r="BE589" i="3"/>
  <c r="BD589" i="3"/>
  <c r="BF589" i="3" s="1"/>
  <c r="BA589" i="3"/>
  <c r="BB589" i="3" s="1"/>
  <c r="BP588" i="3"/>
  <c r="BO588" i="3"/>
  <c r="BR588" i="3" s="1"/>
  <c r="BM588" i="3"/>
  <c r="BL588" i="3"/>
  <c r="BI588" i="3"/>
  <c r="BK588" i="3" s="1"/>
  <c r="BF588" i="3"/>
  <c r="BD588" i="3"/>
  <c r="BE588" i="3" s="1"/>
  <c r="BB588" i="3"/>
  <c r="BA588" i="3"/>
  <c r="BO587" i="3"/>
  <c r="BR587" i="3" s="1"/>
  <c r="BM587" i="3"/>
  <c r="BL587" i="3"/>
  <c r="BK587" i="3"/>
  <c r="BI587" i="3"/>
  <c r="BJ587" i="3" s="1"/>
  <c r="BE587" i="3"/>
  <c r="BD587" i="3"/>
  <c r="BG587" i="3" s="1"/>
  <c r="BB587" i="3"/>
  <c r="BA587" i="3"/>
  <c r="BR586" i="3"/>
  <c r="BQ586" i="3"/>
  <c r="BP586" i="3"/>
  <c r="BO586" i="3"/>
  <c r="BM586" i="3"/>
  <c r="BL586" i="3"/>
  <c r="BI586" i="3"/>
  <c r="BD586" i="3"/>
  <c r="BK586" i="3" s="1"/>
  <c r="BA586" i="3"/>
  <c r="BB586" i="3" s="1"/>
  <c r="BR585" i="3"/>
  <c r="BO585" i="3"/>
  <c r="BQ585" i="3" s="1"/>
  <c r="BM585" i="3"/>
  <c r="BL585" i="3"/>
  <c r="BI585" i="3"/>
  <c r="BK585" i="3" s="1"/>
  <c r="BG585" i="3"/>
  <c r="BF585" i="3"/>
  <c r="BE585" i="3"/>
  <c r="BD585" i="3"/>
  <c r="BB585" i="3"/>
  <c r="BA585" i="3"/>
  <c r="BR584" i="3"/>
  <c r="BO584" i="3"/>
  <c r="BP584" i="3" s="1"/>
  <c r="BM584" i="3"/>
  <c r="BL584" i="3"/>
  <c r="BK584" i="3"/>
  <c r="BI584" i="3"/>
  <c r="BJ584" i="3" s="1"/>
  <c r="BG584" i="3"/>
  <c r="BD584" i="3"/>
  <c r="BF584" i="3" s="1"/>
  <c r="BA584" i="3"/>
  <c r="BE584" i="3" s="1"/>
  <c r="BR583" i="3"/>
  <c r="BQ583" i="3"/>
  <c r="BP583" i="3"/>
  <c r="BO583" i="3"/>
  <c r="BM583" i="3"/>
  <c r="BL583" i="3"/>
  <c r="BJ583" i="3"/>
  <c r="BI583" i="3"/>
  <c r="BK583" i="3" s="1"/>
  <c r="BG583" i="3"/>
  <c r="BF583" i="3"/>
  <c r="BD583" i="3"/>
  <c r="BE583" i="3" s="1"/>
  <c r="BB583" i="3"/>
  <c r="BA583" i="3"/>
  <c r="BR582" i="3"/>
  <c r="BO582" i="3"/>
  <c r="BQ582" i="3" s="1"/>
  <c r="BM582" i="3"/>
  <c r="BL582" i="3"/>
  <c r="BI582" i="3"/>
  <c r="BK582" i="3" s="1"/>
  <c r="BG582" i="3"/>
  <c r="BF582" i="3"/>
  <c r="BE582" i="3"/>
  <c r="BD582" i="3"/>
  <c r="BB582" i="3"/>
  <c r="BA582" i="3"/>
  <c r="BQ581" i="3"/>
  <c r="BO581" i="3"/>
  <c r="BP581" i="3" s="1"/>
  <c r="BM581" i="3"/>
  <c r="BL581" i="3"/>
  <c r="BI581" i="3"/>
  <c r="BG581" i="3"/>
  <c r="BD581" i="3"/>
  <c r="BF581" i="3" s="1"/>
  <c r="BA581" i="3"/>
  <c r="BB581" i="3" s="1"/>
  <c r="BR580" i="3"/>
  <c r="BP580" i="3"/>
  <c r="BO580" i="3"/>
  <c r="BQ580" i="3" s="1"/>
  <c r="BM580" i="3"/>
  <c r="BL580" i="3"/>
  <c r="BI580" i="3"/>
  <c r="BK580" i="3" s="1"/>
  <c r="BF580" i="3"/>
  <c r="BD580" i="3"/>
  <c r="BE580" i="3" s="1"/>
  <c r="BB580" i="3"/>
  <c r="BA580" i="3"/>
  <c r="BO579" i="3"/>
  <c r="BR579" i="3" s="1"/>
  <c r="BM579" i="3"/>
  <c r="BL579" i="3"/>
  <c r="BK579" i="3"/>
  <c r="BI579" i="3"/>
  <c r="BJ579" i="3" s="1"/>
  <c r="BG579" i="3"/>
  <c r="BE579" i="3"/>
  <c r="BD579" i="3"/>
  <c r="BF579" i="3" s="1"/>
  <c r="BA579" i="3"/>
  <c r="BB579" i="3" s="1"/>
  <c r="BR578" i="3"/>
  <c r="BQ578" i="3"/>
  <c r="BP578" i="3"/>
  <c r="BO578" i="3"/>
  <c r="BM578" i="3"/>
  <c r="BL578" i="3"/>
  <c r="BI578" i="3"/>
  <c r="BD578" i="3"/>
  <c r="BK578" i="3" s="1"/>
  <c r="BA578" i="3"/>
  <c r="BB578" i="3" s="1"/>
  <c r="BR577" i="3"/>
  <c r="BO577" i="3"/>
  <c r="BQ577" i="3" s="1"/>
  <c r="BM577" i="3"/>
  <c r="BL577" i="3"/>
  <c r="BI577" i="3"/>
  <c r="BK577" i="3" s="1"/>
  <c r="BG577" i="3"/>
  <c r="BF577" i="3"/>
  <c r="BE577" i="3"/>
  <c r="BD577" i="3"/>
  <c r="BB577" i="3"/>
  <c r="BA577" i="3"/>
  <c r="BR576" i="3"/>
  <c r="BO576" i="3"/>
  <c r="BP576" i="3" s="1"/>
  <c r="BM576" i="3"/>
  <c r="BL576" i="3"/>
  <c r="BK576" i="3"/>
  <c r="BI576" i="3"/>
  <c r="BJ576" i="3" s="1"/>
  <c r="BG576" i="3"/>
  <c r="BD576" i="3"/>
  <c r="BF576" i="3" s="1"/>
  <c r="BA576" i="3"/>
  <c r="BE576" i="3" s="1"/>
  <c r="BR575" i="3"/>
  <c r="BQ575" i="3"/>
  <c r="BP575" i="3"/>
  <c r="BO575" i="3"/>
  <c r="BM575" i="3"/>
  <c r="BL575" i="3"/>
  <c r="BJ575" i="3"/>
  <c r="BI575" i="3"/>
  <c r="BK575" i="3" s="1"/>
  <c r="BG575" i="3"/>
  <c r="BF575" i="3"/>
  <c r="BD575" i="3"/>
  <c r="BE575" i="3" s="1"/>
  <c r="BB575" i="3"/>
  <c r="BA575" i="3"/>
  <c r="BR574" i="3"/>
  <c r="BO574" i="3"/>
  <c r="BQ574" i="3" s="1"/>
  <c r="BM574" i="3"/>
  <c r="BL574" i="3"/>
  <c r="BI574" i="3"/>
  <c r="BK574" i="3" s="1"/>
  <c r="BG574" i="3"/>
  <c r="BF574" i="3"/>
  <c r="BE574" i="3"/>
  <c r="BD574" i="3"/>
  <c r="BB574" i="3"/>
  <c r="BA574" i="3"/>
  <c r="BQ573" i="3"/>
  <c r="BO573" i="3"/>
  <c r="BP573" i="3" s="1"/>
  <c r="BM573" i="3"/>
  <c r="BL573" i="3"/>
  <c r="BI573" i="3"/>
  <c r="BG573" i="3"/>
  <c r="BD573" i="3"/>
  <c r="BF573" i="3" s="1"/>
  <c r="BA573" i="3"/>
  <c r="BB573" i="3" s="1"/>
  <c r="BR572" i="3"/>
  <c r="BP572" i="3"/>
  <c r="BO572" i="3"/>
  <c r="BQ572" i="3" s="1"/>
  <c r="BM572" i="3"/>
  <c r="BL572" i="3"/>
  <c r="BI572" i="3"/>
  <c r="BK572" i="3" s="1"/>
  <c r="BF572" i="3"/>
  <c r="BD572" i="3"/>
  <c r="BE572" i="3" s="1"/>
  <c r="BB572" i="3"/>
  <c r="BA572" i="3"/>
  <c r="BO571" i="3"/>
  <c r="BR571" i="3" s="1"/>
  <c r="BM571" i="3"/>
  <c r="BL571" i="3"/>
  <c r="BK571" i="3"/>
  <c r="BI571" i="3"/>
  <c r="BJ571" i="3" s="1"/>
  <c r="BG571" i="3"/>
  <c r="BE571" i="3"/>
  <c r="BD571" i="3"/>
  <c r="BF571" i="3" s="1"/>
  <c r="BA571" i="3"/>
  <c r="BB571" i="3" s="1"/>
  <c r="BQ570" i="3"/>
  <c r="BP570" i="3"/>
  <c r="BO570" i="3"/>
  <c r="BR570" i="3" s="1"/>
  <c r="BM570" i="3"/>
  <c r="BL570" i="3"/>
  <c r="BI570" i="3"/>
  <c r="BD570" i="3"/>
  <c r="BK570" i="3" s="1"/>
  <c r="BA570" i="3"/>
  <c r="BB570" i="3" s="1"/>
  <c r="BR569" i="3"/>
  <c r="BO569" i="3"/>
  <c r="BQ569" i="3" s="1"/>
  <c r="BM569" i="3"/>
  <c r="BL569" i="3"/>
  <c r="BI569" i="3"/>
  <c r="BK569" i="3" s="1"/>
  <c r="BF569" i="3"/>
  <c r="BE569" i="3"/>
  <c r="BD569" i="3"/>
  <c r="BG569" i="3" s="1"/>
  <c r="BB569" i="3"/>
  <c r="BA569" i="3"/>
  <c r="BR568" i="3"/>
  <c r="BO568" i="3"/>
  <c r="BP568" i="3" s="1"/>
  <c r="BM568" i="3"/>
  <c r="BL568" i="3"/>
  <c r="BK568" i="3"/>
  <c r="BI568" i="3"/>
  <c r="BJ568" i="3" s="1"/>
  <c r="BG568" i="3"/>
  <c r="BD568" i="3"/>
  <c r="BF568" i="3" s="1"/>
  <c r="BA568" i="3"/>
  <c r="BE568" i="3" s="1"/>
  <c r="BR567" i="3"/>
  <c r="BQ567" i="3"/>
  <c r="BP567" i="3"/>
  <c r="BO567" i="3"/>
  <c r="BM567" i="3"/>
  <c r="BL567" i="3"/>
  <c r="BJ567" i="3"/>
  <c r="BI567" i="3"/>
  <c r="BK567" i="3" s="1"/>
  <c r="BG567" i="3"/>
  <c r="BF567" i="3"/>
  <c r="BD567" i="3"/>
  <c r="BE567" i="3" s="1"/>
  <c r="BB567" i="3"/>
  <c r="BA567" i="3"/>
  <c r="BR566" i="3"/>
  <c r="BO566" i="3"/>
  <c r="BQ566" i="3" s="1"/>
  <c r="BM566" i="3"/>
  <c r="BL566" i="3"/>
  <c r="BI566" i="3"/>
  <c r="BK566" i="3" s="1"/>
  <c r="BG566" i="3"/>
  <c r="BF566" i="3"/>
  <c r="BE566" i="3"/>
  <c r="BD566" i="3"/>
  <c r="BB566" i="3"/>
  <c r="BA566" i="3"/>
  <c r="BQ565" i="3"/>
  <c r="BO565" i="3"/>
  <c r="BP565" i="3" s="1"/>
  <c r="BM565" i="3"/>
  <c r="BL565" i="3"/>
  <c r="BI565" i="3"/>
  <c r="BG565" i="3"/>
  <c r="BD565" i="3"/>
  <c r="BF565" i="3" s="1"/>
  <c r="BA565" i="3"/>
  <c r="BB565" i="3" s="1"/>
  <c r="BR564" i="3"/>
  <c r="BP564" i="3"/>
  <c r="BO564" i="3"/>
  <c r="BQ564" i="3" s="1"/>
  <c r="BM564" i="3"/>
  <c r="BL564" i="3"/>
  <c r="BI564" i="3"/>
  <c r="BK564" i="3" s="1"/>
  <c r="BF564" i="3"/>
  <c r="BD564" i="3"/>
  <c r="BE564" i="3" s="1"/>
  <c r="BB564" i="3"/>
  <c r="BA564" i="3"/>
  <c r="BO563" i="3"/>
  <c r="BR563" i="3" s="1"/>
  <c r="BM563" i="3"/>
  <c r="BL563" i="3"/>
  <c r="BK563" i="3"/>
  <c r="BI563" i="3"/>
  <c r="BJ563" i="3" s="1"/>
  <c r="BG563" i="3"/>
  <c r="BE563" i="3"/>
  <c r="BD563" i="3"/>
  <c r="BF563" i="3" s="1"/>
  <c r="BA563" i="3"/>
  <c r="BB563" i="3" s="1"/>
  <c r="BQ562" i="3"/>
  <c r="BP562" i="3"/>
  <c r="BO562" i="3"/>
  <c r="BR562" i="3" s="1"/>
  <c r="BM562" i="3"/>
  <c r="BL562" i="3"/>
  <c r="BI562" i="3"/>
  <c r="BD562" i="3"/>
  <c r="BK562" i="3" s="1"/>
  <c r="BA562" i="3"/>
  <c r="BB562" i="3" s="1"/>
  <c r="BR561" i="3"/>
  <c r="BO561" i="3"/>
  <c r="BQ561" i="3" s="1"/>
  <c r="BM561" i="3"/>
  <c r="BL561" i="3"/>
  <c r="BJ561" i="3"/>
  <c r="BI561" i="3"/>
  <c r="BK561" i="3" s="1"/>
  <c r="BF561" i="3"/>
  <c r="BE561" i="3"/>
  <c r="BD561" i="3"/>
  <c r="BG561" i="3" s="1"/>
  <c r="BB561" i="3"/>
  <c r="BA561" i="3"/>
  <c r="BR560" i="3"/>
  <c r="BO560" i="3"/>
  <c r="BP560" i="3" s="1"/>
  <c r="BM560" i="3"/>
  <c r="BL560" i="3"/>
  <c r="BK560" i="3"/>
  <c r="BI560" i="3"/>
  <c r="BJ560" i="3" s="1"/>
  <c r="BG560" i="3"/>
  <c r="BD560" i="3"/>
  <c r="BA560" i="3"/>
  <c r="BR559" i="3"/>
  <c r="BQ559" i="3"/>
  <c r="BP559" i="3"/>
  <c r="BO559" i="3"/>
  <c r="BM559" i="3"/>
  <c r="BL559" i="3"/>
  <c r="BJ559" i="3"/>
  <c r="BI559" i="3"/>
  <c r="BK559" i="3" s="1"/>
  <c r="BG559" i="3"/>
  <c r="BF559" i="3"/>
  <c r="BD559" i="3"/>
  <c r="BE559" i="3" s="1"/>
  <c r="BB559" i="3"/>
  <c r="BA559" i="3"/>
  <c r="BR558" i="3"/>
  <c r="BO558" i="3"/>
  <c r="BQ558" i="3" s="1"/>
  <c r="BM558" i="3"/>
  <c r="BL558" i="3"/>
  <c r="BI558" i="3"/>
  <c r="BP558" i="3" s="1"/>
  <c r="BG558" i="3"/>
  <c r="BF558" i="3"/>
  <c r="BE558" i="3"/>
  <c r="BD558" i="3"/>
  <c r="BB558" i="3"/>
  <c r="BA558" i="3"/>
  <c r="BQ557" i="3"/>
  <c r="BO557" i="3"/>
  <c r="BP557" i="3" s="1"/>
  <c r="BM557" i="3"/>
  <c r="BL557" i="3"/>
  <c r="BI557" i="3"/>
  <c r="BG557" i="3"/>
  <c r="BE557" i="3"/>
  <c r="BD557" i="3"/>
  <c r="BF557" i="3" s="1"/>
  <c r="BA557" i="3"/>
  <c r="BB557" i="3" s="1"/>
  <c r="BR556" i="3"/>
  <c r="BP556" i="3"/>
  <c r="BO556" i="3"/>
  <c r="BQ556" i="3" s="1"/>
  <c r="BM556" i="3"/>
  <c r="BL556" i="3"/>
  <c r="BI556" i="3"/>
  <c r="BK556" i="3" s="1"/>
  <c r="BF556" i="3"/>
  <c r="BD556" i="3"/>
  <c r="BE556" i="3" s="1"/>
  <c r="BB556" i="3"/>
  <c r="BA556" i="3"/>
  <c r="BO555" i="3"/>
  <c r="BR555" i="3" s="1"/>
  <c r="BM555" i="3"/>
  <c r="BL555" i="3"/>
  <c r="BK555" i="3"/>
  <c r="BI555" i="3"/>
  <c r="BJ555" i="3" s="1"/>
  <c r="BG555" i="3"/>
  <c r="BE555" i="3"/>
  <c r="BD555" i="3"/>
  <c r="BF555" i="3" s="1"/>
  <c r="BB555" i="3"/>
  <c r="BA555" i="3"/>
  <c r="BQ554" i="3"/>
  <c r="BP554" i="3"/>
  <c r="BO554" i="3"/>
  <c r="BR554" i="3" s="1"/>
  <c r="BM554" i="3"/>
  <c r="BL554" i="3"/>
  <c r="BI554" i="3"/>
  <c r="BD554" i="3"/>
  <c r="BK554" i="3" s="1"/>
  <c r="BA554" i="3"/>
  <c r="BB554" i="3" s="1"/>
  <c r="BR553" i="3"/>
  <c r="BO553" i="3"/>
  <c r="BQ553" i="3" s="1"/>
  <c r="BM553" i="3"/>
  <c r="BL553" i="3"/>
  <c r="BJ553" i="3"/>
  <c r="BI553" i="3"/>
  <c r="BK553" i="3" s="1"/>
  <c r="BF553" i="3"/>
  <c r="BE553" i="3"/>
  <c r="BD553" i="3"/>
  <c r="BG553" i="3" s="1"/>
  <c r="BB553" i="3"/>
  <c r="BA553" i="3"/>
  <c r="BR552" i="3"/>
  <c r="BO552" i="3"/>
  <c r="BP552" i="3" s="1"/>
  <c r="BM552" i="3"/>
  <c r="BL552" i="3"/>
  <c r="BK552" i="3"/>
  <c r="BI552" i="3"/>
  <c r="BJ552" i="3" s="1"/>
  <c r="BG552" i="3"/>
  <c r="BD552" i="3"/>
  <c r="BF552" i="3" s="1"/>
  <c r="BA552" i="3"/>
  <c r="BB552" i="3" s="1"/>
  <c r="BR551" i="3"/>
  <c r="BQ551" i="3"/>
  <c r="BP551" i="3"/>
  <c r="BO551" i="3"/>
  <c r="BM551" i="3"/>
  <c r="BL551" i="3"/>
  <c r="BJ551" i="3"/>
  <c r="BI551" i="3"/>
  <c r="BK551" i="3" s="1"/>
  <c r="BG551" i="3"/>
  <c r="BF551" i="3"/>
  <c r="BD551" i="3"/>
  <c r="BE551" i="3" s="1"/>
  <c r="BB551" i="3"/>
  <c r="BA551" i="3"/>
  <c r="BR550" i="3"/>
  <c r="BO550" i="3"/>
  <c r="BQ550" i="3" s="1"/>
  <c r="BM550" i="3"/>
  <c r="BL550" i="3"/>
  <c r="BI550" i="3"/>
  <c r="BP550" i="3" s="1"/>
  <c r="BG550" i="3"/>
  <c r="BF550" i="3"/>
  <c r="BE550" i="3"/>
  <c r="BD550" i="3"/>
  <c r="BA550" i="3"/>
  <c r="BB550" i="3" s="1"/>
  <c r="BQ549" i="3"/>
  <c r="BO549" i="3"/>
  <c r="BP549" i="3" s="1"/>
  <c r="BM549" i="3"/>
  <c r="BL549" i="3"/>
  <c r="BI549" i="3"/>
  <c r="BG549" i="3"/>
  <c r="BE549" i="3"/>
  <c r="BD549" i="3"/>
  <c r="BF549" i="3" s="1"/>
  <c r="BA549" i="3"/>
  <c r="BB549" i="3" s="1"/>
  <c r="BR548" i="3"/>
  <c r="BP548" i="3"/>
  <c r="BO548" i="3"/>
  <c r="BQ548" i="3" s="1"/>
  <c r="BM548" i="3"/>
  <c r="BL548" i="3"/>
  <c r="BI548" i="3"/>
  <c r="BK548" i="3" s="1"/>
  <c r="BF548" i="3"/>
  <c r="BD548" i="3"/>
  <c r="BE548" i="3" s="1"/>
  <c r="BB548" i="3"/>
  <c r="BA548" i="3"/>
  <c r="BO547" i="3"/>
  <c r="BR547" i="3" s="1"/>
  <c r="BM547" i="3"/>
  <c r="BL547" i="3"/>
  <c r="BK547" i="3"/>
  <c r="BI547" i="3"/>
  <c r="BJ547" i="3" s="1"/>
  <c r="BG547" i="3"/>
  <c r="BE547" i="3"/>
  <c r="BD547" i="3"/>
  <c r="BF547" i="3" s="1"/>
  <c r="BB547" i="3"/>
  <c r="BA547" i="3"/>
  <c r="BQ546" i="3"/>
  <c r="BP546" i="3"/>
  <c r="BO546" i="3"/>
  <c r="BR546" i="3" s="1"/>
  <c r="BM546" i="3"/>
  <c r="BL546" i="3"/>
  <c r="BI546" i="3"/>
  <c r="BD546" i="3"/>
  <c r="BK546" i="3" s="1"/>
  <c r="BA546" i="3"/>
  <c r="BB546" i="3" s="1"/>
  <c r="BR545" i="3"/>
  <c r="BO545" i="3"/>
  <c r="BQ545" i="3" s="1"/>
  <c r="BM545" i="3"/>
  <c r="BL545" i="3"/>
  <c r="BJ545" i="3"/>
  <c r="BI545" i="3"/>
  <c r="BK545" i="3" s="1"/>
  <c r="BF545" i="3"/>
  <c r="BE545" i="3"/>
  <c r="BD545" i="3"/>
  <c r="BG545" i="3" s="1"/>
  <c r="BB545" i="3"/>
  <c r="BA545" i="3"/>
  <c r="BR544" i="3"/>
  <c r="BO544" i="3"/>
  <c r="BP544" i="3" s="1"/>
  <c r="BM544" i="3"/>
  <c r="BL544" i="3"/>
  <c r="BK544" i="3"/>
  <c r="BI544" i="3"/>
  <c r="BJ544" i="3" s="1"/>
  <c r="BG544" i="3"/>
  <c r="BD544" i="3"/>
  <c r="BF544" i="3" s="1"/>
  <c r="BA544" i="3"/>
  <c r="BB544" i="3" s="1"/>
  <c r="BR543" i="3"/>
  <c r="BQ543" i="3"/>
  <c r="BP543" i="3"/>
  <c r="BO543" i="3"/>
  <c r="BM543" i="3"/>
  <c r="BL543" i="3"/>
  <c r="BJ543" i="3"/>
  <c r="BI543" i="3"/>
  <c r="BK543" i="3" s="1"/>
  <c r="BG543" i="3"/>
  <c r="BF543" i="3"/>
  <c r="BD543" i="3"/>
  <c r="BE543" i="3" s="1"/>
  <c r="BB543" i="3"/>
  <c r="BA543" i="3"/>
  <c r="BR542" i="3"/>
  <c r="BO542" i="3"/>
  <c r="BQ542" i="3" s="1"/>
  <c r="BM542" i="3"/>
  <c r="BL542" i="3"/>
  <c r="BI542" i="3"/>
  <c r="BP542" i="3" s="1"/>
  <c r="BG542" i="3"/>
  <c r="BF542" i="3"/>
  <c r="BE542" i="3"/>
  <c r="BD542" i="3"/>
  <c r="BA542" i="3"/>
  <c r="BB542" i="3" s="1"/>
  <c r="BQ541" i="3"/>
  <c r="BO541" i="3"/>
  <c r="BP541" i="3" s="1"/>
  <c r="BM541" i="3"/>
  <c r="BL541" i="3"/>
  <c r="BI541" i="3"/>
  <c r="BG541" i="3"/>
  <c r="BE541" i="3"/>
  <c r="BD541" i="3"/>
  <c r="BF541" i="3" s="1"/>
  <c r="BA541" i="3"/>
  <c r="BB541" i="3" s="1"/>
  <c r="BR540" i="3"/>
  <c r="BP540" i="3"/>
  <c r="BO540" i="3"/>
  <c r="BQ540" i="3" s="1"/>
  <c r="BM540" i="3"/>
  <c r="BL540" i="3"/>
  <c r="BI540" i="3"/>
  <c r="BK540" i="3" s="1"/>
  <c r="BF540" i="3"/>
  <c r="BD540" i="3"/>
  <c r="BE540" i="3" s="1"/>
  <c r="BB540" i="3"/>
  <c r="BA540" i="3"/>
  <c r="BO539" i="3"/>
  <c r="BR539" i="3" s="1"/>
  <c r="BM539" i="3"/>
  <c r="BL539" i="3"/>
  <c r="BK539" i="3"/>
  <c r="BI539" i="3"/>
  <c r="BJ539" i="3" s="1"/>
  <c r="BG539" i="3"/>
  <c r="BE539" i="3"/>
  <c r="BD539" i="3"/>
  <c r="BF539" i="3" s="1"/>
  <c r="BB539" i="3"/>
  <c r="BA539" i="3"/>
  <c r="BQ538" i="3"/>
  <c r="BP538" i="3"/>
  <c r="BO538" i="3"/>
  <c r="BR538" i="3" s="1"/>
  <c r="BM538" i="3"/>
  <c r="BL538" i="3"/>
  <c r="BI538" i="3"/>
  <c r="BD538" i="3"/>
  <c r="BK538" i="3" s="1"/>
  <c r="BA538" i="3"/>
  <c r="BB538" i="3" s="1"/>
  <c r="BR537" i="3"/>
  <c r="BO537" i="3"/>
  <c r="BQ537" i="3" s="1"/>
  <c r="BM537" i="3"/>
  <c r="BL537" i="3"/>
  <c r="BJ537" i="3"/>
  <c r="BI537" i="3"/>
  <c r="BK537" i="3" s="1"/>
  <c r="BF537" i="3"/>
  <c r="BE537" i="3"/>
  <c r="BD537" i="3"/>
  <c r="BG537" i="3" s="1"/>
  <c r="BB537" i="3"/>
  <c r="BA537" i="3"/>
  <c r="BR536" i="3"/>
  <c r="BO536" i="3"/>
  <c r="BP536" i="3" s="1"/>
  <c r="BM536" i="3"/>
  <c r="BL536" i="3"/>
  <c r="BK536" i="3"/>
  <c r="BI536" i="3"/>
  <c r="BJ536" i="3" s="1"/>
  <c r="BG536" i="3"/>
  <c r="BD536" i="3"/>
  <c r="BF536" i="3" s="1"/>
  <c r="BA536" i="3"/>
  <c r="BB536" i="3" s="1"/>
  <c r="BR535" i="3"/>
  <c r="BQ535" i="3"/>
  <c r="BP535" i="3"/>
  <c r="BO535" i="3"/>
  <c r="BM535" i="3"/>
  <c r="BL535" i="3"/>
  <c r="BJ535" i="3"/>
  <c r="BI535" i="3"/>
  <c r="BK535" i="3" s="1"/>
  <c r="BG535" i="3"/>
  <c r="BF535" i="3"/>
  <c r="BD535" i="3"/>
  <c r="BE535" i="3" s="1"/>
  <c r="BB535" i="3"/>
  <c r="BA535" i="3"/>
  <c r="BR534" i="3"/>
  <c r="BO534" i="3"/>
  <c r="BQ534" i="3" s="1"/>
  <c r="BM534" i="3"/>
  <c r="BL534" i="3"/>
  <c r="BI534" i="3"/>
  <c r="BP534" i="3" s="1"/>
  <c r="BG534" i="3"/>
  <c r="BF534" i="3"/>
  <c r="BE534" i="3"/>
  <c r="BD534" i="3"/>
  <c r="BA534" i="3"/>
  <c r="BB534" i="3" s="1"/>
  <c r="BQ533" i="3"/>
  <c r="BO533" i="3"/>
  <c r="BP533" i="3" s="1"/>
  <c r="BM533" i="3"/>
  <c r="BL533" i="3"/>
  <c r="BI533" i="3"/>
  <c r="BG533" i="3"/>
  <c r="BE533" i="3"/>
  <c r="BD533" i="3"/>
  <c r="BF533" i="3" s="1"/>
  <c r="BA533" i="3"/>
  <c r="BB533" i="3" s="1"/>
  <c r="BR532" i="3"/>
  <c r="BP532" i="3"/>
  <c r="BO532" i="3"/>
  <c r="BQ532" i="3" s="1"/>
  <c r="BM532" i="3"/>
  <c r="BL532" i="3"/>
  <c r="BI532" i="3"/>
  <c r="BK532" i="3" s="1"/>
  <c r="BD532" i="3"/>
  <c r="BE532" i="3" s="1"/>
  <c r="BB532" i="3"/>
  <c r="BA532" i="3"/>
  <c r="BO531" i="3"/>
  <c r="BR531" i="3" s="1"/>
  <c r="BM531" i="3"/>
  <c r="BL531" i="3"/>
  <c r="BK531" i="3"/>
  <c r="BI531" i="3"/>
  <c r="BJ531" i="3" s="1"/>
  <c r="BG531" i="3"/>
  <c r="BE531" i="3"/>
  <c r="BD531" i="3"/>
  <c r="BF531" i="3" s="1"/>
  <c r="BB531" i="3"/>
  <c r="BA531" i="3"/>
  <c r="BQ530" i="3"/>
  <c r="BP530" i="3"/>
  <c r="BO530" i="3"/>
  <c r="BR530" i="3" s="1"/>
  <c r="BM530" i="3"/>
  <c r="BL530" i="3"/>
  <c r="BK530" i="3"/>
  <c r="BI530" i="3"/>
  <c r="BD530" i="3"/>
  <c r="BJ530" i="3" s="1"/>
  <c r="BA530" i="3"/>
  <c r="BB530" i="3" s="1"/>
  <c r="BR529" i="3"/>
  <c r="BO529" i="3"/>
  <c r="BQ529" i="3" s="1"/>
  <c r="BM529" i="3"/>
  <c r="BL529" i="3"/>
  <c r="BJ529" i="3"/>
  <c r="BI529" i="3"/>
  <c r="BK529" i="3" s="1"/>
  <c r="BF529" i="3"/>
  <c r="BE529" i="3"/>
  <c r="BD529" i="3"/>
  <c r="BG529" i="3" s="1"/>
  <c r="BB529" i="3"/>
  <c r="BA529" i="3"/>
  <c r="BR528" i="3"/>
  <c r="BO528" i="3"/>
  <c r="BP528" i="3" s="1"/>
  <c r="BM528" i="3"/>
  <c r="BL528" i="3"/>
  <c r="BI528" i="3"/>
  <c r="BJ528" i="3" s="1"/>
  <c r="BG528" i="3"/>
  <c r="BD528" i="3"/>
  <c r="BF528" i="3" s="1"/>
  <c r="BA528" i="3"/>
  <c r="BB528" i="3" s="1"/>
  <c r="BR527" i="3"/>
  <c r="BQ527" i="3"/>
  <c r="BP527" i="3"/>
  <c r="BO527" i="3"/>
  <c r="BM527" i="3"/>
  <c r="BL527" i="3"/>
  <c r="BJ527" i="3"/>
  <c r="BI527" i="3"/>
  <c r="BK527" i="3" s="1"/>
  <c r="BG527" i="3"/>
  <c r="BF527" i="3"/>
  <c r="BD527" i="3"/>
  <c r="BE527" i="3" s="1"/>
  <c r="BB527" i="3"/>
  <c r="BA527" i="3"/>
  <c r="BR526" i="3"/>
  <c r="BP526" i="3"/>
  <c r="BO526" i="3"/>
  <c r="BQ526" i="3" s="1"/>
  <c r="BM526" i="3"/>
  <c r="BL526" i="3"/>
  <c r="BI526" i="3"/>
  <c r="BK526" i="3" s="1"/>
  <c r="BG526" i="3"/>
  <c r="BF526" i="3"/>
  <c r="BE526" i="3"/>
  <c r="BD526" i="3"/>
  <c r="BA526" i="3"/>
  <c r="BB526" i="3" s="1"/>
  <c r="BO525" i="3"/>
  <c r="BM525" i="3"/>
  <c r="BL525" i="3"/>
  <c r="BI525" i="3"/>
  <c r="BG525" i="3"/>
  <c r="BE525" i="3"/>
  <c r="BD525" i="3"/>
  <c r="BF525" i="3" s="1"/>
  <c r="BA525" i="3"/>
  <c r="BB525" i="3" s="1"/>
  <c r="BR524" i="3"/>
  <c r="BP524" i="3"/>
  <c r="BO524" i="3"/>
  <c r="BQ524" i="3" s="1"/>
  <c r="BM524" i="3"/>
  <c r="BL524" i="3"/>
  <c r="BI524" i="3"/>
  <c r="BK524" i="3" s="1"/>
  <c r="BD524" i="3"/>
  <c r="BB524" i="3"/>
  <c r="BA524" i="3"/>
  <c r="BO523" i="3"/>
  <c r="BR523" i="3" s="1"/>
  <c r="BM523" i="3"/>
  <c r="BL523" i="3"/>
  <c r="BK523" i="3"/>
  <c r="BI523" i="3"/>
  <c r="BJ523" i="3" s="1"/>
  <c r="BG523" i="3"/>
  <c r="BE523" i="3"/>
  <c r="BD523" i="3"/>
  <c r="BF523" i="3" s="1"/>
  <c r="BB523" i="3"/>
  <c r="BA523" i="3"/>
  <c r="BR522" i="3"/>
  <c r="BQ522" i="3"/>
  <c r="BP522" i="3"/>
  <c r="BO522" i="3"/>
  <c r="BM522" i="3"/>
  <c r="BL522" i="3"/>
  <c r="BI522" i="3"/>
  <c r="BD522" i="3"/>
  <c r="BA522" i="3"/>
  <c r="BB522" i="3" s="1"/>
  <c r="BR521" i="3"/>
  <c r="BO521" i="3"/>
  <c r="BQ521" i="3" s="1"/>
  <c r="BM521" i="3"/>
  <c r="BL521" i="3"/>
  <c r="BJ521" i="3"/>
  <c r="BI521" i="3"/>
  <c r="BK521" i="3" s="1"/>
  <c r="BF521" i="3"/>
  <c r="BE521" i="3"/>
  <c r="BD521" i="3"/>
  <c r="BG521" i="3" s="1"/>
  <c r="BB521" i="3"/>
  <c r="BA521" i="3"/>
  <c r="BR520" i="3"/>
  <c r="BO520" i="3"/>
  <c r="BP520" i="3" s="1"/>
  <c r="BM520" i="3"/>
  <c r="BL520" i="3"/>
  <c r="BI520" i="3"/>
  <c r="BG520" i="3"/>
  <c r="BD520" i="3"/>
  <c r="BF520" i="3" s="1"/>
  <c r="BA520" i="3"/>
  <c r="BB520" i="3" s="1"/>
  <c r="BR519" i="3"/>
  <c r="BQ519" i="3"/>
  <c r="BP519" i="3"/>
  <c r="BO519" i="3"/>
  <c r="BM519" i="3"/>
  <c r="BL519" i="3"/>
  <c r="BJ519" i="3"/>
  <c r="BI519" i="3"/>
  <c r="BK519" i="3" s="1"/>
  <c r="BG519" i="3"/>
  <c r="BF519" i="3"/>
  <c r="BD519" i="3"/>
  <c r="BE519" i="3" s="1"/>
  <c r="BB519" i="3"/>
  <c r="BA519" i="3"/>
  <c r="BR518" i="3"/>
  <c r="BO518" i="3"/>
  <c r="BM518" i="3"/>
  <c r="BL518" i="3"/>
  <c r="BI518" i="3"/>
  <c r="BP518" i="3" s="1"/>
  <c r="BG518" i="3"/>
  <c r="BF518" i="3"/>
  <c r="BE518" i="3"/>
  <c r="BD518" i="3"/>
  <c r="BA518" i="3"/>
  <c r="BB518" i="3" s="1"/>
  <c r="BR516" i="3"/>
  <c r="BO516" i="3"/>
  <c r="BQ516" i="3" s="1"/>
  <c r="BM516" i="3"/>
  <c r="BL516" i="3"/>
  <c r="BI516" i="3"/>
  <c r="BK516" i="3" s="1"/>
  <c r="BD516" i="3"/>
  <c r="BG516" i="3" s="1"/>
  <c r="BB516" i="3"/>
  <c r="BA516" i="3"/>
  <c r="BO514" i="3"/>
  <c r="BR514" i="3" s="1"/>
  <c r="BM514" i="3"/>
  <c r="BL514" i="3"/>
  <c r="BJ514" i="3"/>
  <c r="BI514" i="3"/>
  <c r="BK514" i="3" s="1"/>
  <c r="BE514" i="3"/>
  <c r="BD514" i="3"/>
  <c r="BG514" i="3" s="1"/>
  <c r="BB514" i="3"/>
  <c r="BA514" i="3"/>
  <c r="BR513" i="3"/>
  <c r="BO513" i="3"/>
  <c r="BP513" i="3" s="1"/>
  <c r="BM513" i="3"/>
  <c r="BL513" i="3"/>
  <c r="BI513" i="3"/>
  <c r="BQ513" i="3" s="1"/>
  <c r="BD513" i="3"/>
  <c r="BG513" i="3" s="1"/>
  <c r="BA513" i="3"/>
  <c r="BB513" i="3" s="1"/>
  <c r="BR512" i="3"/>
  <c r="BQ512" i="3"/>
  <c r="BP512" i="3"/>
  <c r="BO512" i="3"/>
  <c r="BM512" i="3"/>
  <c r="BL512" i="3"/>
  <c r="BJ512" i="3"/>
  <c r="BI512" i="3"/>
  <c r="BK512" i="3" s="1"/>
  <c r="BG512" i="3"/>
  <c r="BF512" i="3"/>
  <c r="BD512" i="3"/>
  <c r="BE512" i="3" s="1"/>
  <c r="BB512" i="3"/>
  <c r="BA512" i="3"/>
  <c r="BR511" i="3"/>
  <c r="BO511" i="3"/>
  <c r="BQ511" i="3" s="1"/>
  <c r="BM511" i="3"/>
  <c r="BL511" i="3"/>
  <c r="BI511" i="3"/>
  <c r="BK511" i="3" s="1"/>
  <c r="BF511" i="3"/>
  <c r="BD511" i="3"/>
  <c r="BG511" i="3" s="1"/>
  <c r="BA511" i="3"/>
  <c r="BE511" i="3" s="1"/>
  <c r="BO510" i="3"/>
  <c r="BR510" i="3" s="1"/>
  <c r="BM510" i="3"/>
  <c r="BL510" i="3"/>
  <c r="BI510" i="3"/>
  <c r="BK510" i="3" s="1"/>
  <c r="BG510" i="3"/>
  <c r="BE510" i="3"/>
  <c r="BD510" i="3"/>
  <c r="BJ510" i="3" s="1"/>
  <c r="BA510" i="3"/>
  <c r="BB510" i="3" s="1"/>
  <c r="BR509" i="3"/>
  <c r="BP509" i="3"/>
  <c r="BO509" i="3"/>
  <c r="BQ509" i="3" s="1"/>
  <c r="BM509" i="3"/>
  <c r="BL509" i="3"/>
  <c r="BI509" i="3"/>
  <c r="BK509" i="3" s="1"/>
  <c r="BD509" i="3"/>
  <c r="BG509" i="3" s="1"/>
  <c r="BB509" i="3"/>
  <c r="BA509" i="3"/>
  <c r="BO508" i="3"/>
  <c r="BR508" i="3" s="1"/>
  <c r="BM508" i="3"/>
  <c r="BL508" i="3"/>
  <c r="BK508" i="3"/>
  <c r="BI508" i="3"/>
  <c r="BJ508" i="3" s="1"/>
  <c r="BG508" i="3"/>
  <c r="BE508" i="3"/>
  <c r="BD508" i="3"/>
  <c r="BF508" i="3" s="1"/>
  <c r="BB508" i="3"/>
  <c r="BA508" i="3"/>
  <c r="BP507" i="3"/>
  <c r="BO507" i="3"/>
  <c r="BR507" i="3" s="1"/>
  <c r="BM507" i="3"/>
  <c r="BL507" i="3"/>
  <c r="BK507" i="3"/>
  <c r="BI507" i="3"/>
  <c r="BD507" i="3"/>
  <c r="BJ507" i="3" s="1"/>
  <c r="BA507" i="3"/>
  <c r="BB507" i="3" s="1"/>
  <c r="BR505" i="3"/>
  <c r="BQ505" i="3"/>
  <c r="BO505" i="3"/>
  <c r="BP505" i="3" s="1"/>
  <c r="BM505" i="3"/>
  <c r="BL505" i="3"/>
  <c r="BI505" i="3"/>
  <c r="BK505" i="3" s="1"/>
  <c r="BG505" i="3"/>
  <c r="BD505" i="3"/>
  <c r="BF505" i="3" s="1"/>
  <c r="BB505" i="3"/>
  <c r="BA505" i="3"/>
  <c r="BR503" i="3"/>
  <c r="BO503" i="3"/>
  <c r="BQ503" i="3" s="1"/>
  <c r="BM503" i="3"/>
  <c r="BL503" i="3"/>
  <c r="BJ503" i="3"/>
  <c r="BI503" i="3"/>
  <c r="BP503" i="3" s="1"/>
  <c r="BF503" i="3"/>
  <c r="BD503" i="3"/>
  <c r="BG503" i="3" s="1"/>
  <c r="BB503" i="3"/>
  <c r="BA503" i="3"/>
  <c r="BR502" i="3"/>
  <c r="BO502" i="3"/>
  <c r="BQ502" i="3" s="1"/>
  <c r="BM502" i="3"/>
  <c r="BL502" i="3"/>
  <c r="BI502" i="3"/>
  <c r="BK502" i="3" s="1"/>
  <c r="BG502" i="3"/>
  <c r="BD502" i="3"/>
  <c r="BF502" i="3" s="1"/>
  <c r="BA502" i="3"/>
  <c r="BE502" i="3" s="1"/>
  <c r="BR501" i="3"/>
  <c r="BQ501" i="3"/>
  <c r="BP501" i="3"/>
  <c r="BO501" i="3"/>
  <c r="BM501" i="3"/>
  <c r="BL501" i="3"/>
  <c r="BJ501" i="3"/>
  <c r="BI501" i="3"/>
  <c r="BG501" i="3"/>
  <c r="BD501" i="3"/>
  <c r="BF501" i="3" s="1"/>
  <c r="BA501" i="3"/>
  <c r="BB501" i="3" s="1"/>
  <c r="BR500" i="3"/>
  <c r="BP500" i="3"/>
  <c r="BO500" i="3"/>
  <c r="BQ500" i="3" s="1"/>
  <c r="BM500" i="3"/>
  <c r="BL500" i="3"/>
  <c r="BI500" i="3"/>
  <c r="BK500" i="3" s="1"/>
  <c r="BG500" i="3"/>
  <c r="BF500" i="3"/>
  <c r="BE500" i="3"/>
  <c r="BD500" i="3"/>
  <c r="BB500" i="3"/>
  <c r="BA500" i="3"/>
  <c r="BO499" i="3"/>
  <c r="BQ499" i="3" s="1"/>
  <c r="BM499" i="3"/>
  <c r="BL499" i="3"/>
  <c r="BI499" i="3"/>
  <c r="BJ499" i="3" s="1"/>
  <c r="BG499" i="3"/>
  <c r="BE499" i="3"/>
  <c r="BD499" i="3"/>
  <c r="BK499" i="3" s="1"/>
  <c r="BA499" i="3"/>
  <c r="BB499" i="3" s="1"/>
  <c r="BR498" i="3"/>
  <c r="BQ498" i="3"/>
  <c r="BP498" i="3"/>
  <c r="BO498" i="3"/>
  <c r="BM498" i="3"/>
  <c r="BL498" i="3"/>
  <c r="BI498" i="3"/>
  <c r="BK498" i="3" s="1"/>
  <c r="BD498" i="3"/>
  <c r="BJ498" i="3" s="1"/>
  <c r="BB498" i="3"/>
  <c r="BA498" i="3"/>
  <c r="BO497" i="3"/>
  <c r="BR497" i="3" s="1"/>
  <c r="BM497" i="3"/>
  <c r="BL497" i="3"/>
  <c r="BI497" i="3"/>
  <c r="BK497" i="3" s="1"/>
  <c r="BG497" i="3"/>
  <c r="BE497" i="3"/>
  <c r="BD497" i="3"/>
  <c r="BB497" i="3"/>
  <c r="BA497" i="3"/>
  <c r="BF497" i="3" s="1"/>
  <c r="BQ496" i="3"/>
  <c r="BO496" i="3"/>
  <c r="BR496" i="3" s="1"/>
  <c r="BM496" i="3"/>
  <c r="BL496" i="3"/>
  <c r="BK496" i="3"/>
  <c r="BI496" i="3"/>
  <c r="BD496" i="3"/>
  <c r="BJ496" i="3" s="1"/>
  <c r="BA496" i="3"/>
  <c r="BB496" i="3" s="1"/>
  <c r="BR495" i="3"/>
  <c r="BO495" i="3"/>
  <c r="BQ495" i="3" s="1"/>
  <c r="BM495" i="3"/>
  <c r="BL495" i="3"/>
  <c r="BJ495" i="3"/>
  <c r="BI495" i="3"/>
  <c r="BP495" i="3" s="1"/>
  <c r="BF495" i="3"/>
  <c r="BD495" i="3"/>
  <c r="BG495" i="3" s="1"/>
  <c r="BB495" i="3"/>
  <c r="BA495" i="3"/>
  <c r="BR494" i="3"/>
  <c r="BO494" i="3"/>
  <c r="BQ494" i="3" s="1"/>
  <c r="BM494" i="3"/>
  <c r="BL494" i="3"/>
  <c r="BI494" i="3"/>
  <c r="BK494" i="3" s="1"/>
  <c r="BG494" i="3"/>
  <c r="BD494" i="3"/>
  <c r="BF494" i="3" s="1"/>
  <c r="BA494" i="3"/>
  <c r="BE494" i="3" s="1"/>
  <c r="BQ493" i="3"/>
  <c r="BP493" i="3"/>
  <c r="BO493" i="3"/>
  <c r="BR493" i="3" s="1"/>
  <c r="BM493" i="3"/>
  <c r="BL493" i="3"/>
  <c r="BJ493" i="3"/>
  <c r="BI493" i="3"/>
  <c r="BG493" i="3"/>
  <c r="BD493" i="3"/>
  <c r="BF493" i="3" s="1"/>
  <c r="BA493" i="3"/>
  <c r="BB493" i="3" s="1"/>
  <c r="BR492" i="3"/>
  <c r="BP492" i="3"/>
  <c r="BO492" i="3"/>
  <c r="BQ492" i="3" s="1"/>
  <c r="BM492" i="3"/>
  <c r="BL492" i="3"/>
  <c r="BI492" i="3"/>
  <c r="BK492" i="3" s="1"/>
  <c r="BF492" i="3"/>
  <c r="BE492" i="3"/>
  <c r="BD492" i="3"/>
  <c r="BG492" i="3" s="1"/>
  <c r="BB492" i="3"/>
  <c r="BA492" i="3"/>
  <c r="BO491" i="3"/>
  <c r="BQ491" i="3" s="1"/>
  <c r="BM491" i="3"/>
  <c r="BL491" i="3"/>
  <c r="BI491" i="3"/>
  <c r="BJ491" i="3" s="1"/>
  <c r="BG491" i="3"/>
  <c r="BE491" i="3"/>
  <c r="BD491" i="3"/>
  <c r="BK491" i="3" s="1"/>
  <c r="BA491" i="3"/>
  <c r="BB491" i="3" s="1"/>
  <c r="BQ490" i="3"/>
  <c r="BP490" i="3"/>
  <c r="BO490" i="3"/>
  <c r="BR490" i="3" s="1"/>
  <c r="BM490" i="3"/>
  <c r="BL490" i="3"/>
  <c r="BI490" i="3"/>
  <c r="BD490" i="3"/>
  <c r="BK490" i="3" s="1"/>
  <c r="BB490" i="3"/>
  <c r="BA490" i="3"/>
  <c r="BO489" i="3"/>
  <c r="BR489" i="3" s="1"/>
  <c r="BM489" i="3"/>
  <c r="BL489" i="3"/>
  <c r="BI489" i="3"/>
  <c r="BK489" i="3" s="1"/>
  <c r="BE489" i="3"/>
  <c r="BD489" i="3"/>
  <c r="BG489" i="3" s="1"/>
  <c r="BB489" i="3"/>
  <c r="BA489" i="3"/>
  <c r="BF489" i="3" s="1"/>
  <c r="BQ488" i="3"/>
  <c r="BO488" i="3"/>
  <c r="BR488" i="3" s="1"/>
  <c r="BM488" i="3"/>
  <c r="BL488" i="3"/>
  <c r="BK488" i="3"/>
  <c r="BI488" i="3"/>
  <c r="BD488" i="3"/>
  <c r="BJ488" i="3" s="1"/>
  <c r="BA488" i="3"/>
  <c r="BB488" i="3" s="1"/>
  <c r="BR487" i="3"/>
  <c r="BP487" i="3"/>
  <c r="BO487" i="3"/>
  <c r="BM487" i="3"/>
  <c r="BL487" i="3"/>
  <c r="BJ487" i="3"/>
  <c r="BI487" i="3"/>
  <c r="BQ487" i="3" s="1"/>
  <c r="BF487" i="3"/>
  <c r="BD487" i="3"/>
  <c r="BG487" i="3" s="1"/>
  <c r="BB487" i="3"/>
  <c r="BA487" i="3"/>
  <c r="BR486" i="3"/>
  <c r="BO486" i="3"/>
  <c r="BQ486" i="3" s="1"/>
  <c r="BM486" i="3"/>
  <c r="BL486" i="3"/>
  <c r="BI486" i="3"/>
  <c r="BK486" i="3" s="1"/>
  <c r="BG486" i="3"/>
  <c r="BD486" i="3"/>
  <c r="BA486" i="3"/>
  <c r="BF486" i="3" s="1"/>
  <c r="BQ485" i="3"/>
  <c r="BP485" i="3"/>
  <c r="BO485" i="3"/>
  <c r="BR485" i="3" s="1"/>
  <c r="BM485" i="3"/>
  <c r="BL485" i="3"/>
  <c r="BJ485" i="3"/>
  <c r="BI485" i="3"/>
  <c r="BG485" i="3"/>
  <c r="BD485" i="3"/>
  <c r="BF485" i="3" s="1"/>
  <c r="BA485" i="3"/>
  <c r="BB485" i="3" s="1"/>
  <c r="BR484" i="3"/>
  <c r="BP484" i="3"/>
  <c r="BO484" i="3"/>
  <c r="BQ484" i="3" s="1"/>
  <c r="BM484" i="3"/>
  <c r="BL484" i="3"/>
  <c r="BI484" i="3"/>
  <c r="BK484" i="3" s="1"/>
  <c r="BF484" i="3"/>
  <c r="BE484" i="3"/>
  <c r="BD484" i="3"/>
  <c r="BG484" i="3" s="1"/>
  <c r="BB484" i="3"/>
  <c r="BA484" i="3"/>
  <c r="BO483" i="3"/>
  <c r="BR483" i="3" s="1"/>
  <c r="BM483" i="3"/>
  <c r="BL483" i="3"/>
  <c r="BK483" i="3"/>
  <c r="BI483" i="3"/>
  <c r="BJ483" i="3" s="1"/>
  <c r="BG483" i="3"/>
  <c r="BE483" i="3"/>
  <c r="BD483" i="3"/>
  <c r="BF483" i="3" s="1"/>
  <c r="BA483" i="3"/>
  <c r="BB483" i="3" s="1"/>
  <c r="BQ482" i="3"/>
  <c r="BP482" i="3"/>
  <c r="BO482" i="3"/>
  <c r="BR482" i="3" s="1"/>
  <c r="BM482" i="3"/>
  <c r="BL482" i="3"/>
  <c r="BI482" i="3"/>
  <c r="BD482" i="3"/>
  <c r="BK482" i="3" s="1"/>
  <c r="BB482" i="3"/>
  <c r="BA482" i="3"/>
  <c r="BO481" i="3"/>
  <c r="BR481" i="3" s="1"/>
  <c r="BM481" i="3"/>
  <c r="BL481" i="3"/>
  <c r="BI481" i="3"/>
  <c r="BK481" i="3" s="1"/>
  <c r="BE481" i="3"/>
  <c r="BD481" i="3"/>
  <c r="BG481" i="3" s="1"/>
  <c r="BB481" i="3"/>
  <c r="BA481" i="3"/>
  <c r="BF481" i="3" s="1"/>
  <c r="BQ480" i="3"/>
  <c r="BO480" i="3"/>
  <c r="BR480" i="3" s="1"/>
  <c r="BM480" i="3"/>
  <c r="BL480" i="3"/>
  <c r="BK480" i="3"/>
  <c r="BI480" i="3"/>
  <c r="BD480" i="3"/>
  <c r="BJ480" i="3" s="1"/>
  <c r="BA480" i="3"/>
  <c r="BB480" i="3" s="1"/>
  <c r="BR479" i="3"/>
  <c r="BP479" i="3"/>
  <c r="BO479" i="3"/>
  <c r="BM479" i="3"/>
  <c r="BL479" i="3"/>
  <c r="BJ479" i="3"/>
  <c r="BI479" i="3"/>
  <c r="BQ479" i="3" s="1"/>
  <c r="BF479" i="3"/>
  <c r="BD479" i="3"/>
  <c r="BG479" i="3" s="1"/>
  <c r="BB479" i="3"/>
  <c r="BA479" i="3"/>
  <c r="BR477" i="3"/>
  <c r="BO477" i="3"/>
  <c r="BQ477" i="3" s="1"/>
  <c r="BM477" i="3"/>
  <c r="BL477" i="3"/>
  <c r="BI477" i="3"/>
  <c r="BK477" i="3" s="1"/>
  <c r="BD477" i="3"/>
  <c r="BG477" i="3" s="1"/>
  <c r="BB477" i="3"/>
  <c r="BA477" i="3"/>
  <c r="BR475" i="3"/>
  <c r="BO475" i="3"/>
  <c r="BP475" i="3" s="1"/>
  <c r="BM475" i="3"/>
  <c r="BL475" i="3"/>
  <c r="BI475" i="3"/>
  <c r="BQ475" i="3" s="1"/>
  <c r="BG475" i="3"/>
  <c r="BD475" i="3"/>
  <c r="BF475" i="3" s="1"/>
  <c r="BB475" i="3"/>
  <c r="BA475" i="3"/>
  <c r="BR474" i="3"/>
  <c r="BQ474" i="3"/>
  <c r="BP474" i="3"/>
  <c r="BO474" i="3"/>
  <c r="BM474" i="3"/>
  <c r="BL474" i="3"/>
  <c r="BK474" i="3"/>
  <c r="BI474" i="3"/>
  <c r="BJ474" i="3" s="1"/>
  <c r="BG474" i="3"/>
  <c r="BD474" i="3"/>
  <c r="BE474" i="3" s="1"/>
  <c r="BA474" i="3"/>
  <c r="BF474" i="3" s="1"/>
  <c r="BP473" i="3"/>
  <c r="BO473" i="3"/>
  <c r="BR473" i="3" s="1"/>
  <c r="BM473" i="3"/>
  <c r="BL473" i="3"/>
  <c r="BK473" i="3"/>
  <c r="BJ473" i="3"/>
  <c r="BI473" i="3"/>
  <c r="BG473" i="3"/>
  <c r="BF473" i="3"/>
  <c r="BE473" i="3"/>
  <c r="BD473" i="3"/>
  <c r="BA473" i="3"/>
  <c r="BB473" i="3" s="1"/>
  <c r="BO472" i="3"/>
  <c r="BR472" i="3" s="1"/>
  <c r="BM472" i="3"/>
  <c r="BL472" i="3"/>
  <c r="BI472" i="3"/>
  <c r="BK472" i="3" s="1"/>
  <c r="BE472" i="3"/>
  <c r="BD472" i="3"/>
  <c r="BJ472" i="3" s="1"/>
  <c r="BB472" i="3"/>
  <c r="BA472" i="3"/>
  <c r="BQ471" i="3"/>
  <c r="BO471" i="3"/>
  <c r="BR471" i="3" s="1"/>
  <c r="BM471" i="3"/>
  <c r="BL471" i="3"/>
  <c r="BI471" i="3"/>
  <c r="BK471" i="3" s="1"/>
  <c r="BD471" i="3"/>
  <c r="BG471" i="3" s="1"/>
  <c r="BB471" i="3"/>
  <c r="BA471" i="3"/>
  <c r="BQ470" i="3"/>
  <c r="BP470" i="3"/>
  <c r="BO470" i="3"/>
  <c r="BR470" i="3" s="1"/>
  <c r="BM470" i="3"/>
  <c r="BL470" i="3"/>
  <c r="BK470" i="3"/>
  <c r="BI470" i="3"/>
  <c r="BF470" i="3"/>
  <c r="BD470" i="3"/>
  <c r="BJ470" i="3" s="1"/>
  <c r="BB470" i="3"/>
  <c r="BA470" i="3"/>
  <c r="BO469" i="3"/>
  <c r="BR469" i="3" s="1"/>
  <c r="BM469" i="3"/>
  <c r="BL469" i="3"/>
  <c r="BK469" i="3"/>
  <c r="BJ469" i="3"/>
  <c r="BI469" i="3"/>
  <c r="BD469" i="3"/>
  <c r="BG469" i="3" s="1"/>
  <c r="BA469" i="3"/>
  <c r="BF469" i="3" s="1"/>
  <c r="BR468" i="3"/>
  <c r="BO468" i="3"/>
  <c r="BQ468" i="3" s="1"/>
  <c r="BM468" i="3"/>
  <c r="BL468" i="3"/>
  <c r="BJ468" i="3"/>
  <c r="BI468" i="3"/>
  <c r="BK468" i="3" s="1"/>
  <c r="BD468" i="3"/>
  <c r="BG468" i="3" s="1"/>
  <c r="BA468" i="3"/>
  <c r="BB468" i="3" s="1"/>
  <c r="BR467" i="3"/>
  <c r="BO467" i="3"/>
  <c r="BM467" i="3"/>
  <c r="BL467" i="3"/>
  <c r="BI467" i="3"/>
  <c r="BQ467" i="3" s="1"/>
  <c r="BG467" i="3"/>
  <c r="BD467" i="3"/>
  <c r="BF467" i="3" s="1"/>
  <c r="BB467" i="3"/>
  <c r="BA467" i="3"/>
  <c r="BR466" i="3"/>
  <c r="BQ466" i="3"/>
  <c r="BP466" i="3"/>
  <c r="BO466" i="3"/>
  <c r="BM466" i="3"/>
  <c r="BL466" i="3"/>
  <c r="BK466" i="3"/>
  <c r="BI466" i="3"/>
  <c r="BJ466" i="3" s="1"/>
  <c r="BG466" i="3"/>
  <c r="BF466" i="3"/>
  <c r="BD466" i="3"/>
  <c r="BA466" i="3"/>
  <c r="BE466" i="3" s="1"/>
  <c r="BP465" i="3"/>
  <c r="BO465" i="3"/>
  <c r="BR465" i="3" s="1"/>
  <c r="BM465" i="3"/>
  <c r="BL465" i="3"/>
  <c r="BK465" i="3"/>
  <c r="BJ465" i="3"/>
  <c r="BI465" i="3"/>
  <c r="BG465" i="3"/>
  <c r="BF465" i="3"/>
  <c r="BE465" i="3"/>
  <c r="BD465" i="3"/>
  <c r="BA465" i="3"/>
  <c r="BB465" i="3" s="1"/>
  <c r="BR462" i="3"/>
  <c r="BQ462" i="3"/>
  <c r="BP462" i="3"/>
  <c r="BO462" i="3"/>
  <c r="BM462" i="3"/>
  <c r="BL462" i="3"/>
  <c r="BJ462" i="3"/>
  <c r="BI462" i="3"/>
  <c r="BK462" i="3" s="1"/>
  <c r="BG462" i="3"/>
  <c r="BF462" i="3"/>
  <c r="BD462" i="3"/>
  <c r="BE462" i="3" s="1"/>
  <c r="BB462" i="3"/>
  <c r="BA462" i="3"/>
  <c r="BR460" i="3"/>
  <c r="BO460" i="3"/>
  <c r="BM460" i="3"/>
  <c r="BL460" i="3"/>
  <c r="BI460" i="3"/>
  <c r="BQ460" i="3" s="1"/>
  <c r="BG460" i="3"/>
  <c r="BF460" i="3"/>
  <c r="BE460" i="3"/>
  <c r="BD460" i="3"/>
  <c r="BB460" i="3"/>
  <c r="BA460" i="3"/>
  <c r="BO458" i="3"/>
  <c r="BR458" i="3" s="1"/>
  <c r="BM458" i="3"/>
  <c r="BL458" i="3"/>
  <c r="BK458" i="3"/>
  <c r="BJ458" i="3"/>
  <c r="BI458" i="3"/>
  <c r="BD458" i="3"/>
  <c r="BG458" i="3" s="1"/>
  <c r="BA458" i="3"/>
  <c r="BF458" i="3" s="1"/>
  <c r="BR457" i="3"/>
  <c r="BO457" i="3"/>
  <c r="BQ457" i="3" s="1"/>
  <c r="BM457" i="3"/>
  <c r="BL457" i="3"/>
  <c r="BI457" i="3"/>
  <c r="BK457" i="3" s="1"/>
  <c r="BD457" i="3"/>
  <c r="BG457" i="3" s="1"/>
  <c r="BA457" i="3"/>
  <c r="BB457" i="3" s="1"/>
  <c r="BR456" i="3"/>
  <c r="BQ456" i="3"/>
  <c r="BO456" i="3"/>
  <c r="BP456" i="3" s="1"/>
  <c r="BM456" i="3"/>
  <c r="BL456" i="3"/>
  <c r="BI456" i="3"/>
  <c r="BJ456" i="3" s="1"/>
  <c r="BG456" i="3"/>
  <c r="BD456" i="3"/>
  <c r="BF456" i="3" s="1"/>
  <c r="BB456" i="3"/>
  <c r="BA456" i="3"/>
  <c r="BR454" i="3"/>
  <c r="BO454" i="3"/>
  <c r="BQ454" i="3" s="1"/>
  <c r="BM454" i="3"/>
  <c r="BL454" i="3"/>
  <c r="BJ454" i="3"/>
  <c r="BI454" i="3"/>
  <c r="BK454" i="3" s="1"/>
  <c r="BD454" i="3"/>
  <c r="BG454" i="3" s="1"/>
  <c r="BB454" i="3"/>
  <c r="BA454" i="3"/>
  <c r="BR452" i="3"/>
  <c r="BO452" i="3"/>
  <c r="BQ452" i="3" s="1"/>
  <c r="BM452" i="3"/>
  <c r="BL452" i="3"/>
  <c r="BJ452" i="3"/>
  <c r="BI452" i="3"/>
  <c r="BK452" i="3" s="1"/>
  <c r="BD452" i="3"/>
  <c r="BG452" i="3" s="1"/>
  <c r="BB452" i="3"/>
  <c r="BA452" i="3"/>
  <c r="BR451" i="3"/>
  <c r="BO451" i="3"/>
  <c r="BP451" i="3" s="1"/>
  <c r="BM451" i="3"/>
  <c r="BL451" i="3"/>
  <c r="BI451" i="3"/>
  <c r="BQ451" i="3" s="1"/>
  <c r="BG451" i="3"/>
  <c r="BD451" i="3"/>
  <c r="BF451" i="3" s="1"/>
  <c r="BA451" i="3"/>
  <c r="BB451" i="3" s="1"/>
  <c r="BR450" i="3"/>
  <c r="BQ450" i="3"/>
  <c r="BP450" i="3"/>
  <c r="BO450" i="3"/>
  <c r="BM450" i="3"/>
  <c r="BL450" i="3"/>
  <c r="BK450" i="3"/>
  <c r="BJ450" i="3"/>
  <c r="BI450" i="3"/>
  <c r="BG450" i="3"/>
  <c r="BF450" i="3"/>
  <c r="BD450" i="3"/>
  <c r="BE450" i="3" s="1"/>
  <c r="BA450" i="3"/>
  <c r="BB450" i="3" s="1"/>
  <c r="BP449" i="3"/>
  <c r="BO449" i="3"/>
  <c r="BR449" i="3" s="1"/>
  <c r="BM449" i="3"/>
  <c r="BL449" i="3"/>
  <c r="BI449" i="3"/>
  <c r="BK449" i="3" s="1"/>
  <c r="BG449" i="3"/>
  <c r="BF449" i="3"/>
  <c r="BE449" i="3"/>
  <c r="BD449" i="3"/>
  <c r="BA449" i="3"/>
  <c r="BB449" i="3" s="1"/>
  <c r="BO448" i="3"/>
  <c r="BR448" i="3" s="1"/>
  <c r="BM448" i="3"/>
  <c r="BL448" i="3"/>
  <c r="BI448" i="3"/>
  <c r="BK448" i="3" s="1"/>
  <c r="BE448" i="3"/>
  <c r="BD448" i="3"/>
  <c r="BG448" i="3" s="1"/>
  <c r="BA448" i="3"/>
  <c r="BB448" i="3" s="1"/>
  <c r="BQ447" i="3"/>
  <c r="BP447" i="3"/>
  <c r="BO447" i="3"/>
  <c r="BR447" i="3" s="1"/>
  <c r="BM447" i="3"/>
  <c r="BL447" i="3"/>
  <c r="BI447" i="3"/>
  <c r="BK447" i="3" s="1"/>
  <c r="BD447" i="3"/>
  <c r="BF447" i="3" s="1"/>
  <c r="BB447" i="3"/>
  <c r="BA447" i="3"/>
  <c r="BO446" i="3"/>
  <c r="BR446" i="3" s="1"/>
  <c r="BM446" i="3"/>
  <c r="BL446" i="3"/>
  <c r="BK446" i="3"/>
  <c r="BI446" i="3"/>
  <c r="BJ446" i="3" s="1"/>
  <c r="BD446" i="3"/>
  <c r="BG446" i="3" s="1"/>
  <c r="BB446" i="3"/>
  <c r="BA446" i="3"/>
  <c r="BE446" i="3" s="1"/>
  <c r="BO445" i="3"/>
  <c r="BR445" i="3" s="1"/>
  <c r="BM445" i="3"/>
  <c r="BL445" i="3"/>
  <c r="BK445" i="3"/>
  <c r="BI445" i="3"/>
  <c r="BD445" i="3"/>
  <c r="BJ445" i="3" s="1"/>
  <c r="BA445" i="3"/>
  <c r="BB445" i="3" s="1"/>
  <c r="BR444" i="3"/>
  <c r="BO444" i="3"/>
  <c r="BQ444" i="3" s="1"/>
  <c r="BM444" i="3"/>
  <c r="BL444" i="3"/>
  <c r="BJ444" i="3"/>
  <c r="BI444" i="3"/>
  <c r="BK444" i="3" s="1"/>
  <c r="BD444" i="3"/>
  <c r="BG444" i="3" s="1"/>
  <c r="BB444" i="3"/>
  <c r="BA444" i="3"/>
  <c r="BR443" i="3"/>
  <c r="BO443" i="3"/>
  <c r="BP443" i="3" s="1"/>
  <c r="BM443" i="3"/>
  <c r="BL443" i="3"/>
  <c r="BI443" i="3"/>
  <c r="BQ443" i="3" s="1"/>
  <c r="BG443" i="3"/>
  <c r="BD443" i="3"/>
  <c r="BF443" i="3" s="1"/>
  <c r="BA443" i="3"/>
  <c r="BB443" i="3" s="1"/>
  <c r="BR442" i="3"/>
  <c r="BQ442" i="3"/>
  <c r="BP442" i="3"/>
  <c r="BO442" i="3"/>
  <c r="BM442" i="3"/>
  <c r="BL442" i="3"/>
  <c r="BK442" i="3"/>
  <c r="BJ442" i="3"/>
  <c r="BI442" i="3"/>
  <c r="BG442" i="3"/>
  <c r="BF442" i="3"/>
  <c r="BD442" i="3"/>
  <c r="BE442" i="3" s="1"/>
  <c r="BA442" i="3"/>
  <c r="BB442" i="3" s="1"/>
  <c r="BP441" i="3"/>
  <c r="BO441" i="3"/>
  <c r="BR441" i="3" s="1"/>
  <c r="BM441" i="3"/>
  <c r="BL441" i="3"/>
  <c r="BI441" i="3"/>
  <c r="BK441" i="3" s="1"/>
  <c r="BG441" i="3"/>
  <c r="BF441" i="3"/>
  <c r="BE441" i="3"/>
  <c r="BD441" i="3"/>
  <c r="BA441" i="3"/>
  <c r="BB441" i="3" s="1"/>
  <c r="BO440" i="3"/>
  <c r="BR440" i="3" s="1"/>
  <c r="BM440" i="3"/>
  <c r="BL440" i="3"/>
  <c r="BI440" i="3"/>
  <c r="BK440" i="3" s="1"/>
  <c r="BE440" i="3"/>
  <c r="BD440" i="3"/>
  <c r="BG440" i="3" s="1"/>
  <c r="BB440" i="3"/>
  <c r="BA440" i="3"/>
  <c r="BQ439" i="3"/>
  <c r="BP439" i="3"/>
  <c r="BO439" i="3"/>
  <c r="BR439" i="3" s="1"/>
  <c r="BM439" i="3"/>
  <c r="BL439" i="3"/>
  <c r="BI439" i="3"/>
  <c r="BK439" i="3" s="1"/>
  <c r="BD439" i="3"/>
  <c r="BF439" i="3" s="1"/>
  <c r="BB439" i="3"/>
  <c r="BA439" i="3"/>
  <c r="BO438" i="3"/>
  <c r="BR438" i="3" s="1"/>
  <c r="BM438" i="3"/>
  <c r="BL438" i="3"/>
  <c r="BK438" i="3"/>
  <c r="BI438" i="3"/>
  <c r="BD438" i="3"/>
  <c r="BJ438" i="3" s="1"/>
  <c r="BB438" i="3"/>
  <c r="BA438" i="3"/>
  <c r="BE438" i="3" s="1"/>
  <c r="BO437" i="3"/>
  <c r="BR437" i="3" s="1"/>
  <c r="BM437" i="3"/>
  <c r="BL437" i="3"/>
  <c r="BK437" i="3"/>
  <c r="BJ437" i="3"/>
  <c r="BI437" i="3"/>
  <c r="BD437" i="3"/>
  <c r="BG437" i="3" s="1"/>
  <c r="BA437" i="3"/>
  <c r="BB437" i="3" s="1"/>
  <c r="BR436" i="3"/>
  <c r="BO436" i="3"/>
  <c r="BQ436" i="3" s="1"/>
  <c r="BM436" i="3"/>
  <c r="BL436" i="3"/>
  <c r="BJ436" i="3"/>
  <c r="BI436" i="3"/>
  <c r="BK436" i="3" s="1"/>
  <c r="BD436" i="3"/>
  <c r="BG436" i="3" s="1"/>
  <c r="BB436" i="3"/>
  <c r="BA436" i="3"/>
  <c r="BR435" i="3"/>
  <c r="BO435" i="3"/>
  <c r="BP435" i="3" s="1"/>
  <c r="BM435" i="3"/>
  <c r="BL435" i="3"/>
  <c r="BI435" i="3"/>
  <c r="BQ435" i="3" s="1"/>
  <c r="BG435" i="3"/>
  <c r="BD435" i="3"/>
  <c r="BF435" i="3" s="1"/>
  <c r="BA435" i="3"/>
  <c r="BB435" i="3" s="1"/>
  <c r="BR434" i="3"/>
  <c r="BQ434" i="3"/>
  <c r="BP434" i="3"/>
  <c r="BO434" i="3"/>
  <c r="BM434" i="3"/>
  <c r="BL434" i="3"/>
  <c r="BK434" i="3"/>
  <c r="BJ434" i="3"/>
  <c r="BI434" i="3"/>
  <c r="BG434" i="3"/>
  <c r="BF434" i="3"/>
  <c r="BD434" i="3"/>
  <c r="BE434" i="3" s="1"/>
  <c r="BA434" i="3"/>
  <c r="BB434" i="3" s="1"/>
  <c r="BP433" i="3"/>
  <c r="BO433" i="3"/>
  <c r="BR433" i="3" s="1"/>
  <c r="BM433" i="3"/>
  <c r="BL433" i="3"/>
  <c r="BI433" i="3"/>
  <c r="BK433" i="3" s="1"/>
  <c r="BF433" i="3"/>
  <c r="BE433" i="3"/>
  <c r="BD433" i="3"/>
  <c r="BG433" i="3" s="1"/>
  <c r="BA433" i="3"/>
  <c r="BB433" i="3" s="1"/>
  <c r="BO432" i="3"/>
  <c r="BQ432" i="3" s="1"/>
  <c r="BM432" i="3"/>
  <c r="BL432" i="3"/>
  <c r="BI432" i="3"/>
  <c r="BK432" i="3" s="1"/>
  <c r="BE432" i="3"/>
  <c r="BD432" i="3"/>
  <c r="BG432" i="3" s="1"/>
  <c r="BA432" i="3"/>
  <c r="BB432" i="3" s="1"/>
  <c r="BQ431" i="3"/>
  <c r="BP431" i="3"/>
  <c r="BO431" i="3"/>
  <c r="BR431" i="3" s="1"/>
  <c r="BM431" i="3"/>
  <c r="BL431" i="3"/>
  <c r="BI431" i="3"/>
  <c r="BK431" i="3" s="1"/>
  <c r="BD431" i="3"/>
  <c r="BG431" i="3" s="1"/>
  <c r="BB431" i="3"/>
  <c r="BA431" i="3"/>
  <c r="BO430" i="3"/>
  <c r="BR430" i="3" s="1"/>
  <c r="BM430" i="3"/>
  <c r="BL430" i="3"/>
  <c r="BK430" i="3"/>
  <c r="BI430" i="3"/>
  <c r="BD430" i="3"/>
  <c r="BJ430" i="3" s="1"/>
  <c r="BB430" i="3"/>
  <c r="BA430" i="3"/>
  <c r="BE430" i="3" s="1"/>
  <c r="BO429" i="3"/>
  <c r="BR429" i="3" s="1"/>
  <c r="BM429" i="3"/>
  <c r="BL429" i="3"/>
  <c r="BK429" i="3"/>
  <c r="BJ429" i="3"/>
  <c r="BI429" i="3"/>
  <c r="BD429" i="3"/>
  <c r="BG429" i="3" s="1"/>
  <c r="BA429" i="3"/>
  <c r="BB429" i="3" s="1"/>
  <c r="BR428" i="3"/>
  <c r="BO428" i="3"/>
  <c r="BQ428" i="3" s="1"/>
  <c r="BM428" i="3"/>
  <c r="BL428" i="3"/>
  <c r="BJ428" i="3"/>
  <c r="BI428" i="3"/>
  <c r="BK428" i="3" s="1"/>
  <c r="BD428" i="3"/>
  <c r="BG428" i="3" s="1"/>
  <c r="BB428" i="3"/>
  <c r="BA428" i="3"/>
  <c r="BR427" i="3"/>
  <c r="BO427" i="3"/>
  <c r="BM427" i="3"/>
  <c r="BL427" i="3"/>
  <c r="BI427" i="3"/>
  <c r="BQ427" i="3" s="1"/>
  <c r="BG427" i="3"/>
  <c r="BD427" i="3"/>
  <c r="BF427" i="3" s="1"/>
  <c r="BA427" i="3"/>
  <c r="BB427" i="3" s="1"/>
  <c r="BQ426" i="3"/>
  <c r="BP426" i="3"/>
  <c r="BO426" i="3"/>
  <c r="BR426" i="3" s="1"/>
  <c r="BM426" i="3"/>
  <c r="BL426" i="3"/>
  <c r="BK426" i="3"/>
  <c r="BJ426" i="3"/>
  <c r="BI426" i="3"/>
  <c r="BG426" i="3"/>
  <c r="BF426" i="3"/>
  <c r="BD426" i="3"/>
  <c r="BA426" i="3"/>
  <c r="BE426" i="3" s="1"/>
  <c r="BO425" i="3"/>
  <c r="BR425" i="3" s="1"/>
  <c r="BM425" i="3"/>
  <c r="BL425" i="3"/>
  <c r="BI425" i="3"/>
  <c r="BK425" i="3" s="1"/>
  <c r="BF425" i="3"/>
  <c r="BE425" i="3"/>
  <c r="BD425" i="3"/>
  <c r="BG425" i="3" s="1"/>
  <c r="BA425" i="3"/>
  <c r="BB425" i="3" s="1"/>
  <c r="BO424" i="3"/>
  <c r="BQ424" i="3" s="1"/>
  <c r="BM424" i="3"/>
  <c r="BL424" i="3"/>
  <c r="BI424" i="3"/>
  <c r="BK424" i="3" s="1"/>
  <c r="BD424" i="3"/>
  <c r="BG424" i="3" s="1"/>
  <c r="BA424" i="3"/>
  <c r="BB424" i="3" s="1"/>
  <c r="BR422" i="3"/>
  <c r="BQ422" i="3"/>
  <c r="BO422" i="3"/>
  <c r="BM422" i="3"/>
  <c r="BL422" i="3"/>
  <c r="BI422" i="3"/>
  <c r="BP422" i="3" s="1"/>
  <c r="BG422" i="3"/>
  <c r="BF422" i="3"/>
  <c r="BD422" i="3"/>
  <c r="BE422" i="3" s="1"/>
  <c r="BB422" i="3"/>
  <c r="BA422" i="3"/>
  <c r="BR420" i="3"/>
  <c r="BQ420" i="3"/>
  <c r="BO420" i="3"/>
  <c r="BM420" i="3"/>
  <c r="BL420" i="3"/>
  <c r="BJ420" i="3"/>
  <c r="BI420" i="3"/>
  <c r="BP420" i="3" s="1"/>
  <c r="BG420" i="3"/>
  <c r="BF420" i="3"/>
  <c r="BD420" i="3"/>
  <c r="BE420" i="3" s="1"/>
  <c r="BB420" i="3"/>
  <c r="BA420" i="3"/>
  <c r="BR419" i="3"/>
  <c r="BO419" i="3"/>
  <c r="BQ419" i="3" s="1"/>
  <c r="BM419" i="3"/>
  <c r="BL419" i="3"/>
  <c r="BI419" i="3"/>
  <c r="BP419" i="3" s="1"/>
  <c r="BG419" i="3"/>
  <c r="BF419" i="3"/>
  <c r="BD419" i="3"/>
  <c r="BA419" i="3"/>
  <c r="BE419" i="3" s="1"/>
  <c r="BO418" i="3"/>
  <c r="BP418" i="3" s="1"/>
  <c r="BM418" i="3"/>
  <c r="BL418" i="3"/>
  <c r="BJ418" i="3"/>
  <c r="BI418" i="3"/>
  <c r="BG418" i="3"/>
  <c r="BE418" i="3"/>
  <c r="BD418" i="3"/>
  <c r="BF418" i="3" s="1"/>
  <c r="BA418" i="3"/>
  <c r="BB418" i="3" s="1"/>
  <c r="BR417" i="3"/>
  <c r="BP417" i="3"/>
  <c r="BO417" i="3"/>
  <c r="BQ417" i="3" s="1"/>
  <c r="BM417" i="3"/>
  <c r="BL417" i="3"/>
  <c r="BI417" i="3"/>
  <c r="BK417" i="3" s="1"/>
  <c r="BD417" i="3"/>
  <c r="BE417" i="3" s="1"/>
  <c r="BB417" i="3"/>
  <c r="BA417" i="3"/>
  <c r="BO416" i="3"/>
  <c r="BR416" i="3" s="1"/>
  <c r="BM416" i="3"/>
  <c r="BL416" i="3"/>
  <c r="BI416" i="3"/>
  <c r="BJ416" i="3" s="1"/>
  <c r="BG416" i="3"/>
  <c r="BE416" i="3"/>
  <c r="BD416" i="3"/>
  <c r="BK416" i="3" s="1"/>
  <c r="BB416" i="3"/>
  <c r="BA416" i="3"/>
  <c r="BQ415" i="3"/>
  <c r="BP415" i="3"/>
  <c r="BO415" i="3"/>
  <c r="BR415" i="3" s="1"/>
  <c r="BM415" i="3"/>
  <c r="BL415" i="3"/>
  <c r="BK415" i="3"/>
  <c r="BI415" i="3"/>
  <c r="BD415" i="3"/>
  <c r="BJ415" i="3" s="1"/>
  <c r="BA415" i="3"/>
  <c r="BB415" i="3" s="1"/>
  <c r="BO414" i="3"/>
  <c r="BR414" i="3" s="1"/>
  <c r="BM414" i="3"/>
  <c r="BL414" i="3"/>
  <c r="BJ414" i="3"/>
  <c r="BI414" i="3"/>
  <c r="BK414" i="3" s="1"/>
  <c r="BE414" i="3"/>
  <c r="BD414" i="3"/>
  <c r="BG414" i="3" s="1"/>
  <c r="BB414" i="3"/>
  <c r="BA414" i="3"/>
  <c r="BF414" i="3" s="1"/>
  <c r="BR413" i="3"/>
  <c r="BO413" i="3"/>
  <c r="BP413" i="3" s="1"/>
  <c r="BM413" i="3"/>
  <c r="BL413" i="3"/>
  <c r="BI413" i="3"/>
  <c r="BJ413" i="3" s="1"/>
  <c r="BD413" i="3"/>
  <c r="BG413" i="3" s="1"/>
  <c r="BA413" i="3"/>
  <c r="BB413" i="3" s="1"/>
  <c r="BR412" i="3"/>
  <c r="BQ412" i="3"/>
  <c r="BO412" i="3"/>
  <c r="BM412" i="3"/>
  <c r="BL412" i="3"/>
  <c r="BJ412" i="3"/>
  <c r="BI412" i="3"/>
  <c r="BP412" i="3" s="1"/>
  <c r="BG412" i="3"/>
  <c r="BF412" i="3"/>
  <c r="BD412" i="3"/>
  <c r="BE412" i="3" s="1"/>
  <c r="BB412" i="3"/>
  <c r="BA412" i="3"/>
  <c r="BR411" i="3"/>
  <c r="BP411" i="3"/>
  <c r="BO411" i="3"/>
  <c r="BQ411" i="3" s="1"/>
  <c r="BM411" i="3"/>
  <c r="BL411" i="3"/>
  <c r="BI411" i="3"/>
  <c r="BK411" i="3" s="1"/>
  <c r="BG411" i="3"/>
  <c r="BF411" i="3"/>
  <c r="BD411" i="3"/>
  <c r="BA411" i="3"/>
  <c r="BE411" i="3" s="1"/>
  <c r="BO410" i="3"/>
  <c r="BP410" i="3" s="1"/>
  <c r="BM410" i="3"/>
  <c r="BL410" i="3"/>
  <c r="BJ410" i="3"/>
  <c r="BI410" i="3"/>
  <c r="BG410" i="3"/>
  <c r="BE410" i="3"/>
  <c r="BD410" i="3"/>
  <c r="BF410" i="3" s="1"/>
  <c r="BA410" i="3"/>
  <c r="BB410" i="3" s="1"/>
  <c r="BR409" i="3"/>
  <c r="BP409" i="3"/>
  <c r="BO409" i="3"/>
  <c r="BQ409" i="3" s="1"/>
  <c r="BM409" i="3"/>
  <c r="BL409" i="3"/>
  <c r="BI409" i="3"/>
  <c r="BK409" i="3" s="1"/>
  <c r="BD409" i="3"/>
  <c r="BE409" i="3" s="1"/>
  <c r="BB409" i="3"/>
  <c r="BA409" i="3"/>
  <c r="BO408" i="3"/>
  <c r="BR408" i="3" s="1"/>
  <c r="BM408" i="3"/>
  <c r="BL408" i="3"/>
  <c r="BI408" i="3"/>
  <c r="BJ408" i="3" s="1"/>
  <c r="BG408" i="3"/>
  <c r="BE408" i="3"/>
  <c r="BD408" i="3"/>
  <c r="BK408" i="3" s="1"/>
  <c r="BB408" i="3"/>
  <c r="BA408" i="3"/>
  <c r="BQ407" i="3"/>
  <c r="BP407" i="3"/>
  <c r="BO407" i="3"/>
  <c r="BR407" i="3" s="1"/>
  <c r="BM407" i="3"/>
  <c r="BL407" i="3"/>
  <c r="BK407" i="3"/>
  <c r="BI407" i="3"/>
  <c r="BD407" i="3"/>
  <c r="BJ407" i="3" s="1"/>
  <c r="BA407" i="3"/>
  <c r="BB407" i="3" s="1"/>
  <c r="BO406" i="3"/>
  <c r="BR406" i="3" s="1"/>
  <c r="BM406" i="3"/>
  <c r="BL406" i="3"/>
  <c r="BJ406" i="3"/>
  <c r="BI406" i="3"/>
  <c r="BK406" i="3" s="1"/>
  <c r="BE406" i="3"/>
  <c r="BD406" i="3"/>
  <c r="BG406" i="3" s="1"/>
  <c r="BB406" i="3"/>
  <c r="BA406" i="3"/>
  <c r="BF406" i="3" s="1"/>
  <c r="BR405" i="3"/>
  <c r="BO405" i="3"/>
  <c r="BP405" i="3" s="1"/>
  <c r="BM405" i="3"/>
  <c r="BL405" i="3"/>
  <c r="BI405" i="3"/>
  <c r="BJ405" i="3" s="1"/>
  <c r="BD405" i="3"/>
  <c r="BG405" i="3" s="1"/>
  <c r="BA405" i="3"/>
  <c r="BB405" i="3" s="1"/>
  <c r="BR404" i="3"/>
  <c r="BQ404" i="3"/>
  <c r="BO404" i="3"/>
  <c r="BM404" i="3"/>
  <c r="BL404" i="3"/>
  <c r="BJ404" i="3"/>
  <c r="BI404" i="3"/>
  <c r="BP404" i="3" s="1"/>
  <c r="BG404" i="3"/>
  <c r="BF404" i="3"/>
  <c r="BD404" i="3"/>
  <c r="BE404" i="3" s="1"/>
  <c r="BB404" i="3"/>
  <c r="BA404" i="3"/>
  <c r="BR403" i="3"/>
  <c r="BP403" i="3"/>
  <c r="BO403" i="3"/>
  <c r="BQ403" i="3" s="1"/>
  <c r="BM403" i="3"/>
  <c r="BL403" i="3"/>
  <c r="BI403" i="3"/>
  <c r="BK403" i="3" s="1"/>
  <c r="BG403" i="3"/>
  <c r="BF403" i="3"/>
  <c r="BD403" i="3"/>
  <c r="BA403" i="3"/>
  <c r="BE403" i="3" s="1"/>
  <c r="BO402" i="3"/>
  <c r="BP402" i="3" s="1"/>
  <c r="BM402" i="3"/>
  <c r="BL402" i="3"/>
  <c r="BI402" i="3"/>
  <c r="BG402" i="3"/>
  <c r="BE402" i="3"/>
  <c r="BD402" i="3"/>
  <c r="BF402" i="3" s="1"/>
  <c r="BA402" i="3"/>
  <c r="BB402" i="3" s="1"/>
  <c r="BR401" i="3"/>
  <c r="BP401" i="3"/>
  <c r="BO401" i="3"/>
  <c r="BQ401" i="3" s="1"/>
  <c r="BM401" i="3"/>
  <c r="BL401" i="3"/>
  <c r="BI401" i="3"/>
  <c r="BK401" i="3" s="1"/>
  <c r="BD401" i="3"/>
  <c r="BE401" i="3" s="1"/>
  <c r="BB401" i="3"/>
  <c r="BA401" i="3"/>
  <c r="BO400" i="3"/>
  <c r="BR400" i="3" s="1"/>
  <c r="BM400" i="3"/>
  <c r="BL400" i="3"/>
  <c r="BK400" i="3"/>
  <c r="BI400" i="3"/>
  <c r="BJ400" i="3" s="1"/>
  <c r="BG400" i="3"/>
  <c r="BE400" i="3"/>
  <c r="BD400" i="3"/>
  <c r="BF400" i="3" s="1"/>
  <c r="BB400" i="3"/>
  <c r="BA400" i="3"/>
  <c r="BQ399" i="3"/>
  <c r="BP399" i="3"/>
  <c r="BO399" i="3"/>
  <c r="BR399" i="3" s="1"/>
  <c r="BM399" i="3"/>
  <c r="BL399" i="3"/>
  <c r="BK399" i="3"/>
  <c r="BI399" i="3"/>
  <c r="BD399" i="3"/>
  <c r="BJ399" i="3" s="1"/>
  <c r="BA399" i="3"/>
  <c r="BB399" i="3" s="1"/>
  <c r="BR398" i="3"/>
  <c r="BO398" i="3"/>
  <c r="BQ398" i="3" s="1"/>
  <c r="BM398" i="3"/>
  <c r="BL398" i="3"/>
  <c r="BI398" i="3"/>
  <c r="BP398" i="3" s="1"/>
  <c r="BF398" i="3"/>
  <c r="BD398" i="3"/>
  <c r="BG398" i="3" s="1"/>
  <c r="BB398" i="3"/>
  <c r="BA398" i="3"/>
  <c r="BQ397" i="3"/>
  <c r="BO397" i="3"/>
  <c r="BP397" i="3" s="1"/>
  <c r="BM397" i="3"/>
  <c r="BL397" i="3"/>
  <c r="BK397" i="3"/>
  <c r="BI397" i="3"/>
  <c r="BJ397" i="3" s="1"/>
  <c r="BG397" i="3"/>
  <c r="BD397" i="3"/>
  <c r="BF397" i="3" s="1"/>
  <c r="BA397" i="3"/>
  <c r="BE397" i="3" s="1"/>
  <c r="BR396" i="3"/>
  <c r="BQ396" i="3"/>
  <c r="BP396" i="3"/>
  <c r="BO396" i="3"/>
  <c r="BM396" i="3"/>
  <c r="BL396" i="3"/>
  <c r="BJ396" i="3"/>
  <c r="BI396" i="3"/>
  <c r="BF396" i="3"/>
  <c r="BD396" i="3"/>
  <c r="BE396" i="3" s="1"/>
  <c r="BA396" i="3"/>
  <c r="BB396" i="3" s="1"/>
  <c r="BR395" i="3"/>
  <c r="BO395" i="3"/>
  <c r="BQ395" i="3" s="1"/>
  <c r="BM395" i="3"/>
  <c r="BL395" i="3"/>
  <c r="BI395" i="3"/>
  <c r="BK395" i="3" s="1"/>
  <c r="BG395" i="3"/>
  <c r="BF395" i="3"/>
  <c r="BE395" i="3"/>
  <c r="BD395" i="3"/>
  <c r="BB395" i="3"/>
  <c r="BA395" i="3"/>
  <c r="BQ394" i="3"/>
  <c r="BO394" i="3"/>
  <c r="BR394" i="3" s="1"/>
  <c r="BM394" i="3"/>
  <c r="BL394" i="3"/>
  <c r="BI394" i="3"/>
  <c r="BJ394" i="3" s="1"/>
  <c r="BG394" i="3"/>
  <c r="BD394" i="3"/>
  <c r="BK394" i="3" s="1"/>
  <c r="BA394" i="3"/>
  <c r="BB394" i="3" s="1"/>
  <c r="BQ393" i="3"/>
  <c r="BP393" i="3"/>
  <c r="BO393" i="3"/>
  <c r="BR393" i="3" s="1"/>
  <c r="BM393" i="3"/>
  <c r="BL393" i="3"/>
  <c r="BI393" i="3"/>
  <c r="BK393" i="3" s="1"/>
  <c r="BF393" i="3"/>
  <c r="BD393" i="3"/>
  <c r="BJ393" i="3" s="1"/>
  <c r="BB393" i="3"/>
  <c r="BA393" i="3"/>
  <c r="BO392" i="3"/>
  <c r="BR392" i="3" s="1"/>
  <c r="BM392" i="3"/>
  <c r="BL392" i="3"/>
  <c r="BK392" i="3"/>
  <c r="BI392" i="3"/>
  <c r="BJ392" i="3" s="1"/>
  <c r="BE392" i="3"/>
  <c r="BD392" i="3"/>
  <c r="BG392" i="3" s="1"/>
  <c r="BA392" i="3"/>
  <c r="BF392" i="3" s="1"/>
  <c r="BQ391" i="3"/>
  <c r="BO391" i="3"/>
  <c r="BR391" i="3" s="1"/>
  <c r="BM391" i="3"/>
  <c r="BL391" i="3"/>
  <c r="BI391" i="3"/>
  <c r="BD391" i="3"/>
  <c r="BJ391" i="3" s="1"/>
  <c r="BA391" i="3"/>
  <c r="BB391" i="3" s="1"/>
  <c r="BR390" i="3"/>
  <c r="BO390" i="3"/>
  <c r="BQ390" i="3" s="1"/>
  <c r="BM390" i="3"/>
  <c r="BL390" i="3"/>
  <c r="BI390" i="3"/>
  <c r="BP390" i="3" s="1"/>
  <c r="BF390" i="3"/>
  <c r="BD390" i="3"/>
  <c r="BG390" i="3" s="1"/>
  <c r="BB390" i="3"/>
  <c r="BA390" i="3"/>
  <c r="BR389" i="3"/>
  <c r="BQ389" i="3"/>
  <c r="BO389" i="3"/>
  <c r="BP389" i="3" s="1"/>
  <c r="BM389" i="3"/>
  <c r="BL389" i="3"/>
  <c r="BK389" i="3"/>
  <c r="BI389" i="3"/>
  <c r="BJ389" i="3" s="1"/>
  <c r="BG389" i="3"/>
  <c r="BD389" i="3"/>
  <c r="BF389" i="3" s="1"/>
  <c r="BA389" i="3"/>
  <c r="BE389" i="3" s="1"/>
  <c r="BR388" i="3"/>
  <c r="BQ388" i="3"/>
  <c r="BP388" i="3"/>
  <c r="BO388" i="3"/>
  <c r="BM388" i="3"/>
  <c r="BL388" i="3"/>
  <c r="BJ388" i="3"/>
  <c r="BI388" i="3"/>
  <c r="BG388" i="3"/>
  <c r="BF388" i="3"/>
  <c r="BD388" i="3"/>
  <c r="BE388" i="3" s="1"/>
  <c r="BA388" i="3"/>
  <c r="BB388" i="3" s="1"/>
  <c r="BR387" i="3"/>
  <c r="BO387" i="3"/>
  <c r="BQ387" i="3" s="1"/>
  <c r="BM387" i="3"/>
  <c r="BL387" i="3"/>
  <c r="BI387" i="3"/>
  <c r="BK387" i="3" s="1"/>
  <c r="BG387" i="3"/>
  <c r="BF387" i="3"/>
  <c r="BE387" i="3"/>
  <c r="BD387" i="3"/>
  <c r="BB387" i="3"/>
  <c r="BA387" i="3"/>
  <c r="BQ386" i="3"/>
  <c r="BO386" i="3"/>
  <c r="BR386" i="3" s="1"/>
  <c r="BM386" i="3"/>
  <c r="BL386" i="3"/>
  <c r="BI386" i="3"/>
  <c r="BJ386" i="3" s="1"/>
  <c r="BG386" i="3"/>
  <c r="BD386" i="3"/>
  <c r="BK386" i="3" s="1"/>
  <c r="BA386" i="3"/>
  <c r="BB386" i="3" s="1"/>
  <c r="BQ385" i="3"/>
  <c r="BP385" i="3"/>
  <c r="BO385" i="3"/>
  <c r="BR385" i="3" s="1"/>
  <c r="BM385" i="3"/>
  <c r="BL385" i="3"/>
  <c r="BI385" i="3"/>
  <c r="BK385" i="3" s="1"/>
  <c r="BF385" i="3"/>
  <c r="BD385" i="3"/>
  <c r="BJ385" i="3" s="1"/>
  <c r="BB385" i="3"/>
  <c r="BA385" i="3"/>
  <c r="BO384" i="3"/>
  <c r="BR384" i="3" s="1"/>
  <c r="BM384" i="3"/>
  <c r="BL384" i="3"/>
  <c r="BK384" i="3"/>
  <c r="BI384" i="3"/>
  <c r="BJ384" i="3" s="1"/>
  <c r="BE384" i="3"/>
  <c r="BD384" i="3"/>
  <c r="BG384" i="3" s="1"/>
  <c r="BA384" i="3"/>
  <c r="BF384" i="3" s="1"/>
  <c r="BQ383" i="3"/>
  <c r="BO383" i="3"/>
  <c r="BR383" i="3" s="1"/>
  <c r="BM383" i="3"/>
  <c r="BL383" i="3"/>
  <c r="BI383" i="3"/>
  <c r="BD383" i="3"/>
  <c r="BJ383" i="3" s="1"/>
  <c r="BA383" i="3"/>
  <c r="BB383" i="3" s="1"/>
  <c r="BR382" i="3"/>
  <c r="BO382" i="3"/>
  <c r="BQ382" i="3" s="1"/>
  <c r="BM382" i="3"/>
  <c r="BL382" i="3"/>
  <c r="BI382" i="3"/>
  <c r="BP382" i="3" s="1"/>
  <c r="BF382" i="3"/>
  <c r="BD382" i="3"/>
  <c r="BG382" i="3" s="1"/>
  <c r="BB382" i="3"/>
  <c r="BA382" i="3"/>
  <c r="BR381" i="3"/>
  <c r="BQ381" i="3"/>
  <c r="BO381" i="3"/>
  <c r="BP381" i="3" s="1"/>
  <c r="BM381" i="3"/>
  <c r="BL381" i="3"/>
  <c r="BK381" i="3"/>
  <c r="BI381" i="3"/>
  <c r="BJ381" i="3" s="1"/>
  <c r="BG381" i="3"/>
  <c r="BD381" i="3"/>
  <c r="BF381" i="3" s="1"/>
  <c r="BA381" i="3"/>
  <c r="BE381" i="3" s="1"/>
  <c r="BQ380" i="3"/>
  <c r="BP380" i="3"/>
  <c r="BO380" i="3"/>
  <c r="BR380" i="3" s="1"/>
  <c r="BM380" i="3"/>
  <c r="BL380" i="3"/>
  <c r="BJ380" i="3"/>
  <c r="BI380" i="3"/>
  <c r="BG380" i="3"/>
  <c r="BF380" i="3"/>
  <c r="BD380" i="3"/>
  <c r="BE380" i="3" s="1"/>
  <c r="BA380" i="3"/>
  <c r="BB380" i="3" s="1"/>
  <c r="BR379" i="3"/>
  <c r="BO379" i="3"/>
  <c r="BQ379" i="3" s="1"/>
  <c r="BM379" i="3"/>
  <c r="BL379" i="3"/>
  <c r="BI379" i="3"/>
  <c r="BK379" i="3" s="1"/>
  <c r="BF379" i="3"/>
  <c r="BE379" i="3"/>
  <c r="BD379" i="3"/>
  <c r="BG379" i="3" s="1"/>
  <c r="BB379" i="3"/>
  <c r="BA379" i="3"/>
  <c r="BQ378" i="3"/>
  <c r="BO378" i="3"/>
  <c r="BR378" i="3" s="1"/>
  <c r="BM378" i="3"/>
  <c r="BL378" i="3"/>
  <c r="BI378" i="3"/>
  <c r="BJ378" i="3" s="1"/>
  <c r="BG378" i="3"/>
  <c r="BD378" i="3"/>
  <c r="BK378" i="3" s="1"/>
  <c r="BA378" i="3"/>
  <c r="BB378" i="3" s="1"/>
  <c r="BQ377" i="3"/>
  <c r="BP377" i="3"/>
  <c r="BO377" i="3"/>
  <c r="BR377" i="3" s="1"/>
  <c r="BM377" i="3"/>
  <c r="BL377" i="3"/>
  <c r="BI377" i="3"/>
  <c r="BF377" i="3"/>
  <c r="BD377" i="3"/>
  <c r="BK377" i="3" s="1"/>
  <c r="BB377" i="3"/>
  <c r="BA377" i="3"/>
  <c r="BO376" i="3"/>
  <c r="BR376" i="3" s="1"/>
  <c r="BM376" i="3"/>
  <c r="BL376" i="3"/>
  <c r="BK376" i="3"/>
  <c r="BI376" i="3"/>
  <c r="BJ376" i="3" s="1"/>
  <c r="BD376" i="3"/>
  <c r="BG376" i="3" s="1"/>
  <c r="BA376" i="3"/>
  <c r="BF376" i="3" s="1"/>
  <c r="BQ375" i="3"/>
  <c r="BO375" i="3"/>
  <c r="BR375" i="3" s="1"/>
  <c r="BM375" i="3"/>
  <c r="BL375" i="3"/>
  <c r="BJ375" i="3"/>
  <c r="BI375" i="3"/>
  <c r="BD375" i="3"/>
  <c r="BG375" i="3" s="1"/>
  <c r="BA375" i="3"/>
  <c r="BB375" i="3" s="1"/>
  <c r="BR374" i="3"/>
  <c r="BO374" i="3"/>
  <c r="BM374" i="3"/>
  <c r="BL374" i="3"/>
  <c r="BI374" i="3"/>
  <c r="BQ374" i="3" s="1"/>
  <c r="BF374" i="3"/>
  <c r="BD374" i="3"/>
  <c r="BG374" i="3" s="1"/>
  <c r="BB374" i="3"/>
  <c r="BA374" i="3"/>
  <c r="BR373" i="3"/>
  <c r="BQ373" i="3"/>
  <c r="BO373" i="3"/>
  <c r="BP373" i="3" s="1"/>
  <c r="BM373" i="3"/>
  <c r="BL373" i="3"/>
  <c r="BK373" i="3"/>
  <c r="BI373" i="3"/>
  <c r="BJ373" i="3" s="1"/>
  <c r="BG373" i="3"/>
  <c r="BD373" i="3"/>
  <c r="BA373" i="3"/>
  <c r="BF373" i="3" s="1"/>
  <c r="BQ372" i="3"/>
  <c r="BP372" i="3"/>
  <c r="BO372" i="3"/>
  <c r="BR372" i="3" s="1"/>
  <c r="BM372" i="3"/>
  <c r="BL372" i="3"/>
  <c r="BJ372" i="3"/>
  <c r="BI372" i="3"/>
  <c r="BG372" i="3"/>
  <c r="BF372" i="3"/>
  <c r="BD372" i="3"/>
  <c r="BE372" i="3" s="1"/>
  <c r="BA372" i="3"/>
  <c r="BB372" i="3" s="1"/>
  <c r="BO371" i="3"/>
  <c r="BR371" i="3" s="1"/>
  <c r="BM371" i="3"/>
  <c r="BL371" i="3"/>
  <c r="BI371" i="3"/>
  <c r="BK371" i="3" s="1"/>
  <c r="BF371" i="3"/>
  <c r="BE371" i="3"/>
  <c r="BD371" i="3"/>
  <c r="BG371" i="3" s="1"/>
  <c r="BB371" i="3"/>
  <c r="BA371" i="3"/>
  <c r="BQ370" i="3"/>
  <c r="BO370" i="3"/>
  <c r="BR370" i="3" s="1"/>
  <c r="BM370" i="3"/>
  <c r="BL370" i="3"/>
  <c r="BI370" i="3"/>
  <c r="BJ370" i="3" s="1"/>
  <c r="BD370" i="3"/>
  <c r="BK370" i="3" s="1"/>
  <c r="BA370" i="3"/>
  <c r="BB370" i="3" s="1"/>
  <c r="BR369" i="3"/>
  <c r="BQ369" i="3"/>
  <c r="BP369" i="3"/>
  <c r="BO369" i="3"/>
  <c r="BM369" i="3"/>
  <c r="BL369" i="3"/>
  <c r="BI369" i="3"/>
  <c r="BF369" i="3"/>
  <c r="BD369" i="3"/>
  <c r="BK369" i="3" s="1"/>
  <c r="BB369" i="3"/>
  <c r="BA369" i="3"/>
  <c r="BO368" i="3"/>
  <c r="BR368" i="3" s="1"/>
  <c r="BM368" i="3"/>
  <c r="BL368" i="3"/>
  <c r="BK368" i="3"/>
  <c r="BI368" i="3"/>
  <c r="BJ368" i="3" s="1"/>
  <c r="BD368" i="3"/>
  <c r="BG368" i="3" s="1"/>
  <c r="BA368" i="3"/>
  <c r="BE368" i="3" s="1"/>
  <c r="BO366" i="3"/>
  <c r="BR366" i="3" s="1"/>
  <c r="BM366" i="3"/>
  <c r="BL366" i="3"/>
  <c r="BK366" i="3"/>
  <c r="BJ366" i="3"/>
  <c r="BI366" i="3"/>
  <c r="BD366" i="3"/>
  <c r="BG366" i="3" s="1"/>
  <c r="BA366" i="3"/>
  <c r="BB366" i="3" s="1"/>
  <c r="BO364" i="3"/>
  <c r="BR364" i="3" s="1"/>
  <c r="BM364" i="3"/>
  <c r="BL364" i="3"/>
  <c r="BK364" i="3"/>
  <c r="BJ364" i="3"/>
  <c r="BI364" i="3"/>
  <c r="BD364" i="3"/>
  <c r="BG364" i="3" s="1"/>
  <c r="BA364" i="3"/>
  <c r="BB364" i="3" s="1"/>
  <c r="BR363" i="3"/>
  <c r="BO363" i="3"/>
  <c r="BQ363" i="3" s="1"/>
  <c r="BM363" i="3"/>
  <c r="BL363" i="3"/>
  <c r="BI363" i="3"/>
  <c r="BK363" i="3" s="1"/>
  <c r="BE363" i="3"/>
  <c r="BD363" i="3"/>
  <c r="BG363" i="3" s="1"/>
  <c r="BA363" i="3"/>
  <c r="BB363" i="3" s="1"/>
  <c r="BR361" i="3"/>
  <c r="BO361" i="3"/>
  <c r="BQ361" i="3" s="1"/>
  <c r="BM361" i="3"/>
  <c r="BL361" i="3"/>
  <c r="BI361" i="3"/>
  <c r="BK361" i="3" s="1"/>
  <c r="BD361" i="3"/>
  <c r="BG361" i="3" s="1"/>
  <c r="BB361" i="3"/>
  <c r="BA361" i="3"/>
  <c r="BQ359" i="3"/>
  <c r="BP359" i="3"/>
  <c r="BO359" i="3"/>
  <c r="BR359" i="3" s="1"/>
  <c r="BM359" i="3"/>
  <c r="BL359" i="3"/>
  <c r="BK359" i="3"/>
  <c r="BJ359" i="3"/>
  <c r="BI359" i="3"/>
  <c r="BD359" i="3"/>
  <c r="BG359" i="3" s="1"/>
  <c r="BB359" i="3"/>
  <c r="BA359" i="3"/>
  <c r="BO358" i="3"/>
  <c r="BR358" i="3" s="1"/>
  <c r="BM358" i="3"/>
  <c r="BL358" i="3"/>
  <c r="BJ358" i="3"/>
  <c r="BI358" i="3"/>
  <c r="BD358" i="3"/>
  <c r="BG358" i="3" s="1"/>
  <c r="BA358" i="3"/>
  <c r="BB358" i="3" s="1"/>
  <c r="BO357" i="3"/>
  <c r="BR357" i="3" s="1"/>
  <c r="BM357" i="3"/>
  <c r="BL357" i="3"/>
  <c r="BK357" i="3"/>
  <c r="BJ357" i="3"/>
  <c r="BI357" i="3"/>
  <c r="BD357" i="3"/>
  <c r="BG357" i="3" s="1"/>
  <c r="BA357" i="3"/>
  <c r="BB357" i="3" s="1"/>
  <c r="BO355" i="3"/>
  <c r="BR355" i="3" s="1"/>
  <c r="BM355" i="3"/>
  <c r="BL355" i="3"/>
  <c r="BK355" i="3"/>
  <c r="BJ355" i="3"/>
  <c r="BI355" i="3"/>
  <c r="BD355" i="3"/>
  <c r="BG355" i="3" s="1"/>
  <c r="BA355" i="3"/>
  <c r="BB355" i="3" s="1"/>
  <c r="BO353" i="3"/>
  <c r="BR353" i="3" s="1"/>
  <c r="BM353" i="3"/>
  <c r="BL353" i="3"/>
  <c r="BK353" i="3"/>
  <c r="BJ353" i="3"/>
  <c r="BI353" i="3"/>
  <c r="BD353" i="3"/>
  <c r="BG353" i="3" s="1"/>
  <c r="BA353" i="3"/>
  <c r="BB353" i="3" s="1"/>
  <c r="BO351" i="3"/>
  <c r="BR351" i="3" s="1"/>
  <c r="BM351" i="3"/>
  <c r="BL351" i="3"/>
  <c r="BK351" i="3"/>
  <c r="BJ351" i="3"/>
  <c r="BI351" i="3"/>
  <c r="BD351" i="3"/>
  <c r="BG351" i="3" s="1"/>
  <c r="BA351" i="3"/>
  <c r="BB351" i="3" s="1"/>
  <c r="BR349" i="3"/>
  <c r="BO349" i="3"/>
  <c r="BQ349" i="3" s="1"/>
  <c r="BM349" i="3"/>
  <c r="BL349" i="3"/>
  <c r="BI349" i="3"/>
  <c r="BJ349" i="3" s="1"/>
  <c r="BD349" i="3"/>
  <c r="BG349" i="3" s="1"/>
  <c r="BA349" i="3"/>
  <c r="BB349" i="3" s="1"/>
  <c r="BO347" i="3"/>
  <c r="BQ347" i="3" s="1"/>
  <c r="BM347" i="3"/>
  <c r="BL347" i="3"/>
  <c r="BI347" i="3"/>
  <c r="BK347" i="3" s="1"/>
  <c r="BD347" i="3"/>
  <c r="BG347" i="3" s="1"/>
  <c r="BB347" i="3"/>
  <c r="BA347" i="3"/>
  <c r="BP713" i="3" l="1"/>
  <c r="BJ711" i="3"/>
  <c r="BE711" i="3"/>
  <c r="BF711" i="3"/>
  <c r="BP711" i="3"/>
  <c r="BQ711" i="3"/>
  <c r="BE710" i="3"/>
  <c r="BP710" i="3"/>
  <c r="BF708" i="3"/>
  <c r="BP708" i="3"/>
  <c r="BQ708" i="3"/>
  <c r="BK706" i="3"/>
  <c r="BK704" i="3"/>
  <c r="BE704" i="3"/>
  <c r="BF704" i="3"/>
  <c r="BJ701" i="3"/>
  <c r="BE701" i="3"/>
  <c r="BF701" i="3"/>
  <c r="BP701" i="3"/>
  <c r="BQ701" i="3"/>
  <c r="BE699" i="3"/>
  <c r="BF699" i="3"/>
  <c r="BP699" i="3"/>
  <c r="BQ699" i="3"/>
  <c r="BK697" i="3"/>
  <c r="BE697" i="3"/>
  <c r="BK695" i="3"/>
  <c r="BE695" i="3"/>
  <c r="BF695" i="3"/>
  <c r="BP695" i="3"/>
  <c r="BQ695" i="3"/>
  <c r="BE672" i="3"/>
  <c r="BP673" i="3"/>
  <c r="BG674" i="3"/>
  <c r="BR675" i="3"/>
  <c r="BJ676" i="3"/>
  <c r="BK677" i="3"/>
  <c r="BE680" i="3"/>
  <c r="BF681" i="3"/>
  <c r="BP681" i="3"/>
  <c r="BG682" i="3"/>
  <c r="BR683" i="3"/>
  <c r="BJ684" i="3"/>
  <c r="BK685" i="3"/>
  <c r="BE688" i="3"/>
  <c r="BP689" i="3"/>
  <c r="BJ692" i="3"/>
  <c r="BK693" i="3"/>
  <c r="BG672" i="3"/>
  <c r="BQ672" i="3"/>
  <c r="BR673" i="3"/>
  <c r="BJ674" i="3"/>
  <c r="BB676" i="3"/>
  <c r="BE678" i="3"/>
  <c r="BP679" i="3"/>
  <c r="BG680" i="3"/>
  <c r="BQ680" i="3"/>
  <c r="BR681" i="3"/>
  <c r="BJ682" i="3"/>
  <c r="BB684" i="3"/>
  <c r="BE686" i="3"/>
  <c r="BP687" i="3"/>
  <c r="BG688" i="3"/>
  <c r="BR689" i="3"/>
  <c r="BJ690" i="3"/>
  <c r="BB692" i="3"/>
  <c r="BF680" i="3"/>
  <c r="BJ673" i="3"/>
  <c r="BE677" i="3"/>
  <c r="BF678" i="3"/>
  <c r="BP678" i="3"/>
  <c r="BQ679" i="3"/>
  <c r="BE685" i="3"/>
  <c r="BF686" i="3"/>
  <c r="BP686" i="3"/>
  <c r="BQ687" i="3"/>
  <c r="BJ689" i="3"/>
  <c r="BE693" i="3"/>
  <c r="BK676" i="3"/>
  <c r="BK684" i="3"/>
  <c r="BG686" i="3"/>
  <c r="BF688" i="3"/>
  <c r="BK672" i="3"/>
  <c r="BP676" i="3"/>
  <c r="BP684" i="3"/>
  <c r="BP692" i="3"/>
  <c r="BK668" i="3"/>
  <c r="BE668" i="3"/>
  <c r="BF668" i="3"/>
  <c r="BE666" i="3"/>
  <c r="BF666" i="3"/>
  <c r="BP666" i="3"/>
  <c r="BK664" i="3"/>
  <c r="BE664" i="3"/>
  <c r="BE644" i="3"/>
  <c r="BF645" i="3"/>
  <c r="BP645" i="3"/>
  <c r="BG646" i="3"/>
  <c r="BQ646" i="3"/>
  <c r="BR647" i="3"/>
  <c r="BJ648" i="3"/>
  <c r="BE652" i="3"/>
  <c r="BP653" i="3"/>
  <c r="BG654" i="3"/>
  <c r="BR655" i="3"/>
  <c r="BJ656" i="3"/>
  <c r="BE660" i="3"/>
  <c r="BP661" i="3"/>
  <c r="BG662" i="3"/>
  <c r="BR663" i="3"/>
  <c r="BP652" i="3"/>
  <c r="BJ655" i="3"/>
  <c r="BP660" i="3"/>
  <c r="BJ663" i="3"/>
  <c r="BE641" i="3"/>
  <c r="BJ645" i="3"/>
  <c r="BK646" i="3"/>
  <c r="BB647" i="3"/>
  <c r="BE649" i="3"/>
  <c r="BP650" i="3"/>
  <c r="BJ653" i="3"/>
  <c r="BK654" i="3"/>
  <c r="BB655" i="3"/>
  <c r="BE657" i="3"/>
  <c r="BP658" i="3"/>
  <c r="BJ661" i="3"/>
  <c r="BK662" i="3"/>
  <c r="BP642" i="3"/>
  <c r="BF641" i="3"/>
  <c r="BP641" i="3"/>
  <c r="BQ642" i="3"/>
  <c r="BJ644" i="3"/>
  <c r="BE648" i="3"/>
  <c r="BF649" i="3"/>
  <c r="BP649" i="3"/>
  <c r="BQ650" i="3"/>
  <c r="BJ652" i="3"/>
  <c r="BE656" i="3"/>
  <c r="BF657" i="3"/>
  <c r="BP657" i="3"/>
  <c r="BQ658" i="3"/>
  <c r="BJ660" i="3"/>
  <c r="BG641" i="3"/>
  <c r="BQ641" i="3"/>
  <c r="BF648" i="3"/>
  <c r="BG649" i="3"/>
  <c r="BQ649" i="3"/>
  <c r="BF656" i="3"/>
  <c r="BG657" i="3"/>
  <c r="BQ657" i="3"/>
  <c r="BE663" i="3"/>
  <c r="BJ642" i="3"/>
  <c r="BE646" i="3"/>
  <c r="BF647" i="3"/>
  <c r="BP647" i="3"/>
  <c r="BQ648" i="3"/>
  <c r="BJ650" i="3"/>
  <c r="BE654" i="3"/>
  <c r="BF655" i="3"/>
  <c r="BP655" i="3"/>
  <c r="BQ656" i="3"/>
  <c r="BJ658" i="3"/>
  <c r="BE662" i="3"/>
  <c r="BF663" i="3"/>
  <c r="BK639" i="3"/>
  <c r="BE639" i="3"/>
  <c r="BF637" i="3"/>
  <c r="BP637" i="3"/>
  <c r="BQ637" i="3"/>
  <c r="BE635" i="3"/>
  <c r="BF635" i="3"/>
  <c r="BP635" i="3"/>
  <c r="BE628" i="3"/>
  <c r="BP629" i="3"/>
  <c r="BG630" i="3"/>
  <c r="BR631" i="3"/>
  <c r="BJ632" i="3"/>
  <c r="BF628" i="3"/>
  <c r="BQ629" i="3"/>
  <c r="BK632" i="3"/>
  <c r="BE626" i="3"/>
  <c r="BP627" i="3"/>
  <c r="BG628" i="3"/>
  <c r="BQ628" i="3"/>
  <c r="BJ630" i="3"/>
  <c r="BB632" i="3"/>
  <c r="BF626" i="3"/>
  <c r="BP626" i="3"/>
  <c r="BQ627" i="3"/>
  <c r="BJ629" i="3"/>
  <c r="BE633" i="3"/>
  <c r="BE632" i="3"/>
  <c r="BP633" i="3"/>
  <c r="BP632" i="3"/>
  <c r="BE624" i="3"/>
  <c r="BF624" i="3"/>
  <c r="BP624" i="3"/>
  <c r="BQ624" i="3"/>
  <c r="BK598" i="3"/>
  <c r="BJ596" i="3"/>
  <c r="BK597" i="3"/>
  <c r="BE600" i="3"/>
  <c r="BP601" i="3"/>
  <c r="BJ604" i="3"/>
  <c r="BK605" i="3"/>
  <c r="BE608" i="3"/>
  <c r="BP609" i="3"/>
  <c r="BJ612" i="3"/>
  <c r="BK613" i="3"/>
  <c r="BE616" i="3"/>
  <c r="BP617" i="3"/>
  <c r="BJ620" i="3"/>
  <c r="BK621" i="3"/>
  <c r="BF608" i="3"/>
  <c r="BF616" i="3"/>
  <c r="BK595" i="3"/>
  <c r="BB596" i="3"/>
  <c r="BE598" i="3"/>
  <c r="BP599" i="3"/>
  <c r="BG600" i="3"/>
  <c r="BR601" i="3"/>
  <c r="BJ602" i="3"/>
  <c r="BK603" i="3"/>
  <c r="BB604" i="3"/>
  <c r="BE606" i="3"/>
  <c r="BP607" i="3"/>
  <c r="BG608" i="3"/>
  <c r="BR609" i="3"/>
  <c r="BJ610" i="3"/>
  <c r="BK611" i="3"/>
  <c r="BB612" i="3"/>
  <c r="BE614" i="3"/>
  <c r="BP615" i="3"/>
  <c r="BG616" i="3"/>
  <c r="BR617" i="3"/>
  <c r="BJ618" i="3"/>
  <c r="BK619" i="3"/>
  <c r="BB620" i="3"/>
  <c r="BF600" i="3"/>
  <c r="BE597" i="3"/>
  <c r="BF598" i="3"/>
  <c r="BP598" i="3"/>
  <c r="BQ599" i="3"/>
  <c r="BE605" i="3"/>
  <c r="BF606" i="3"/>
  <c r="BP606" i="3"/>
  <c r="BQ607" i="3"/>
  <c r="BE613" i="3"/>
  <c r="BF614" i="3"/>
  <c r="BP614" i="3"/>
  <c r="BQ615" i="3"/>
  <c r="BE621" i="3"/>
  <c r="BE596" i="3"/>
  <c r="BG598" i="3"/>
  <c r="BJ600" i="3"/>
  <c r="BE604" i="3"/>
  <c r="BG606" i="3"/>
  <c r="BJ608" i="3"/>
  <c r="BE612" i="3"/>
  <c r="BG614" i="3"/>
  <c r="BJ616" i="3"/>
  <c r="BE595" i="3"/>
  <c r="BP596" i="3"/>
  <c r="BJ599" i="3"/>
  <c r="BE603" i="3"/>
  <c r="BP604" i="3"/>
  <c r="BJ607" i="3"/>
  <c r="BE611" i="3"/>
  <c r="BP612" i="3"/>
  <c r="BJ615" i="3"/>
  <c r="BE619" i="3"/>
  <c r="BP620" i="3"/>
  <c r="BJ593" i="3"/>
  <c r="BJ522" i="3"/>
  <c r="BG522" i="3"/>
  <c r="BF522" i="3"/>
  <c r="BE522" i="3"/>
  <c r="BK522" i="3"/>
  <c r="BQ518" i="3"/>
  <c r="BP525" i="3"/>
  <c r="BQ525" i="3"/>
  <c r="BR525" i="3"/>
  <c r="BE560" i="3"/>
  <c r="BB560" i="3"/>
  <c r="BE524" i="3"/>
  <c r="BG524" i="3"/>
  <c r="BF524" i="3"/>
  <c r="BF560" i="3"/>
  <c r="BJ520" i="3"/>
  <c r="BQ520" i="3"/>
  <c r="BK518" i="3"/>
  <c r="BJ518" i="3"/>
  <c r="BK520" i="3"/>
  <c r="BF532" i="3"/>
  <c r="BP523" i="3"/>
  <c r="BJ526" i="3"/>
  <c r="BE530" i="3"/>
  <c r="BP531" i="3"/>
  <c r="BG532" i="3"/>
  <c r="BR533" i="3"/>
  <c r="BJ534" i="3"/>
  <c r="BE538" i="3"/>
  <c r="BP539" i="3"/>
  <c r="BG540" i="3"/>
  <c r="BR541" i="3"/>
  <c r="BJ542" i="3"/>
  <c r="BE546" i="3"/>
  <c r="BP547" i="3"/>
  <c r="BG548" i="3"/>
  <c r="BR549" i="3"/>
  <c r="BJ550" i="3"/>
  <c r="BE554" i="3"/>
  <c r="BP555" i="3"/>
  <c r="BG556" i="3"/>
  <c r="BR557" i="3"/>
  <c r="BJ558" i="3"/>
  <c r="BE562" i="3"/>
  <c r="BP563" i="3"/>
  <c r="BG564" i="3"/>
  <c r="BR565" i="3"/>
  <c r="BJ566" i="3"/>
  <c r="BB568" i="3"/>
  <c r="BE570" i="3"/>
  <c r="BP571" i="3"/>
  <c r="BG572" i="3"/>
  <c r="BR573" i="3"/>
  <c r="BJ574" i="3"/>
  <c r="BB576" i="3"/>
  <c r="BE578" i="3"/>
  <c r="BP579" i="3"/>
  <c r="BG580" i="3"/>
  <c r="BR581" i="3"/>
  <c r="BJ582" i="3"/>
  <c r="BB584" i="3"/>
  <c r="BE586" i="3"/>
  <c r="BF587" i="3"/>
  <c r="BP587" i="3"/>
  <c r="BG588" i="3"/>
  <c r="BQ588" i="3"/>
  <c r="BR589" i="3"/>
  <c r="BJ590" i="3"/>
  <c r="BK528" i="3"/>
  <c r="BQ523" i="3"/>
  <c r="BJ525" i="3"/>
  <c r="BF530" i="3"/>
  <c r="BQ531" i="3"/>
  <c r="BJ533" i="3"/>
  <c r="BK534" i="3"/>
  <c r="BF538" i="3"/>
  <c r="BQ539" i="3"/>
  <c r="BJ541" i="3"/>
  <c r="BK542" i="3"/>
  <c r="BF546" i="3"/>
  <c r="BQ547" i="3"/>
  <c r="BJ549" i="3"/>
  <c r="BK550" i="3"/>
  <c r="BF554" i="3"/>
  <c r="BQ555" i="3"/>
  <c r="BJ557" i="3"/>
  <c r="BK558" i="3"/>
  <c r="BF562" i="3"/>
  <c r="BQ563" i="3"/>
  <c r="BJ565" i="3"/>
  <c r="BF570" i="3"/>
  <c r="BQ571" i="3"/>
  <c r="BJ573" i="3"/>
  <c r="BF578" i="3"/>
  <c r="BQ579" i="3"/>
  <c r="BJ581" i="3"/>
  <c r="BF586" i="3"/>
  <c r="BQ587" i="3"/>
  <c r="BJ589" i="3"/>
  <c r="BE520" i="3"/>
  <c r="BP521" i="3"/>
  <c r="BJ524" i="3"/>
  <c r="BK525" i="3"/>
  <c r="BE528" i="3"/>
  <c r="BP529" i="3"/>
  <c r="BG530" i="3"/>
  <c r="BJ532" i="3"/>
  <c r="BK533" i="3"/>
  <c r="BE536" i="3"/>
  <c r="BP537" i="3"/>
  <c r="BG538" i="3"/>
  <c r="BJ540" i="3"/>
  <c r="BK541" i="3"/>
  <c r="BE544" i="3"/>
  <c r="BP545" i="3"/>
  <c r="BG546" i="3"/>
  <c r="BJ548" i="3"/>
  <c r="BK549" i="3"/>
  <c r="BE552" i="3"/>
  <c r="BP553" i="3"/>
  <c r="BG554" i="3"/>
  <c r="BJ556" i="3"/>
  <c r="BK557" i="3"/>
  <c r="BP561" i="3"/>
  <c r="BG562" i="3"/>
  <c r="BJ564" i="3"/>
  <c r="BK565" i="3"/>
  <c r="BP569" i="3"/>
  <c r="BG570" i="3"/>
  <c r="BJ572" i="3"/>
  <c r="BK573" i="3"/>
  <c r="BP577" i="3"/>
  <c r="BG578" i="3"/>
  <c r="BJ580" i="3"/>
  <c r="BK581" i="3"/>
  <c r="BP585" i="3"/>
  <c r="BG586" i="3"/>
  <c r="BJ588" i="3"/>
  <c r="BK589" i="3"/>
  <c r="BQ528" i="3"/>
  <c r="BQ536" i="3"/>
  <c r="BJ538" i="3"/>
  <c r="BQ544" i="3"/>
  <c r="BJ546" i="3"/>
  <c r="BQ552" i="3"/>
  <c r="BJ554" i="3"/>
  <c r="BQ560" i="3"/>
  <c r="BJ562" i="3"/>
  <c r="BQ568" i="3"/>
  <c r="BJ570" i="3"/>
  <c r="BQ576" i="3"/>
  <c r="BJ578" i="3"/>
  <c r="BQ584" i="3"/>
  <c r="BJ586" i="3"/>
  <c r="BE565" i="3"/>
  <c r="BP566" i="3"/>
  <c r="BJ569" i="3"/>
  <c r="BE573" i="3"/>
  <c r="BP574" i="3"/>
  <c r="BJ577" i="3"/>
  <c r="BE581" i="3"/>
  <c r="BP582" i="3"/>
  <c r="BJ585" i="3"/>
  <c r="BP590" i="3"/>
  <c r="BJ516" i="3"/>
  <c r="BE516" i="3"/>
  <c r="BF516" i="3"/>
  <c r="BP516" i="3"/>
  <c r="BP511" i="3"/>
  <c r="BE509" i="3"/>
  <c r="BF510" i="3"/>
  <c r="BP510" i="3"/>
  <c r="BJ513" i="3"/>
  <c r="BF509" i="3"/>
  <c r="BQ510" i="3"/>
  <c r="BK513" i="3"/>
  <c r="BE507" i="3"/>
  <c r="BP508" i="3"/>
  <c r="BJ511" i="3"/>
  <c r="BF507" i="3"/>
  <c r="BQ508" i="3"/>
  <c r="BG507" i="3"/>
  <c r="BQ507" i="3"/>
  <c r="BJ509" i="3"/>
  <c r="BB511" i="3"/>
  <c r="BE513" i="3"/>
  <c r="BF514" i="3"/>
  <c r="BP514" i="3"/>
  <c r="BF513" i="3"/>
  <c r="BQ514" i="3"/>
  <c r="BJ505" i="3"/>
  <c r="BE505" i="3"/>
  <c r="BK479" i="3"/>
  <c r="BE482" i="3"/>
  <c r="BP483" i="3"/>
  <c r="BJ486" i="3"/>
  <c r="BK487" i="3"/>
  <c r="BE490" i="3"/>
  <c r="BF491" i="3"/>
  <c r="BP491" i="3"/>
  <c r="BJ494" i="3"/>
  <c r="BK495" i="3"/>
  <c r="BE498" i="3"/>
  <c r="BF499" i="3"/>
  <c r="BP499" i="3"/>
  <c r="BJ502" i="3"/>
  <c r="BK503" i="3"/>
  <c r="BF482" i="3"/>
  <c r="BQ483" i="3"/>
  <c r="BE480" i="3"/>
  <c r="BP481" i="3"/>
  <c r="BG482" i="3"/>
  <c r="BJ484" i="3"/>
  <c r="BK485" i="3"/>
  <c r="BB486" i="3"/>
  <c r="BE488" i="3"/>
  <c r="BP489" i="3"/>
  <c r="BG490" i="3"/>
  <c r="BR491" i="3"/>
  <c r="BJ492" i="3"/>
  <c r="BK493" i="3"/>
  <c r="BB494" i="3"/>
  <c r="BE496" i="3"/>
  <c r="BP497" i="3"/>
  <c r="BG498" i="3"/>
  <c r="BR499" i="3"/>
  <c r="BJ500" i="3"/>
  <c r="BK501" i="3"/>
  <c r="BB502" i="3"/>
  <c r="BF490" i="3"/>
  <c r="BF498" i="3"/>
  <c r="BE479" i="3"/>
  <c r="BF480" i="3"/>
  <c r="BP480" i="3"/>
  <c r="BQ481" i="3"/>
  <c r="BE487" i="3"/>
  <c r="BF488" i="3"/>
  <c r="BP488" i="3"/>
  <c r="BQ489" i="3"/>
  <c r="BE495" i="3"/>
  <c r="BF496" i="3"/>
  <c r="BP496" i="3"/>
  <c r="BQ497" i="3"/>
  <c r="BE503" i="3"/>
  <c r="BG480" i="3"/>
  <c r="BJ482" i="3"/>
  <c r="BE486" i="3"/>
  <c r="BG488" i="3"/>
  <c r="BJ490" i="3"/>
  <c r="BG496" i="3"/>
  <c r="BJ481" i="3"/>
  <c r="BE485" i="3"/>
  <c r="BP486" i="3"/>
  <c r="BJ489" i="3"/>
  <c r="BE493" i="3"/>
  <c r="BP494" i="3"/>
  <c r="BJ497" i="3"/>
  <c r="BE501" i="3"/>
  <c r="BP502" i="3"/>
  <c r="BJ477" i="3"/>
  <c r="BE477" i="3"/>
  <c r="BF477" i="3"/>
  <c r="BP477" i="3"/>
  <c r="BQ465" i="3"/>
  <c r="BJ467" i="3"/>
  <c r="BB469" i="3"/>
  <c r="BE471" i="3"/>
  <c r="BF472" i="3"/>
  <c r="BP472" i="3"/>
  <c r="BQ473" i="3"/>
  <c r="BJ475" i="3"/>
  <c r="BK467" i="3"/>
  <c r="BE470" i="3"/>
  <c r="BF471" i="3"/>
  <c r="BP471" i="3"/>
  <c r="BG472" i="3"/>
  <c r="BQ472" i="3"/>
  <c r="BK475" i="3"/>
  <c r="BE469" i="3"/>
  <c r="BE468" i="3"/>
  <c r="BG470" i="3"/>
  <c r="BE467" i="3"/>
  <c r="BF468" i="3"/>
  <c r="BP468" i="3"/>
  <c r="BQ469" i="3"/>
  <c r="BJ471" i="3"/>
  <c r="BE475" i="3"/>
  <c r="BB466" i="3"/>
  <c r="BP469" i="3"/>
  <c r="BB474" i="3"/>
  <c r="BP467" i="3"/>
  <c r="BJ460" i="3"/>
  <c r="BK460" i="3"/>
  <c r="BP460" i="3"/>
  <c r="BJ457" i="3"/>
  <c r="BK456" i="3"/>
  <c r="BB458" i="3"/>
  <c r="BE458" i="3"/>
  <c r="BE457" i="3"/>
  <c r="BP458" i="3"/>
  <c r="BE456" i="3"/>
  <c r="BF457" i="3"/>
  <c r="BP457" i="3"/>
  <c r="BQ458" i="3"/>
  <c r="BE454" i="3"/>
  <c r="BF454" i="3"/>
  <c r="BP454" i="3"/>
  <c r="BE424" i="3"/>
  <c r="BF424" i="3"/>
  <c r="BP424" i="3"/>
  <c r="BQ425" i="3"/>
  <c r="BJ427" i="3"/>
  <c r="BE431" i="3"/>
  <c r="BF432" i="3"/>
  <c r="BP432" i="3"/>
  <c r="BQ433" i="3"/>
  <c r="BJ435" i="3"/>
  <c r="BE439" i="3"/>
  <c r="BF440" i="3"/>
  <c r="BP440" i="3"/>
  <c r="BQ441" i="3"/>
  <c r="BJ443" i="3"/>
  <c r="BE447" i="3"/>
  <c r="BF448" i="3"/>
  <c r="BP448" i="3"/>
  <c r="BQ449" i="3"/>
  <c r="BJ451" i="3"/>
  <c r="BF431" i="3"/>
  <c r="BQ440" i="3"/>
  <c r="BK443" i="3"/>
  <c r="BQ448" i="3"/>
  <c r="BK451" i="3"/>
  <c r="BR424" i="3"/>
  <c r="BJ425" i="3"/>
  <c r="BE429" i="3"/>
  <c r="BF430" i="3"/>
  <c r="BP430" i="3"/>
  <c r="BR432" i="3"/>
  <c r="BJ433" i="3"/>
  <c r="BE437" i="3"/>
  <c r="BF438" i="3"/>
  <c r="BP438" i="3"/>
  <c r="BG439" i="3"/>
  <c r="BJ441" i="3"/>
  <c r="BE445" i="3"/>
  <c r="BF446" i="3"/>
  <c r="BP446" i="3"/>
  <c r="BG447" i="3"/>
  <c r="BJ449" i="3"/>
  <c r="BP425" i="3"/>
  <c r="BJ424" i="3"/>
  <c r="BB426" i="3"/>
  <c r="BE428" i="3"/>
  <c r="BF429" i="3"/>
  <c r="BP429" i="3"/>
  <c r="BG430" i="3"/>
  <c r="BQ430" i="3"/>
  <c r="BJ432" i="3"/>
  <c r="BE436" i="3"/>
  <c r="BF437" i="3"/>
  <c r="BP437" i="3"/>
  <c r="BG438" i="3"/>
  <c r="BQ438" i="3"/>
  <c r="BJ440" i="3"/>
  <c r="BE444" i="3"/>
  <c r="BF445" i="3"/>
  <c r="BP445" i="3"/>
  <c r="BQ446" i="3"/>
  <c r="BJ448" i="3"/>
  <c r="BE452" i="3"/>
  <c r="BK435" i="3"/>
  <c r="BE427" i="3"/>
  <c r="BF428" i="3"/>
  <c r="BP428" i="3"/>
  <c r="BQ429" i="3"/>
  <c r="BJ431" i="3"/>
  <c r="BE435" i="3"/>
  <c r="BF436" i="3"/>
  <c r="BP436" i="3"/>
  <c r="BQ437" i="3"/>
  <c r="BJ439" i="3"/>
  <c r="BE443" i="3"/>
  <c r="BF444" i="3"/>
  <c r="BP444" i="3"/>
  <c r="BG445" i="3"/>
  <c r="BQ445" i="3"/>
  <c r="BJ447" i="3"/>
  <c r="BE451" i="3"/>
  <c r="BF452" i="3"/>
  <c r="BP452" i="3"/>
  <c r="BK427" i="3"/>
  <c r="BP427" i="3"/>
  <c r="BJ422" i="3"/>
  <c r="BK422" i="3"/>
  <c r="BF401" i="3"/>
  <c r="BK405" i="3"/>
  <c r="BF409" i="3"/>
  <c r="BQ410" i="3"/>
  <c r="BK413" i="3"/>
  <c r="BF417" i="3"/>
  <c r="BQ418" i="3"/>
  <c r="BE399" i="3"/>
  <c r="BP400" i="3"/>
  <c r="BG401" i="3"/>
  <c r="BR402" i="3"/>
  <c r="BJ403" i="3"/>
  <c r="BK404" i="3"/>
  <c r="BE407" i="3"/>
  <c r="BF408" i="3"/>
  <c r="BP408" i="3"/>
  <c r="BG409" i="3"/>
  <c r="BR410" i="3"/>
  <c r="BJ411" i="3"/>
  <c r="BK412" i="3"/>
  <c r="BE415" i="3"/>
  <c r="BF416" i="3"/>
  <c r="BP416" i="3"/>
  <c r="BG417" i="3"/>
  <c r="BR418" i="3"/>
  <c r="BJ419" i="3"/>
  <c r="BK420" i="3"/>
  <c r="BQ408" i="3"/>
  <c r="BK419" i="3"/>
  <c r="BQ402" i="3"/>
  <c r="BQ400" i="3"/>
  <c r="BJ402" i="3"/>
  <c r="BF415" i="3"/>
  <c r="BQ416" i="3"/>
  <c r="BG399" i="3"/>
  <c r="BJ401" i="3"/>
  <c r="BK402" i="3"/>
  <c r="BB403" i="3"/>
  <c r="BE405" i="3"/>
  <c r="BP406" i="3"/>
  <c r="BG407" i="3"/>
  <c r="BJ409" i="3"/>
  <c r="BK410" i="3"/>
  <c r="BB411" i="3"/>
  <c r="BE413" i="3"/>
  <c r="BP414" i="3"/>
  <c r="BG415" i="3"/>
  <c r="BJ417" i="3"/>
  <c r="BK418" i="3"/>
  <c r="BB419" i="3"/>
  <c r="BF399" i="3"/>
  <c r="BF407" i="3"/>
  <c r="BF405" i="3"/>
  <c r="BQ406" i="3"/>
  <c r="BF413" i="3"/>
  <c r="BQ414" i="3"/>
  <c r="BQ405" i="3"/>
  <c r="BQ413" i="3"/>
  <c r="BB368" i="3"/>
  <c r="BE370" i="3"/>
  <c r="BP371" i="3"/>
  <c r="BJ374" i="3"/>
  <c r="BK375" i="3"/>
  <c r="BB376" i="3"/>
  <c r="BE378" i="3"/>
  <c r="BP379" i="3"/>
  <c r="BJ382" i="3"/>
  <c r="BK383" i="3"/>
  <c r="BB384" i="3"/>
  <c r="BE386" i="3"/>
  <c r="BP387" i="3"/>
  <c r="BJ390" i="3"/>
  <c r="BK391" i="3"/>
  <c r="BB392" i="3"/>
  <c r="BE394" i="3"/>
  <c r="BP395" i="3"/>
  <c r="BG396" i="3"/>
  <c r="BR397" i="3"/>
  <c r="BJ398" i="3"/>
  <c r="BE369" i="3"/>
  <c r="BF370" i="3"/>
  <c r="BP370" i="3"/>
  <c r="BQ371" i="3"/>
  <c r="BK374" i="3"/>
  <c r="BE377" i="3"/>
  <c r="BF378" i="3"/>
  <c r="BP378" i="3"/>
  <c r="BK382" i="3"/>
  <c r="BE385" i="3"/>
  <c r="BF386" i="3"/>
  <c r="BP386" i="3"/>
  <c r="BK390" i="3"/>
  <c r="BE393" i="3"/>
  <c r="BF394" i="3"/>
  <c r="BP394" i="3"/>
  <c r="BK398" i="3"/>
  <c r="BE376" i="3"/>
  <c r="BF368" i="3"/>
  <c r="BG369" i="3"/>
  <c r="BB373" i="3"/>
  <c r="BE375" i="3"/>
  <c r="BB381" i="3"/>
  <c r="BP384" i="3"/>
  <c r="BJ387" i="3"/>
  <c r="BK388" i="3"/>
  <c r="BB389" i="3"/>
  <c r="BE391" i="3"/>
  <c r="BP392" i="3"/>
  <c r="BG393" i="3"/>
  <c r="BJ395" i="3"/>
  <c r="BK396" i="3"/>
  <c r="BB397" i="3"/>
  <c r="BP368" i="3"/>
  <c r="BJ371" i="3"/>
  <c r="BK372" i="3"/>
  <c r="BP376" i="3"/>
  <c r="BG377" i="3"/>
  <c r="BJ379" i="3"/>
  <c r="BK380" i="3"/>
  <c r="BE383" i="3"/>
  <c r="BG385" i="3"/>
  <c r="BQ368" i="3"/>
  <c r="BE374" i="3"/>
  <c r="BF375" i="3"/>
  <c r="BP375" i="3"/>
  <c r="BQ376" i="3"/>
  <c r="BE382" i="3"/>
  <c r="BF383" i="3"/>
  <c r="BP383" i="3"/>
  <c r="BQ384" i="3"/>
  <c r="BE390" i="3"/>
  <c r="BF391" i="3"/>
  <c r="BP391" i="3"/>
  <c r="BQ392" i="3"/>
  <c r="BE398" i="3"/>
  <c r="BP374" i="3"/>
  <c r="BG370" i="3"/>
  <c r="BJ369" i="3"/>
  <c r="BE373" i="3"/>
  <c r="BJ377" i="3"/>
  <c r="BG383" i="3"/>
  <c r="BG391" i="3"/>
  <c r="BQ366" i="3"/>
  <c r="BE366" i="3"/>
  <c r="BF366" i="3"/>
  <c r="BP366" i="3"/>
  <c r="BP364" i="3"/>
  <c r="BQ364" i="3"/>
  <c r="BE364" i="3"/>
  <c r="BF364" i="3"/>
  <c r="BJ363" i="3"/>
  <c r="BF363" i="3"/>
  <c r="BP363" i="3"/>
  <c r="BJ361" i="3"/>
  <c r="BP361" i="3"/>
  <c r="BE361" i="3"/>
  <c r="BF361" i="3"/>
  <c r="BE359" i="3"/>
  <c r="BF359" i="3"/>
  <c r="BK358" i="3"/>
  <c r="BF358" i="3"/>
  <c r="BP358" i="3"/>
  <c r="BE358" i="3"/>
  <c r="BQ358" i="3"/>
  <c r="BE357" i="3"/>
  <c r="BF357" i="3"/>
  <c r="BP357" i="3"/>
  <c r="BQ357" i="3"/>
  <c r="BE355" i="3"/>
  <c r="BF355" i="3"/>
  <c r="BP355" i="3"/>
  <c r="BQ355" i="3"/>
  <c r="BF353" i="3"/>
  <c r="BP353" i="3"/>
  <c r="BE353" i="3"/>
  <c r="BQ353" i="3"/>
  <c r="BE351" i="3"/>
  <c r="BF351" i="3"/>
  <c r="BP351" i="3"/>
  <c r="BQ351" i="3"/>
  <c r="BK349" i="3"/>
  <c r="BE349" i="3"/>
  <c r="BF349" i="3"/>
  <c r="BP349" i="3"/>
  <c r="BR347" i="3"/>
  <c r="BJ347" i="3"/>
  <c r="BF347" i="3"/>
  <c r="BP347" i="3"/>
  <c r="BE347" i="3"/>
  <c r="BR42" i="4" l="1"/>
  <c r="K438" i="6"/>
  <c r="L438" i="6" s="1"/>
  <c r="M438" i="6" s="1"/>
  <c r="N438" i="6" s="1"/>
  <c r="O438" i="6" s="1"/>
  <c r="P438" i="6" s="1"/>
  <c r="Q438" i="6" s="1"/>
  <c r="R438" i="6" s="1"/>
  <c r="S438" i="6" s="1"/>
  <c r="T438" i="6" s="1"/>
  <c r="U438" i="6" s="1"/>
  <c r="W437" i="6"/>
  <c r="X434" i="6" s="1"/>
  <c r="W434" i="6"/>
  <c r="K427" i="6"/>
  <c r="L427" i="6" s="1"/>
  <c r="M427" i="6" s="1"/>
  <c r="N427" i="6" s="1"/>
  <c r="O427" i="6" s="1"/>
  <c r="P427" i="6" s="1"/>
  <c r="Q427" i="6" s="1"/>
  <c r="R427" i="6" s="1"/>
  <c r="J427" i="6"/>
  <c r="I427" i="6"/>
  <c r="V419" i="6"/>
  <c r="U419" i="6"/>
  <c r="T419" i="6"/>
  <c r="S419" i="6"/>
  <c r="R419" i="6"/>
  <c r="Q419" i="6"/>
  <c r="P419" i="6"/>
  <c r="O419" i="6"/>
  <c r="N419" i="6"/>
  <c r="M419" i="6"/>
  <c r="L419" i="6"/>
  <c r="K419" i="6"/>
  <c r="J419" i="6"/>
  <c r="I419" i="6"/>
  <c r="H419" i="6"/>
  <c r="G419" i="6"/>
  <c r="BO346" i="3"/>
  <c r="BR346" i="3" s="1"/>
  <c r="BM346" i="3"/>
  <c r="BL346" i="3"/>
  <c r="BI346" i="3"/>
  <c r="BD346" i="3"/>
  <c r="BG346" i="3" s="1"/>
  <c r="BA346" i="3"/>
  <c r="BO345" i="3"/>
  <c r="BM345" i="3"/>
  <c r="BL345" i="3"/>
  <c r="BI345" i="3"/>
  <c r="BD345" i="3"/>
  <c r="BG345" i="3" s="1"/>
  <c r="BA345" i="3"/>
  <c r="BB345" i="3" s="1"/>
  <c r="BO344" i="3"/>
  <c r="BR344" i="3" s="1"/>
  <c r="BM344" i="3"/>
  <c r="BL344" i="3"/>
  <c r="BI344" i="3"/>
  <c r="BD344" i="3"/>
  <c r="BG344" i="3" s="1"/>
  <c r="BA344" i="3"/>
  <c r="BB344" i="3" s="1"/>
  <c r="BO342" i="3"/>
  <c r="BR342" i="3" s="1"/>
  <c r="BM342" i="3"/>
  <c r="BL342" i="3"/>
  <c r="BI342" i="3"/>
  <c r="BD342" i="3"/>
  <c r="BG342" i="3" s="1"/>
  <c r="BA342" i="3"/>
  <c r="BB342" i="3" s="1"/>
  <c r="BO340" i="3"/>
  <c r="BR340" i="3" s="1"/>
  <c r="BM340" i="3"/>
  <c r="BL340" i="3"/>
  <c r="BI340" i="3"/>
  <c r="BD340" i="3"/>
  <c r="BG340" i="3" s="1"/>
  <c r="BA340" i="3"/>
  <c r="BB340" i="3" s="1"/>
  <c r="BO338" i="3"/>
  <c r="BM338" i="3"/>
  <c r="BL338" i="3"/>
  <c r="BI338" i="3"/>
  <c r="BD338" i="3"/>
  <c r="BA338" i="3"/>
  <c r="BB338" i="3" s="1"/>
  <c r="BO336" i="3"/>
  <c r="BR336" i="3" s="1"/>
  <c r="BM336" i="3"/>
  <c r="BL336" i="3"/>
  <c r="BI336" i="3"/>
  <c r="BD336" i="3"/>
  <c r="BG336" i="3" s="1"/>
  <c r="BA336" i="3"/>
  <c r="BB336" i="3" s="1"/>
  <c r="BO335" i="3"/>
  <c r="BM335" i="3"/>
  <c r="BL335" i="3"/>
  <c r="BI335" i="3"/>
  <c r="BD335" i="3"/>
  <c r="BG335" i="3" s="1"/>
  <c r="BA335" i="3"/>
  <c r="BB335" i="3" s="1"/>
  <c r="BO334" i="3"/>
  <c r="BM334" i="3"/>
  <c r="BL334" i="3"/>
  <c r="BI334" i="3"/>
  <c r="BD334" i="3"/>
  <c r="BA334" i="3"/>
  <c r="BB334" i="3" s="1"/>
  <c r="BO333" i="3"/>
  <c r="BM333" i="3"/>
  <c r="BL333" i="3"/>
  <c r="BI333" i="3"/>
  <c r="BD333" i="3"/>
  <c r="BA333" i="3"/>
  <c r="BO332" i="3"/>
  <c r="BR332" i="3" s="1"/>
  <c r="BM332" i="3"/>
  <c r="BL332" i="3"/>
  <c r="BI332" i="3"/>
  <c r="BD332" i="3"/>
  <c r="BA332" i="3"/>
  <c r="BB332" i="3" s="1"/>
  <c r="BO331" i="3"/>
  <c r="BM331" i="3"/>
  <c r="BL331" i="3"/>
  <c r="BI331" i="3"/>
  <c r="BD331" i="3"/>
  <c r="BG331" i="3" s="1"/>
  <c r="BA331" i="3"/>
  <c r="BB331" i="3" s="1"/>
  <c r="BO330" i="3"/>
  <c r="BR330" i="3" s="1"/>
  <c r="BM330" i="3"/>
  <c r="BL330" i="3"/>
  <c r="BI330" i="3"/>
  <c r="BD330" i="3"/>
  <c r="BA330" i="3"/>
  <c r="BB330" i="3" s="1"/>
  <c r="BO328" i="3"/>
  <c r="BR328" i="3" s="1"/>
  <c r="BM328" i="3"/>
  <c r="BL328" i="3"/>
  <c r="BI328" i="3"/>
  <c r="BD328" i="3"/>
  <c r="BG328" i="3" s="1"/>
  <c r="BA328" i="3"/>
  <c r="BB328" i="3" s="1"/>
  <c r="BO326" i="3"/>
  <c r="BR326" i="3" s="1"/>
  <c r="BM326" i="3"/>
  <c r="BL326" i="3"/>
  <c r="BI326" i="3"/>
  <c r="BD326" i="3"/>
  <c r="BG326" i="3" s="1"/>
  <c r="BA326" i="3"/>
  <c r="BB326" i="3" s="1"/>
  <c r="BO324" i="3"/>
  <c r="BR324" i="3" s="1"/>
  <c r="BM324" i="3"/>
  <c r="BL324" i="3"/>
  <c r="BI324" i="3"/>
  <c r="BD324" i="3"/>
  <c r="BG324" i="3" s="1"/>
  <c r="BA324" i="3"/>
  <c r="BO323" i="3"/>
  <c r="BM323" i="3"/>
  <c r="BL323" i="3"/>
  <c r="BI323" i="3"/>
  <c r="BD323" i="3"/>
  <c r="BG323" i="3" s="1"/>
  <c r="BA323" i="3"/>
  <c r="BB323" i="3" s="1"/>
  <c r="BO322" i="3"/>
  <c r="BR322" i="3" s="1"/>
  <c r="BM322" i="3"/>
  <c r="BL322" i="3"/>
  <c r="BI322" i="3"/>
  <c r="BD322" i="3"/>
  <c r="BA322" i="3"/>
  <c r="BB322" i="3" s="1"/>
  <c r="BO321" i="3"/>
  <c r="BM321" i="3"/>
  <c r="BL321" i="3"/>
  <c r="BI321" i="3"/>
  <c r="BD321" i="3"/>
  <c r="BA321" i="3"/>
  <c r="BB321" i="3" s="1"/>
  <c r="BO320" i="3"/>
  <c r="BM320" i="3"/>
  <c r="BL320" i="3"/>
  <c r="BI320" i="3"/>
  <c r="BD320" i="3"/>
  <c r="BG320" i="3" s="1"/>
  <c r="BA320" i="3"/>
  <c r="BO319" i="3"/>
  <c r="BR319" i="3" s="1"/>
  <c r="BM319" i="3"/>
  <c r="BL319" i="3"/>
  <c r="BI319" i="3"/>
  <c r="BD319" i="3"/>
  <c r="BA319" i="3"/>
  <c r="BB319" i="3" s="1"/>
  <c r="BO318" i="3"/>
  <c r="BM318" i="3"/>
  <c r="BL318" i="3"/>
  <c r="BI318" i="3"/>
  <c r="BD318" i="3"/>
  <c r="BA318" i="3"/>
  <c r="BB318" i="3" s="1"/>
  <c r="BO316" i="3"/>
  <c r="BM316" i="3"/>
  <c r="BL316" i="3"/>
  <c r="BI316" i="3"/>
  <c r="BD316" i="3"/>
  <c r="BG316" i="3" s="1"/>
  <c r="BA316" i="3"/>
  <c r="BB316" i="3" s="1"/>
  <c r="BO314" i="3"/>
  <c r="BR314" i="3" s="1"/>
  <c r="BM314" i="3"/>
  <c r="BL314" i="3"/>
  <c r="BI314" i="3"/>
  <c r="BD314" i="3"/>
  <c r="BG314" i="3" s="1"/>
  <c r="BA314" i="3"/>
  <c r="BB314" i="3" s="1"/>
  <c r="BO313" i="3"/>
  <c r="BR313" i="3" s="1"/>
  <c r="BM313" i="3"/>
  <c r="BL313" i="3"/>
  <c r="BI313" i="3"/>
  <c r="BD313" i="3"/>
  <c r="BA313" i="3"/>
  <c r="BB313" i="3" s="1"/>
  <c r="BO312" i="3"/>
  <c r="BR312" i="3" s="1"/>
  <c r="BM312" i="3"/>
  <c r="BL312" i="3"/>
  <c r="BI312" i="3"/>
  <c r="BD312" i="3"/>
  <c r="BA312" i="3"/>
  <c r="BB312" i="3" s="1"/>
  <c r="BO311" i="3"/>
  <c r="BR311" i="3" s="1"/>
  <c r="BM311" i="3"/>
  <c r="BL311" i="3"/>
  <c r="BI311" i="3"/>
  <c r="BD311" i="3"/>
  <c r="BA311" i="3"/>
  <c r="BB311" i="3" s="1"/>
  <c r="BO310" i="3"/>
  <c r="BR310" i="3" s="1"/>
  <c r="BM310" i="3"/>
  <c r="BL310" i="3"/>
  <c r="BI310" i="3"/>
  <c r="BD310" i="3"/>
  <c r="BG310" i="3" s="1"/>
  <c r="BA310" i="3"/>
  <c r="BB310" i="3" s="1"/>
  <c r="BO309" i="3"/>
  <c r="BM309" i="3"/>
  <c r="BL309" i="3"/>
  <c r="BI309" i="3"/>
  <c r="BD309" i="3"/>
  <c r="BA309" i="3"/>
  <c r="BB309" i="3" s="1"/>
  <c r="BO308" i="3"/>
  <c r="BM308" i="3"/>
  <c r="BL308" i="3"/>
  <c r="BI308" i="3"/>
  <c r="BD308" i="3"/>
  <c r="BG308" i="3" s="1"/>
  <c r="BA308" i="3"/>
  <c r="BO306" i="3"/>
  <c r="BM306" i="3"/>
  <c r="BL306" i="3"/>
  <c r="BI306" i="3"/>
  <c r="BD306" i="3"/>
  <c r="BG306" i="3" s="1"/>
  <c r="BA306" i="3"/>
  <c r="BB306" i="3" s="1"/>
  <c r="BO304" i="3"/>
  <c r="BR304" i="3" s="1"/>
  <c r="BM304" i="3"/>
  <c r="BL304" i="3"/>
  <c r="BI304" i="3"/>
  <c r="BD304" i="3"/>
  <c r="BG304" i="3" s="1"/>
  <c r="BA304" i="3"/>
  <c r="BB304" i="3" s="1"/>
  <c r="BO302" i="3"/>
  <c r="BM302" i="3"/>
  <c r="BL302" i="3"/>
  <c r="BI302" i="3"/>
  <c r="BD302" i="3"/>
  <c r="BG302" i="3" s="1"/>
  <c r="BA302" i="3"/>
  <c r="BB302" i="3" s="1"/>
  <c r="BO301" i="3"/>
  <c r="BR301" i="3" s="1"/>
  <c r="BM301" i="3"/>
  <c r="BL301" i="3"/>
  <c r="BI301" i="3"/>
  <c r="BD301" i="3"/>
  <c r="BA301" i="3"/>
  <c r="BB301" i="3" s="1"/>
  <c r="BO300" i="3"/>
  <c r="BR300" i="3" s="1"/>
  <c r="BM300" i="3"/>
  <c r="BL300" i="3"/>
  <c r="BI300" i="3"/>
  <c r="BD300" i="3"/>
  <c r="BG300" i="3" s="1"/>
  <c r="BA300" i="3"/>
  <c r="BO299" i="3"/>
  <c r="BR299" i="3" s="1"/>
  <c r="BM299" i="3"/>
  <c r="BL299" i="3"/>
  <c r="BI299" i="3"/>
  <c r="BD299" i="3"/>
  <c r="BG299" i="3" s="1"/>
  <c r="BA299" i="3"/>
  <c r="BB299" i="3" s="1"/>
  <c r="BO298" i="3"/>
  <c r="BR298" i="3" s="1"/>
  <c r="BM298" i="3"/>
  <c r="BL298" i="3"/>
  <c r="BI298" i="3"/>
  <c r="BD298" i="3"/>
  <c r="BG298" i="3" s="1"/>
  <c r="BA298" i="3"/>
  <c r="BB298" i="3" s="1"/>
  <c r="BO297" i="3"/>
  <c r="BM297" i="3"/>
  <c r="BL297" i="3"/>
  <c r="BI297" i="3"/>
  <c r="BD297" i="3"/>
  <c r="BA297" i="3"/>
  <c r="BB297" i="3" s="1"/>
  <c r="BO296" i="3"/>
  <c r="BM296" i="3"/>
  <c r="BL296" i="3"/>
  <c r="BI296" i="3"/>
  <c r="BD296" i="3"/>
  <c r="BA296" i="3"/>
  <c r="BB296" i="3" s="1"/>
  <c r="BO295" i="3"/>
  <c r="BR295" i="3" s="1"/>
  <c r="BM295" i="3"/>
  <c r="BL295" i="3"/>
  <c r="BI295" i="3"/>
  <c r="BD295" i="3"/>
  <c r="BG295" i="3" s="1"/>
  <c r="BA295" i="3"/>
  <c r="BO293" i="3"/>
  <c r="BR293" i="3" s="1"/>
  <c r="BM293" i="3"/>
  <c r="BL293" i="3"/>
  <c r="BI293" i="3"/>
  <c r="BD293" i="3"/>
  <c r="BG293" i="3" s="1"/>
  <c r="BA293" i="3"/>
  <c r="BB293" i="3" s="1"/>
  <c r="BO290" i="3"/>
  <c r="BR290" i="3" s="1"/>
  <c r="BM290" i="3"/>
  <c r="BL290" i="3"/>
  <c r="BI290" i="3"/>
  <c r="BD290" i="3"/>
  <c r="BG290" i="3" s="1"/>
  <c r="BA290" i="3"/>
  <c r="BB290" i="3" s="1"/>
  <c r="BO289" i="3"/>
  <c r="BM289" i="3"/>
  <c r="BL289" i="3"/>
  <c r="BI289" i="3"/>
  <c r="BD289" i="3"/>
  <c r="BA289" i="3"/>
  <c r="BB289" i="3" s="1"/>
  <c r="BO288" i="3"/>
  <c r="BR288" i="3" s="1"/>
  <c r="BM288" i="3"/>
  <c r="BL288" i="3"/>
  <c r="BI288" i="3"/>
  <c r="BD288" i="3"/>
  <c r="BA288" i="3"/>
  <c r="BO287" i="3"/>
  <c r="BR287" i="3" s="1"/>
  <c r="BM287" i="3"/>
  <c r="BL287" i="3"/>
  <c r="BI287" i="3"/>
  <c r="BD287" i="3"/>
  <c r="BG287" i="3" s="1"/>
  <c r="BA287" i="3"/>
  <c r="BB287" i="3" s="1"/>
  <c r="BO286" i="3"/>
  <c r="BM286" i="3"/>
  <c r="BL286" i="3"/>
  <c r="BI286" i="3"/>
  <c r="BD286" i="3"/>
  <c r="BG286" i="3" s="1"/>
  <c r="BA286" i="3"/>
  <c r="BB286" i="3" s="1"/>
  <c r="BO285" i="3"/>
  <c r="BR285" i="3" s="1"/>
  <c r="BM285" i="3"/>
  <c r="BL285" i="3"/>
  <c r="BI285" i="3"/>
  <c r="BD285" i="3"/>
  <c r="BA285" i="3"/>
  <c r="BB285" i="3" s="1"/>
  <c r="BO284" i="3"/>
  <c r="BM284" i="3"/>
  <c r="BL284" i="3"/>
  <c r="BI284" i="3"/>
  <c r="BD284" i="3"/>
  <c r="BA284" i="3"/>
  <c r="BB284" i="3" s="1"/>
  <c r="BO283" i="3"/>
  <c r="BR283" i="3" s="1"/>
  <c r="BM283" i="3"/>
  <c r="BL283" i="3"/>
  <c r="BI283" i="3"/>
  <c r="BD283" i="3"/>
  <c r="BG283" i="3" s="1"/>
  <c r="BA283" i="3"/>
  <c r="BB283" i="3" s="1"/>
  <c r="BO282" i="3"/>
  <c r="BR282" i="3" s="1"/>
  <c r="BM282" i="3"/>
  <c r="BL282" i="3"/>
  <c r="BI282" i="3"/>
  <c r="BD282" i="3"/>
  <c r="BA282" i="3"/>
  <c r="BB282" i="3" s="1"/>
  <c r="BO281" i="3"/>
  <c r="BR281" i="3" s="1"/>
  <c r="BM281" i="3"/>
  <c r="BL281" i="3"/>
  <c r="BI281" i="3"/>
  <c r="BD281" i="3"/>
  <c r="BG281" i="3" s="1"/>
  <c r="BA281" i="3"/>
  <c r="BB281" i="3" s="1"/>
  <c r="BO280" i="3"/>
  <c r="BM280" i="3"/>
  <c r="BL280" i="3"/>
  <c r="BI280" i="3"/>
  <c r="BD280" i="3"/>
  <c r="BA280" i="3"/>
  <c r="BO279" i="3"/>
  <c r="BM279" i="3"/>
  <c r="BL279" i="3"/>
  <c r="BI279" i="3"/>
  <c r="BD279" i="3"/>
  <c r="BG279" i="3" s="1"/>
  <c r="BA279" i="3"/>
  <c r="BB279" i="3" s="1"/>
  <c r="BO278" i="3"/>
  <c r="BM278" i="3"/>
  <c r="BL278" i="3"/>
  <c r="BI278" i="3"/>
  <c r="BD278" i="3"/>
  <c r="BG278" i="3" s="1"/>
  <c r="BA278" i="3"/>
  <c r="BB278" i="3" s="1"/>
  <c r="BO277" i="3"/>
  <c r="BM277" i="3"/>
  <c r="BL277" i="3"/>
  <c r="BI277" i="3"/>
  <c r="BD277" i="3"/>
  <c r="BG277" i="3" s="1"/>
  <c r="BA277" i="3"/>
  <c r="BB277" i="3" s="1"/>
  <c r="BO276" i="3"/>
  <c r="BR276" i="3" s="1"/>
  <c r="BM276" i="3"/>
  <c r="BL276" i="3"/>
  <c r="BI276" i="3"/>
  <c r="BD276" i="3"/>
  <c r="BA276" i="3"/>
  <c r="BB276" i="3" s="1"/>
  <c r="BO275" i="3"/>
  <c r="BR275" i="3" s="1"/>
  <c r="BM275" i="3"/>
  <c r="BL275" i="3"/>
  <c r="BI275" i="3"/>
  <c r="BD275" i="3"/>
  <c r="BA275" i="3"/>
  <c r="BB275" i="3" s="1"/>
  <c r="BO274" i="3"/>
  <c r="BM274" i="3"/>
  <c r="BL274" i="3"/>
  <c r="BI274" i="3"/>
  <c r="BD274" i="3"/>
  <c r="BA274" i="3"/>
  <c r="BB274" i="3" s="1"/>
  <c r="BO273" i="3"/>
  <c r="BR273" i="3" s="1"/>
  <c r="BM273" i="3"/>
  <c r="BL273" i="3"/>
  <c r="BI273" i="3"/>
  <c r="BD273" i="3"/>
  <c r="BG273" i="3" s="1"/>
  <c r="BA273" i="3"/>
  <c r="BO272" i="3"/>
  <c r="BM272" i="3"/>
  <c r="BL272" i="3"/>
  <c r="BI272" i="3"/>
  <c r="BD272" i="3"/>
  <c r="BG272" i="3" s="1"/>
  <c r="BA272" i="3"/>
  <c r="BO271" i="3"/>
  <c r="BM271" i="3"/>
  <c r="BL271" i="3"/>
  <c r="BI271" i="3"/>
  <c r="BD271" i="3"/>
  <c r="BA271" i="3"/>
  <c r="BB271" i="3" s="1"/>
  <c r="BO270" i="3"/>
  <c r="BR270" i="3" s="1"/>
  <c r="BM270" i="3"/>
  <c r="BL270" i="3"/>
  <c r="BI270" i="3"/>
  <c r="BD270" i="3"/>
  <c r="BA270" i="3"/>
  <c r="BB270" i="3" s="1"/>
  <c r="BO269" i="3"/>
  <c r="BM269" i="3"/>
  <c r="BL269" i="3"/>
  <c r="BI269" i="3"/>
  <c r="BD269" i="3"/>
  <c r="BA269" i="3"/>
  <c r="BB269" i="3" s="1"/>
  <c r="BO268" i="3"/>
  <c r="BM268" i="3"/>
  <c r="BL268" i="3"/>
  <c r="BI268" i="3"/>
  <c r="BD268" i="3"/>
  <c r="BA268" i="3"/>
  <c r="BB268" i="3" s="1"/>
  <c r="BO267" i="3"/>
  <c r="BR267" i="3" s="1"/>
  <c r="BM267" i="3"/>
  <c r="BL267" i="3"/>
  <c r="BI267" i="3"/>
  <c r="BD267" i="3"/>
  <c r="BG267" i="3" s="1"/>
  <c r="BA267" i="3"/>
  <c r="BO265" i="3"/>
  <c r="BR265" i="3" s="1"/>
  <c r="BM265" i="3"/>
  <c r="BL265" i="3"/>
  <c r="BI265" i="3"/>
  <c r="BD265" i="3"/>
  <c r="BA265" i="3"/>
  <c r="BB265" i="3" s="1"/>
  <c r="BO263" i="3"/>
  <c r="BR263" i="3" s="1"/>
  <c r="BM263" i="3"/>
  <c r="BL263" i="3"/>
  <c r="BI263" i="3"/>
  <c r="BD263" i="3"/>
  <c r="BA263" i="3"/>
  <c r="BB263" i="3" s="1"/>
  <c r="BO262" i="3"/>
  <c r="BM262" i="3"/>
  <c r="BL262" i="3"/>
  <c r="BI262" i="3"/>
  <c r="BD262" i="3"/>
  <c r="BG262" i="3" s="1"/>
  <c r="BA262" i="3"/>
  <c r="BB262" i="3" s="1"/>
  <c r="BO261" i="3"/>
  <c r="BR261" i="3" s="1"/>
  <c r="BM261" i="3"/>
  <c r="BL261" i="3"/>
  <c r="BI261" i="3"/>
  <c r="BD261" i="3"/>
  <c r="BA261" i="3"/>
  <c r="BB261" i="3" s="1"/>
  <c r="BO260" i="3"/>
  <c r="BM260" i="3"/>
  <c r="BL260" i="3"/>
  <c r="BI260" i="3"/>
  <c r="BD260" i="3"/>
  <c r="BG260" i="3" s="1"/>
  <c r="BA260" i="3"/>
  <c r="BB260" i="3" s="1"/>
  <c r="BO259" i="3"/>
  <c r="BR259" i="3" s="1"/>
  <c r="BM259" i="3"/>
  <c r="BL259" i="3"/>
  <c r="BI259" i="3"/>
  <c r="BD259" i="3"/>
  <c r="BA259" i="3"/>
  <c r="BB259" i="3" s="1"/>
  <c r="BO258" i="3"/>
  <c r="BR258" i="3" s="1"/>
  <c r="BM258" i="3"/>
  <c r="BL258" i="3"/>
  <c r="BI258" i="3"/>
  <c r="BD258" i="3"/>
  <c r="BA258" i="3"/>
  <c r="BB258" i="3" s="1"/>
  <c r="BO257" i="3"/>
  <c r="BR257" i="3" s="1"/>
  <c r="BM257" i="3"/>
  <c r="BL257" i="3"/>
  <c r="BI257" i="3"/>
  <c r="BD257" i="3"/>
  <c r="BG257" i="3" s="1"/>
  <c r="BA257" i="3"/>
  <c r="BB257" i="3" s="1"/>
  <c r="BO256" i="3"/>
  <c r="BM256" i="3"/>
  <c r="BL256" i="3"/>
  <c r="BI256" i="3"/>
  <c r="BD256" i="3"/>
  <c r="BG256" i="3" s="1"/>
  <c r="BA256" i="3"/>
  <c r="BB256" i="3" s="1"/>
  <c r="BO255" i="3"/>
  <c r="BR255" i="3" s="1"/>
  <c r="BM255" i="3"/>
  <c r="BL255" i="3"/>
  <c r="BI255" i="3"/>
  <c r="BD255" i="3"/>
  <c r="BA255" i="3"/>
  <c r="BB255" i="3" s="1"/>
  <c r="BO254" i="3"/>
  <c r="BM254" i="3"/>
  <c r="BL254" i="3"/>
  <c r="BI254" i="3"/>
  <c r="BD254" i="3"/>
  <c r="BG254" i="3" s="1"/>
  <c r="BA254" i="3"/>
  <c r="BB254" i="3" s="1"/>
  <c r="BO253" i="3"/>
  <c r="BM253" i="3"/>
  <c r="BL253" i="3"/>
  <c r="BI253" i="3"/>
  <c r="BD253" i="3"/>
  <c r="BA253" i="3"/>
  <c r="BB253" i="3" s="1"/>
  <c r="BO252" i="3"/>
  <c r="BM252" i="3"/>
  <c r="BL252" i="3"/>
  <c r="BI252" i="3"/>
  <c r="BD252" i="3"/>
  <c r="BG252" i="3" s="1"/>
  <c r="BA252" i="3"/>
  <c r="BB252" i="3" s="1"/>
  <c r="BO251" i="3"/>
  <c r="BR251" i="3" s="1"/>
  <c r="BM251" i="3"/>
  <c r="BL251" i="3"/>
  <c r="BI251" i="3"/>
  <c r="BD251" i="3"/>
  <c r="BG251" i="3" s="1"/>
  <c r="BA251" i="3"/>
  <c r="BB251" i="3" s="1"/>
  <c r="BO250" i="3"/>
  <c r="BR250" i="3" s="1"/>
  <c r="BM250" i="3"/>
  <c r="BL250" i="3"/>
  <c r="BI250" i="3"/>
  <c r="BD250" i="3"/>
  <c r="BG250" i="3" s="1"/>
  <c r="BA250" i="3"/>
  <c r="BB250" i="3" s="1"/>
  <c r="BO249" i="3"/>
  <c r="BR249" i="3" s="1"/>
  <c r="BM249" i="3"/>
  <c r="BL249" i="3"/>
  <c r="BI249" i="3"/>
  <c r="BD249" i="3"/>
  <c r="BG249" i="3" s="1"/>
  <c r="BA249" i="3"/>
  <c r="BB249" i="3" s="1"/>
  <c r="BO248" i="3"/>
  <c r="BM248" i="3"/>
  <c r="BL248" i="3"/>
  <c r="BI248" i="3"/>
  <c r="BD248" i="3"/>
  <c r="BA248" i="3"/>
  <c r="BB248" i="3" s="1"/>
  <c r="BO247" i="3"/>
  <c r="BR247" i="3" s="1"/>
  <c r="BM247" i="3"/>
  <c r="BL247" i="3"/>
  <c r="BI247" i="3"/>
  <c r="BD247" i="3"/>
  <c r="BA247" i="3"/>
  <c r="BB247" i="3" s="1"/>
  <c r="BO246" i="3"/>
  <c r="BM246" i="3"/>
  <c r="BL246" i="3"/>
  <c r="BI246" i="3"/>
  <c r="BD246" i="3"/>
  <c r="BG246" i="3" s="1"/>
  <c r="BA246" i="3"/>
  <c r="BB246" i="3" s="1"/>
  <c r="BO245" i="3"/>
  <c r="BR245" i="3" s="1"/>
  <c r="BM245" i="3"/>
  <c r="BL245" i="3"/>
  <c r="BI245" i="3"/>
  <c r="BD245" i="3"/>
  <c r="BG245" i="3" s="1"/>
  <c r="BA245" i="3"/>
  <c r="BO244" i="3"/>
  <c r="BM244" i="3"/>
  <c r="BL244" i="3"/>
  <c r="BI244" i="3"/>
  <c r="BD244" i="3"/>
  <c r="BG244" i="3" s="1"/>
  <c r="BA244" i="3"/>
  <c r="BB244" i="3" s="1"/>
  <c r="BO243" i="3"/>
  <c r="BM243" i="3"/>
  <c r="BL243" i="3"/>
  <c r="BI243" i="3"/>
  <c r="BD243" i="3"/>
  <c r="BA243" i="3"/>
  <c r="BO242" i="3"/>
  <c r="BM242" i="3"/>
  <c r="BL242" i="3"/>
  <c r="BI242" i="3"/>
  <c r="BD242" i="3"/>
  <c r="BG242" i="3" s="1"/>
  <c r="BA242" i="3"/>
  <c r="BO241" i="3"/>
  <c r="BM241" i="3"/>
  <c r="BL241" i="3"/>
  <c r="BI241" i="3"/>
  <c r="BD241" i="3"/>
  <c r="BA241" i="3"/>
  <c r="BB241" i="3" s="1"/>
  <c r="BO240" i="3"/>
  <c r="BR240" i="3" s="1"/>
  <c r="BM240" i="3"/>
  <c r="BL240" i="3"/>
  <c r="BI240" i="3"/>
  <c r="BD240" i="3"/>
  <c r="BA240" i="3"/>
  <c r="BB240" i="3" s="1"/>
  <c r="BO239" i="3"/>
  <c r="BM239" i="3"/>
  <c r="BL239" i="3"/>
  <c r="BI239" i="3"/>
  <c r="BD239" i="3"/>
  <c r="BA239" i="3"/>
  <c r="BB239" i="3" s="1"/>
  <c r="BO238" i="3"/>
  <c r="BR238" i="3" s="1"/>
  <c r="BM238" i="3"/>
  <c r="BL238" i="3"/>
  <c r="BI238" i="3"/>
  <c r="BD238" i="3"/>
  <c r="BG238" i="3" s="1"/>
  <c r="BA238" i="3"/>
  <c r="BB238" i="3" s="1"/>
  <c r="BO237" i="3"/>
  <c r="BR237" i="3" s="1"/>
  <c r="BM237" i="3"/>
  <c r="BL237" i="3"/>
  <c r="BI237" i="3"/>
  <c r="BD237" i="3"/>
  <c r="BG237" i="3" s="1"/>
  <c r="BA237" i="3"/>
  <c r="BO236" i="3"/>
  <c r="BR236" i="3" s="1"/>
  <c r="BM236" i="3"/>
  <c r="BL236" i="3"/>
  <c r="BI236" i="3"/>
  <c r="BD236" i="3"/>
  <c r="BG236" i="3" s="1"/>
  <c r="BA236" i="3"/>
  <c r="BB236" i="3" s="1"/>
  <c r="BO235" i="3"/>
  <c r="BR235" i="3" s="1"/>
  <c r="BM235" i="3"/>
  <c r="BL235" i="3"/>
  <c r="BI235" i="3"/>
  <c r="BD235" i="3"/>
  <c r="BG235" i="3" s="1"/>
  <c r="BA235" i="3"/>
  <c r="BB235" i="3" s="1"/>
  <c r="BO234" i="3"/>
  <c r="BM234" i="3"/>
  <c r="BL234" i="3"/>
  <c r="BI234" i="3"/>
  <c r="BD234" i="3"/>
  <c r="BG234" i="3" s="1"/>
  <c r="BA234" i="3"/>
  <c r="BB234" i="3" s="1"/>
  <c r="BO233" i="3"/>
  <c r="BM233" i="3"/>
  <c r="BL233" i="3"/>
  <c r="BI233" i="3"/>
  <c r="BD233" i="3"/>
  <c r="BA233" i="3"/>
  <c r="BB233" i="3" s="1"/>
  <c r="BO232" i="3"/>
  <c r="BR232" i="3" s="1"/>
  <c r="BM232" i="3"/>
  <c r="BL232" i="3"/>
  <c r="BI232" i="3"/>
  <c r="BD232" i="3"/>
  <c r="BA232" i="3"/>
  <c r="BB232" i="3" s="1"/>
  <c r="BO231" i="3"/>
  <c r="BM231" i="3"/>
  <c r="BL231" i="3"/>
  <c r="BI231" i="3"/>
  <c r="BD231" i="3"/>
  <c r="BA231" i="3"/>
  <c r="BB231" i="3" s="1"/>
  <c r="BO230" i="3"/>
  <c r="BM230" i="3"/>
  <c r="BL230" i="3"/>
  <c r="BI230" i="3"/>
  <c r="BD230" i="3"/>
  <c r="BA230" i="3"/>
  <c r="BB230" i="3" s="1"/>
  <c r="BO229" i="3"/>
  <c r="BR229" i="3" s="1"/>
  <c r="BM229" i="3"/>
  <c r="BL229" i="3"/>
  <c r="BI229" i="3"/>
  <c r="BD229" i="3"/>
  <c r="BG229" i="3" s="1"/>
  <c r="BA229" i="3"/>
  <c r="BB229" i="3" s="1"/>
  <c r="BO228" i="3"/>
  <c r="BM228" i="3"/>
  <c r="BL228" i="3"/>
  <c r="BI228" i="3"/>
  <c r="BD228" i="3"/>
  <c r="BG228" i="3" s="1"/>
  <c r="BA228" i="3"/>
  <c r="BB228" i="3" s="1"/>
  <c r="BO227" i="3"/>
  <c r="BM227" i="3"/>
  <c r="BL227" i="3"/>
  <c r="BI227" i="3"/>
  <c r="BD227" i="3"/>
  <c r="BA227" i="3"/>
  <c r="BO226" i="3"/>
  <c r="BM226" i="3"/>
  <c r="BL226" i="3"/>
  <c r="BI226" i="3"/>
  <c r="BD226" i="3"/>
  <c r="BG226" i="3" s="1"/>
  <c r="BA226" i="3"/>
  <c r="BB226" i="3" s="1"/>
  <c r="BO225" i="3"/>
  <c r="BM225" i="3"/>
  <c r="BL225" i="3"/>
  <c r="BI225" i="3"/>
  <c r="BD225" i="3"/>
  <c r="BG225" i="3" s="1"/>
  <c r="BA225" i="3"/>
  <c r="BB225" i="3" s="1"/>
  <c r="BO224" i="3"/>
  <c r="BM224" i="3"/>
  <c r="BL224" i="3"/>
  <c r="BI224" i="3"/>
  <c r="BD224" i="3"/>
  <c r="BA224" i="3"/>
  <c r="BB224" i="3" s="1"/>
  <c r="BO223" i="3"/>
  <c r="BM223" i="3"/>
  <c r="BL223" i="3"/>
  <c r="BI223" i="3"/>
  <c r="BD223" i="3"/>
  <c r="BG223" i="3" s="1"/>
  <c r="BA223" i="3"/>
  <c r="BB223" i="3" s="1"/>
  <c r="BO222" i="3"/>
  <c r="BR222" i="3" s="1"/>
  <c r="BM222" i="3"/>
  <c r="BL222" i="3"/>
  <c r="BI222" i="3"/>
  <c r="BD222" i="3"/>
  <c r="BG222" i="3" s="1"/>
  <c r="BA222" i="3"/>
  <c r="BB222" i="3" s="1"/>
  <c r="BO221" i="3"/>
  <c r="BR221" i="3" s="1"/>
  <c r="BM221" i="3"/>
  <c r="BL221" i="3"/>
  <c r="BI221" i="3"/>
  <c r="BD221" i="3"/>
  <c r="BA221" i="3"/>
  <c r="BB221" i="3" s="1"/>
  <c r="BO220" i="3"/>
  <c r="BR220" i="3" s="1"/>
  <c r="BM220" i="3"/>
  <c r="BL220" i="3"/>
  <c r="BI220" i="3"/>
  <c r="BD220" i="3"/>
  <c r="BG220" i="3" s="1"/>
  <c r="BA220" i="3"/>
  <c r="BB220" i="3" s="1"/>
  <c r="BO218" i="3"/>
  <c r="BR218" i="3" s="1"/>
  <c r="BM218" i="3"/>
  <c r="BL218" i="3"/>
  <c r="BI218" i="3"/>
  <c r="BD218" i="3"/>
  <c r="BG218" i="3" s="1"/>
  <c r="BA218" i="3"/>
  <c r="BO216" i="3"/>
  <c r="BR216" i="3" s="1"/>
  <c r="BM216" i="3"/>
  <c r="BL216" i="3"/>
  <c r="BI216" i="3"/>
  <c r="BD216" i="3"/>
  <c r="BA216" i="3"/>
  <c r="BB216" i="3" s="1"/>
  <c r="BO214" i="3"/>
  <c r="BR214" i="3" s="1"/>
  <c r="BM214" i="3"/>
  <c r="BL214" i="3"/>
  <c r="BI214" i="3"/>
  <c r="BD214" i="3"/>
  <c r="BA214" i="3"/>
  <c r="BB214" i="3" s="1"/>
  <c r="BO213" i="3"/>
  <c r="BR213" i="3" s="1"/>
  <c r="BM213" i="3"/>
  <c r="BL213" i="3"/>
  <c r="BI213" i="3"/>
  <c r="BD213" i="3"/>
  <c r="BG213" i="3" s="1"/>
  <c r="BA213" i="3"/>
  <c r="BB213" i="3" s="1"/>
  <c r="BO211" i="3"/>
  <c r="BR211" i="3" s="1"/>
  <c r="BM211" i="3"/>
  <c r="BL211" i="3"/>
  <c r="BI211" i="3"/>
  <c r="BD211" i="3"/>
  <c r="BG211" i="3" s="1"/>
  <c r="BA211" i="3"/>
  <c r="BB211" i="3" s="1"/>
  <c r="BO210" i="3"/>
  <c r="BM210" i="3"/>
  <c r="BL210" i="3"/>
  <c r="BI210" i="3"/>
  <c r="BD210" i="3"/>
  <c r="BG210" i="3" s="1"/>
  <c r="BA210" i="3"/>
  <c r="BB210" i="3" s="1"/>
  <c r="BO209" i="3"/>
  <c r="BM209" i="3"/>
  <c r="BL209" i="3"/>
  <c r="BI209" i="3"/>
  <c r="BD209" i="3"/>
  <c r="BA209" i="3"/>
  <c r="BB209" i="3" s="1"/>
  <c r="BO208" i="3"/>
  <c r="BM208" i="3"/>
  <c r="BL208" i="3"/>
  <c r="BI208" i="3"/>
  <c r="BD208" i="3"/>
  <c r="BG208" i="3" s="1"/>
  <c r="BA208" i="3"/>
  <c r="BO207" i="3"/>
  <c r="BR207" i="3" s="1"/>
  <c r="BM207" i="3"/>
  <c r="BL207" i="3"/>
  <c r="BI207" i="3"/>
  <c r="BD207" i="3"/>
  <c r="BA207" i="3"/>
  <c r="BB207" i="3" s="1"/>
  <c r="BO205" i="3"/>
  <c r="BR205" i="3" s="1"/>
  <c r="BM205" i="3"/>
  <c r="BL205" i="3"/>
  <c r="BI205" i="3"/>
  <c r="BD205" i="3"/>
  <c r="BA205" i="3"/>
  <c r="BB205" i="3" s="1"/>
  <c r="BO202" i="3"/>
  <c r="BR202" i="3" s="1"/>
  <c r="BM202" i="3"/>
  <c r="BL202" i="3"/>
  <c r="BI202" i="3"/>
  <c r="BD202" i="3"/>
  <c r="BA202" i="3"/>
  <c r="BB202" i="3" s="1"/>
  <c r="BO203" i="3"/>
  <c r="BR203" i="3" s="1"/>
  <c r="BM203" i="3"/>
  <c r="BL203" i="3"/>
  <c r="BI203" i="3"/>
  <c r="BD203" i="3"/>
  <c r="BG203" i="3" s="1"/>
  <c r="BA203" i="3"/>
  <c r="BB203" i="3" s="1"/>
  <c r="BO200" i="3"/>
  <c r="BM200" i="3"/>
  <c r="BL200" i="3"/>
  <c r="BI200" i="3"/>
  <c r="BD200" i="3"/>
  <c r="BG200" i="3" s="1"/>
  <c r="BA200" i="3"/>
  <c r="BB200" i="3" s="1"/>
  <c r="BO198" i="3"/>
  <c r="BM198" i="3"/>
  <c r="BL198" i="3"/>
  <c r="BI198" i="3"/>
  <c r="BD198" i="3"/>
  <c r="BG198" i="3" s="1"/>
  <c r="BA198" i="3"/>
  <c r="BB198" i="3" s="1"/>
  <c r="BO197" i="3"/>
  <c r="BR197" i="3" s="1"/>
  <c r="BM197" i="3"/>
  <c r="BL197" i="3"/>
  <c r="BI197" i="3"/>
  <c r="BD197" i="3"/>
  <c r="BG197" i="3" s="1"/>
  <c r="BA197" i="3"/>
  <c r="BO195" i="3"/>
  <c r="BR195" i="3" s="1"/>
  <c r="BM195" i="3"/>
  <c r="BL195" i="3"/>
  <c r="BI195" i="3"/>
  <c r="BD195" i="3"/>
  <c r="BA195" i="3"/>
  <c r="BO193" i="3"/>
  <c r="BR193" i="3" s="1"/>
  <c r="BM193" i="3"/>
  <c r="BL193" i="3"/>
  <c r="BI193" i="3"/>
  <c r="BD193" i="3"/>
  <c r="BG193" i="3" s="1"/>
  <c r="BA193" i="3"/>
  <c r="BB193" i="3" s="1"/>
  <c r="BO191" i="3"/>
  <c r="BR191" i="3" s="1"/>
  <c r="BM191" i="3"/>
  <c r="BL191" i="3"/>
  <c r="BI191" i="3"/>
  <c r="BD191" i="3"/>
  <c r="BA191" i="3"/>
  <c r="BB191" i="3" s="1"/>
  <c r="BO189" i="3"/>
  <c r="BR189" i="3" s="1"/>
  <c r="BM189" i="3"/>
  <c r="BL189" i="3"/>
  <c r="BI189" i="3"/>
  <c r="BD189" i="3"/>
  <c r="BG189" i="3" s="1"/>
  <c r="BA189" i="3"/>
  <c r="BB189" i="3" s="1"/>
  <c r="BO187" i="3"/>
  <c r="BR187" i="3" s="1"/>
  <c r="BM187" i="3"/>
  <c r="BL187" i="3"/>
  <c r="BI187" i="3"/>
  <c r="BD187" i="3"/>
  <c r="BA187" i="3"/>
  <c r="BB187" i="3" s="1"/>
  <c r="BO185" i="3"/>
  <c r="BR185" i="3" s="1"/>
  <c r="BM185" i="3"/>
  <c r="BL185" i="3"/>
  <c r="BI185" i="3"/>
  <c r="BD185" i="3"/>
  <c r="BG185" i="3" s="1"/>
  <c r="BA185" i="3"/>
  <c r="BB185" i="3" s="1"/>
  <c r="BO184" i="3"/>
  <c r="BM184" i="3"/>
  <c r="BL184" i="3"/>
  <c r="BI184" i="3"/>
  <c r="BD184" i="3"/>
  <c r="BG184" i="3" s="1"/>
  <c r="BA184" i="3"/>
  <c r="BB184" i="3" s="1"/>
  <c r="BO182" i="3"/>
  <c r="BR182" i="3" s="1"/>
  <c r="BM182" i="3"/>
  <c r="BL182" i="3"/>
  <c r="BI182" i="3"/>
  <c r="BD182" i="3"/>
  <c r="BG182" i="3" s="1"/>
  <c r="BA182" i="3"/>
  <c r="BB182" i="3" s="1"/>
  <c r="BO180" i="3"/>
  <c r="BR180" i="3" s="1"/>
  <c r="BM180" i="3"/>
  <c r="BL180" i="3"/>
  <c r="BI180" i="3"/>
  <c r="BD180" i="3"/>
  <c r="BG180" i="3" s="1"/>
  <c r="BA180" i="3"/>
  <c r="BB180" i="3" s="1"/>
  <c r="BO179" i="3"/>
  <c r="BR179" i="3" s="1"/>
  <c r="BM179" i="3"/>
  <c r="BL179" i="3"/>
  <c r="BI179" i="3"/>
  <c r="BD179" i="3"/>
  <c r="BG179" i="3" s="1"/>
  <c r="BA179" i="3"/>
  <c r="BB179" i="3" s="1"/>
  <c r="BO178" i="3"/>
  <c r="BR178" i="3" s="1"/>
  <c r="BM178" i="3"/>
  <c r="BL178" i="3"/>
  <c r="BI178" i="3"/>
  <c r="BD178" i="3"/>
  <c r="BG178" i="3" s="1"/>
  <c r="BA178" i="3"/>
  <c r="BB178" i="3" s="1"/>
  <c r="BO176" i="3"/>
  <c r="BR176" i="3" s="1"/>
  <c r="BM176" i="3"/>
  <c r="BL176" i="3"/>
  <c r="BI176" i="3"/>
  <c r="BD176" i="3"/>
  <c r="BG176" i="3" s="1"/>
  <c r="BA176" i="3"/>
  <c r="BB176" i="3" s="1"/>
  <c r="BO174" i="3"/>
  <c r="BM174" i="3"/>
  <c r="BL174" i="3"/>
  <c r="BI174" i="3"/>
  <c r="BD174" i="3"/>
  <c r="BG174" i="3" s="1"/>
  <c r="BA174" i="3"/>
  <c r="BB174" i="3" s="1"/>
  <c r="BO173" i="3"/>
  <c r="BR173" i="3" s="1"/>
  <c r="BM173" i="3"/>
  <c r="BL173" i="3"/>
  <c r="BI173" i="3"/>
  <c r="BD173" i="3"/>
  <c r="BG173" i="3" s="1"/>
  <c r="BA173" i="3"/>
  <c r="BO171" i="3"/>
  <c r="BR171" i="3" s="1"/>
  <c r="BM171" i="3"/>
  <c r="BL171" i="3"/>
  <c r="BI171" i="3"/>
  <c r="BD171" i="3"/>
  <c r="BG171" i="3" s="1"/>
  <c r="BA171" i="3"/>
  <c r="BB171" i="3" s="1"/>
  <c r="BO169" i="3"/>
  <c r="BR169" i="3" s="1"/>
  <c r="BM169" i="3"/>
  <c r="BL169" i="3"/>
  <c r="BI169" i="3"/>
  <c r="BD169" i="3"/>
  <c r="BA169" i="3"/>
  <c r="BB169" i="3" s="1"/>
  <c r="BO168" i="3"/>
  <c r="BR168" i="3" s="1"/>
  <c r="BM168" i="3"/>
  <c r="BL168" i="3"/>
  <c r="BI168" i="3"/>
  <c r="BD168" i="3"/>
  <c r="BG168" i="3" s="1"/>
  <c r="BA168" i="3"/>
  <c r="BB168" i="3" s="1"/>
  <c r="BO167" i="3"/>
  <c r="BR167" i="3" s="1"/>
  <c r="BM167" i="3"/>
  <c r="BL167" i="3"/>
  <c r="BI167" i="3"/>
  <c r="BD167" i="3"/>
  <c r="BG167" i="3" s="1"/>
  <c r="BA167" i="3"/>
  <c r="BB167" i="3" s="1"/>
  <c r="BO166" i="3"/>
  <c r="BM166" i="3"/>
  <c r="BL166" i="3"/>
  <c r="BI166" i="3"/>
  <c r="BD166" i="3"/>
  <c r="BG166" i="3" s="1"/>
  <c r="BA166" i="3"/>
  <c r="BB166" i="3" s="1"/>
  <c r="BO164" i="3"/>
  <c r="BR164" i="3" s="1"/>
  <c r="BM164" i="3"/>
  <c r="BL164" i="3"/>
  <c r="BI164" i="3"/>
  <c r="BD164" i="3"/>
  <c r="BA164" i="3"/>
  <c r="BB164" i="3" s="1"/>
  <c r="BO161" i="3"/>
  <c r="BR161" i="3" s="1"/>
  <c r="BM161" i="3"/>
  <c r="BL161" i="3"/>
  <c r="BI161" i="3"/>
  <c r="BD161" i="3"/>
  <c r="BG161" i="3" s="1"/>
  <c r="BA161" i="3"/>
  <c r="BO159" i="3"/>
  <c r="BR159" i="3" s="1"/>
  <c r="BM159" i="3"/>
  <c r="BL159" i="3"/>
  <c r="BI159" i="3"/>
  <c r="BD159" i="3"/>
  <c r="BA159" i="3"/>
  <c r="BB159" i="3" s="1"/>
  <c r="BO158" i="3"/>
  <c r="BR158" i="3" s="1"/>
  <c r="BM158" i="3"/>
  <c r="BL158" i="3"/>
  <c r="BI158" i="3"/>
  <c r="BD158" i="3"/>
  <c r="BG158" i="3" s="1"/>
  <c r="BA158" i="3"/>
  <c r="BO157" i="3"/>
  <c r="BM157" i="3"/>
  <c r="BL157" i="3"/>
  <c r="BI157" i="3"/>
  <c r="BD157" i="3"/>
  <c r="BA157" i="3"/>
  <c r="BO156" i="3"/>
  <c r="BM156" i="3"/>
  <c r="BL156" i="3"/>
  <c r="BI156" i="3"/>
  <c r="BD156" i="3"/>
  <c r="BA156" i="3"/>
  <c r="BB156" i="3" s="1"/>
  <c r="BO155" i="3"/>
  <c r="BR155" i="3" s="1"/>
  <c r="BM155" i="3"/>
  <c r="BL155" i="3"/>
  <c r="BI155" i="3"/>
  <c r="BD155" i="3"/>
  <c r="BA155" i="3"/>
  <c r="BB155" i="3" s="1"/>
  <c r="BO154" i="3"/>
  <c r="BR154" i="3" s="1"/>
  <c r="BM154" i="3"/>
  <c r="BL154" i="3"/>
  <c r="BI154" i="3"/>
  <c r="BD154" i="3"/>
  <c r="BA154" i="3"/>
  <c r="BB154" i="3" s="1"/>
  <c r="BO152" i="3"/>
  <c r="BR152" i="3" s="1"/>
  <c r="BM152" i="3"/>
  <c r="BL152" i="3"/>
  <c r="BI152" i="3"/>
  <c r="BD152" i="3"/>
  <c r="BA152" i="3"/>
  <c r="BB152" i="3" s="1"/>
  <c r="BO150" i="3"/>
  <c r="BR150" i="3" s="1"/>
  <c r="BM150" i="3"/>
  <c r="BL150" i="3"/>
  <c r="BI150" i="3"/>
  <c r="BD150" i="3"/>
  <c r="BA150" i="3"/>
  <c r="BB150" i="3" s="1"/>
  <c r="BO149" i="3"/>
  <c r="BR149" i="3" s="1"/>
  <c r="BM149" i="3"/>
  <c r="BL149" i="3"/>
  <c r="BI149" i="3"/>
  <c r="BD149" i="3"/>
  <c r="BG149" i="3" s="1"/>
  <c r="BA149" i="3"/>
  <c r="BB149" i="3" s="1"/>
  <c r="BO148" i="3"/>
  <c r="BR148" i="3" s="1"/>
  <c r="BM148" i="3"/>
  <c r="BL148" i="3"/>
  <c r="BI148" i="3"/>
  <c r="BD148" i="3"/>
  <c r="BA148" i="3"/>
  <c r="BB148" i="3" s="1"/>
  <c r="BO147" i="3"/>
  <c r="BR147" i="3" s="1"/>
  <c r="BM147" i="3"/>
  <c r="BL147" i="3"/>
  <c r="BI147" i="3"/>
  <c r="BD147" i="3"/>
  <c r="BG147" i="3" s="1"/>
  <c r="BA147" i="3"/>
  <c r="BB147" i="3" s="1"/>
  <c r="BO146" i="3"/>
  <c r="BM146" i="3"/>
  <c r="BL146" i="3"/>
  <c r="BI146" i="3"/>
  <c r="BD146" i="3"/>
  <c r="BG146" i="3" s="1"/>
  <c r="BA146" i="3"/>
  <c r="BB146" i="3" s="1"/>
  <c r="BO145" i="3"/>
  <c r="BR145" i="3" s="1"/>
  <c r="BM145" i="3"/>
  <c r="BL145" i="3"/>
  <c r="BI145" i="3"/>
  <c r="BD145" i="3"/>
  <c r="BG145" i="3" s="1"/>
  <c r="BA145" i="3"/>
  <c r="BB145" i="3" s="1"/>
  <c r="BO144" i="3"/>
  <c r="BR144" i="3" s="1"/>
  <c r="BM144" i="3"/>
  <c r="BL144" i="3"/>
  <c r="BI144" i="3"/>
  <c r="BD144" i="3"/>
  <c r="BG144" i="3" s="1"/>
  <c r="BA144" i="3"/>
  <c r="BB144" i="3" s="1"/>
  <c r="BO142" i="3"/>
  <c r="BR142" i="3" s="1"/>
  <c r="BM142" i="3"/>
  <c r="BL142" i="3"/>
  <c r="BI142" i="3"/>
  <c r="BD142" i="3"/>
  <c r="BG142" i="3" s="1"/>
  <c r="BA142" i="3"/>
  <c r="BB142" i="3" s="1"/>
  <c r="BO141" i="3"/>
  <c r="BR141" i="3" s="1"/>
  <c r="BM141" i="3"/>
  <c r="BL141" i="3"/>
  <c r="BI141" i="3"/>
  <c r="BD141" i="3"/>
  <c r="BG141" i="3" s="1"/>
  <c r="BA141" i="3"/>
  <c r="BO139" i="3"/>
  <c r="BR139" i="3" s="1"/>
  <c r="BM139" i="3"/>
  <c r="BL139" i="3"/>
  <c r="BI139" i="3"/>
  <c r="BD139" i="3"/>
  <c r="BA139" i="3"/>
  <c r="BB139" i="3" s="1"/>
  <c r="BO138" i="3"/>
  <c r="BR138" i="3" s="1"/>
  <c r="BM138" i="3"/>
  <c r="BL138" i="3"/>
  <c r="BI138" i="3"/>
  <c r="BD138" i="3"/>
  <c r="BG138" i="3" s="1"/>
  <c r="BA138" i="3"/>
  <c r="BB138" i="3" s="1"/>
  <c r="BO136" i="3"/>
  <c r="BR136" i="3" s="1"/>
  <c r="BM136" i="3"/>
  <c r="BL136" i="3"/>
  <c r="BI136" i="3"/>
  <c r="BD136" i="3"/>
  <c r="BA136" i="3"/>
  <c r="BB136" i="3" s="1"/>
  <c r="BO134" i="3"/>
  <c r="BM134" i="3"/>
  <c r="BL134" i="3"/>
  <c r="BI134" i="3"/>
  <c r="BD134" i="3"/>
  <c r="BA134" i="3"/>
  <c r="BB134" i="3" s="1"/>
  <c r="BO133" i="3"/>
  <c r="BR133" i="3" s="1"/>
  <c r="BM133" i="3"/>
  <c r="BL133" i="3"/>
  <c r="BI133" i="3"/>
  <c r="BD133" i="3"/>
  <c r="BG133" i="3" s="1"/>
  <c r="BA133" i="3"/>
  <c r="BB133" i="3" s="1"/>
  <c r="BO132" i="3"/>
  <c r="BM132" i="3"/>
  <c r="BL132" i="3"/>
  <c r="BI132" i="3"/>
  <c r="BD132" i="3"/>
  <c r="BG132" i="3" s="1"/>
  <c r="BA132" i="3"/>
  <c r="BO131" i="3"/>
  <c r="BR131" i="3" s="1"/>
  <c r="BM131" i="3"/>
  <c r="BL131" i="3"/>
  <c r="BI131" i="3"/>
  <c r="BD131" i="3"/>
  <c r="BA131" i="3"/>
  <c r="BB131" i="3" s="1"/>
  <c r="BO129" i="3"/>
  <c r="BR129" i="3" s="1"/>
  <c r="BM129" i="3"/>
  <c r="BL129" i="3"/>
  <c r="BI129" i="3"/>
  <c r="BD129" i="3"/>
  <c r="BA129" i="3"/>
  <c r="BB129" i="3" s="1"/>
  <c r="BO127" i="3"/>
  <c r="BR127" i="3" s="1"/>
  <c r="BM127" i="3"/>
  <c r="BL127" i="3"/>
  <c r="BI127" i="3"/>
  <c r="BD127" i="3"/>
  <c r="BA127" i="3"/>
  <c r="BB127" i="3" s="1"/>
  <c r="BO126" i="3"/>
  <c r="BM126" i="3"/>
  <c r="BL126" i="3"/>
  <c r="BI126" i="3"/>
  <c r="BD126" i="3"/>
  <c r="BG126" i="3" s="1"/>
  <c r="BA126" i="3"/>
  <c r="BB126" i="3" s="1"/>
  <c r="BO125" i="3"/>
  <c r="BM125" i="3"/>
  <c r="BL125" i="3"/>
  <c r="BI125" i="3"/>
  <c r="BD125" i="3"/>
  <c r="BA125" i="3"/>
  <c r="BB125" i="3" s="1"/>
  <c r="BO123" i="3"/>
  <c r="BM123" i="3"/>
  <c r="BL123" i="3"/>
  <c r="BI123" i="3"/>
  <c r="BD123" i="3"/>
  <c r="BG123" i="3" s="1"/>
  <c r="BA123" i="3"/>
  <c r="BO121" i="3"/>
  <c r="BR121" i="3" s="1"/>
  <c r="BM121" i="3"/>
  <c r="BL121" i="3"/>
  <c r="BI121" i="3"/>
  <c r="BD121" i="3"/>
  <c r="BG121" i="3" s="1"/>
  <c r="BA121" i="3"/>
  <c r="BB121" i="3" s="1"/>
  <c r="BO120" i="3"/>
  <c r="BM120" i="3"/>
  <c r="BL120" i="3"/>
  <c r="BI120" i="3"/>
  <c r="BD120" i="3"/>
  <c r="BG120" i="3" s="1"/>
  <c r="BA120" i="3"/>
  <c r="BB120" i="3" s="1"/>
  <c r="BO119" i="3"/>
  <c r="BM119" i="3"/>
  <c r="BL119" i="3"/>
  <c r="BI119" i="3"/>
  <c r="BD119" i="3"/>
  <c r="BG119" i="3" s="1"/>
  <c r="BA119" i="3"/>
  <c r="BB119" i="3" s="1"/>
  <c r="BO118" i="3"/>
  <c r="BR118" i="3" s="1"/>
  <c r="BM118" i="3"/>
  <c r="BL118" i="3"/>
  <c r="BI118" i="3"/>
  <c r="BD118" i="3"/>
  <c r="BA118" i="3"/>
  <c r="BO117" i="3"/>
  <c r="BR117" i="3" s="1"/>
  <c r="BM117" i="3"/>
  <c r="BL117" i="3"/>
  <c r="BI117" i="3"/>
  <c r="BD117" i="3"/>
  <c r="BG117" i="3" s="1"/>
  <c r="BA117" i="3"/>
  <c r="BB117" i="3" s="1"/>
  <c r="BO115" i="3"/>
  <c r="BR115" i="3" s="1"/>
  <c r="BM115" i="3"/>
  <c r="BL115" i="3"/>
  <c r="BI115" i="3"/>
  <c r="BD115" i="3"/>
  <c r="BG115" i="3" s="1"/>
  <c r="BA115" i="3"/>
  <c r="BB115" i="3" s="1"/>
  <c r="BO113" i="3"/>
  <c r="BR113" i="3" s="1"/>
  <c r="BM113" i="3"/>
  <c r="BL113" i="3"/>
  <c r="BI113" i="3"/>
  <c r="BD113" i="3"/>
  <c r="BA113" i="3"/>
  <c r="BB113" i="3" s="1"/>
  <c r="BO111" i="3"/>
  <c r="BR111" i="3" s="1"/>
  <c r="BM111" i="3"/>
  <c r="BL111" i="3"/>
  <c r="BI111" i="3"/>
  <c r="BD111" i="3"/>
  <c r="BA111" i="3"/>
  <c r="BB111" i="3" s="1"/>
  <c r="BO109" i="3"/>
  <c r="BR109" i="3" s="1"/>
  <c r="BM109" i="3"/>
  <c r="BL109" i="3"/>
  <c r="BI109" i="3"/>
  <c r="BD109" i="3"/>
  <c r="BG109" i="3" s="1"/>
  <c r="BA109" i="3"/>
  <c r="BB109" i="3" s="1"/>
  <c r="BO107" i="3"/>
  <c r="BM107" i="3"/>
  <c r="BL107" i="3"/>
  <c r="BI107" i="3"/>
  <c r="BD107" i="3"/>
  <c r="BG107" i="3" s="1"/>
  <c r="BA107" i="3"/>
  <c r="BB107" i="3" s="1"/>
  <c r="BO105" i="3"/>
  <c r="BR105" i="3" s="1"/>
  <c r="BM105" i="3"/>
  <c r="BL105" i="3"/>
  <c r="BI105" i="3"/>
  <c r="BD105" i="3"/>
  <c r="BA105" i="3"/>
  <c r="BB105" i="3" s="1"/>
  <c r="BO103" i="3"/>
  <c r="BR103" i="3" s="1"/>
  <c r="BM103" i="3"/>
  <c r="BL103" i="3"/>
  <c r="BI103" i="3"/>
  <c r="BD103" i="3"/>
  <c r="BA103" i="3"/>
  <c r="BB103" i="3" s="1"/>
  <c r="BO102" i="3"/>
  <c r="BM102" i="3"/>
  <c r="BL102" i="3"/>
  <c r="BI102" i="3"/>
  <c r="BD102" i="3"/>
  <c r="BG102" i="3" s="1"/>
  <c r="BA102" i="3"/>
  <c r="BB102" i="3" s="1"/>
  <c r="BO101" i="3"/>
  <c r="BM101" i="3"/>
  <c r="BL101" i="3"/>
  <c r="BI101" i="3"/>
  <c r="BD101" i="3"/>
  <c r="BA101" i="3"/>
  <c r="BB101" i="3" s="1"/>
  <c r="BO100" i="3"/>
  <c r="BM100" i="3"/>
  <c r="BL100" i="3"/>
  <c r="BI100" i="3"/>
  <c r="BD100" i="3"/>
  <c r="BA100" i="3"/>
  <c r="BO99" i="3"/>
  <c r="BR99" i="3" s="1"/>
  <c r="BM99" i="3"/>
  <c r="BL99" i="3"/>
  <c r="BI99" i="3"/>
  <c r="BD99" i="3"/>
  <c r="BG99" i="3" s="1"/>
  <c r="BA99" i="3"/>
  <c r="BO98" i="3"/>
  <c r="BM98" i="3"/>
  <c r="BL98" i="3"/>
  <c r="BI98" i="3"/>
  <c r="BD98" i="3"/>
  <c r="BG98" i="3" s="1"/>
  <c r="BA98" i="3"/>
  <c r="BB98" i="3" s="1"/>
  <c r="BO97" i="3"/>
  <c r="BR97" i="3" s="1"/>
  <c r="BM97" i="3"/>
  <c r="BL97" i="3"/>
  <c r="BI97" i="3"/>
  <c r="BD97" i="3"/>
  <c r="BG97" i="3" s="1"/>
  <c r="BA97" i="3"/>
  <c r="BB97" i="3" s="1"/>
  <c r="BO96" i="3"/>
  <c r="BR96" i="3" s="1"/>
  <c r="BM96" i="3"/>
  <c r="BL96" i="3"/>
  <c r="BI96" i="3"/>
  <c r="BD96" i="3"/>
  <c r="BA96" i="3"/>
  <c r="BB96" i="3" s="1"/>
  <c r="BO95" i="3"/>
  <c r="BR95" i="3" s="1"/>
  <c r="BM95" i="3"/>
  <c r="BL95" i="3"/>
  <c r="BI95" i="3"/>
  <c r="BD95" i="3"/>
  <c r="BA95" i="3"/>
  <c r="BB95" i="3" s="1"/>
  <c r="BO94" i="3"/>
  <c r="BM94" i="3"/>
  <c r="BL94" i="3"/>
  <c r="BI94" i="3"/>
  <c r="BD94" i="3"/>
  <c r="BG94" i="3" s="1"/>
  <c r="BA94" i="3"/>
  <c r="BB94" i="3" s="1"/>
  <c r="BO93" i="3"/>
  <c r="BM93" i="3"/>
  <c r="BL93" i="3"/>
  <c r="BI93" i="3"/>
  <c r="BD93" i="3"/>
  <c r="BA93" i="3"/>
  <c r="BB93" i="3" s="1"/>
  <c r="BO92" i="3"/>
  <c r="BM92" i="3"/>
  <c r="BL92" i="3"/>
  <c r="BI92" i="3"/>
  <c r="BD92" i="3"/>
  <c r="BA92" i="3"/>
  <c r="BB92" i="3" s="1"/>
  <c r="BO91" i="3"/>
  <c r="BR91" i="3" s="1"/>
  <c r="BM91" i="3"/>
  <c r="BL91" i="3"/>
  <c r="BI91" i="3"/>
  <c r="BD91" i="3"/>
  <c r="BG91" i="3" s="1"/>
  <c r="BA91" i="3"/>
  <c r="BO90" i="3"/>
  <c r="BR90" i="3" s="1"/>
  <c r="BM90" i="3"/>
  <c r="BL90" i="3"/>
  <c r="BI90" i="3"/>
  <c r="BD90" i="3"/>
  <c r="BG90" i="3" s="1"/>
  <c r="BA90" i="3"/>
  <c r="BB90" i="3" s="1"/>
  <c r="BO89" i="3"/>
  <c r="BR89" i="3" s="1"/>
  <c r="BM89" i="3"/>
  <c r="BL89" i="3"/>
  <c r="BI89" i="3"/>
  <c r="BD89" i="3"/>
  <c r="BG89" i="3" s="1"/>
  <c r="BA89" i="3"/>
  <c r="BB89" i="3" s="1"/>
  <c r="BO88" i="3"/>
  <c r="BR88" i="3" s="1"/>
  <c r="BM88" i="3"/>
  <c r="BL88" i="3"/>
  <c r="BI88" i="3"/>
  <c r="BD88" i="3"/>
  <c r="BA88" i="3"/>
  <c r="BB88" i="3" s="1"/>
  <c r="BO86" i="3"/>
  <c r="BR86" i="3" s="1"/>
  <c r="BM86" i="3"/>
  <c r="BL86" i="3"/>
  <c r="BI86" i="3"/>
  <c r="BD86" i="3"/>
  <c r="BG86" i="3" s="1"/>
  <c r="BA86" i="3"/>
  <c r="BB86" i="3" s="1"/>
  <c r="BO84" i="3"/>
  <c r="BM84" i="3"/>
  <c r="BL84" i="3"/>
  <c r="BI84" i="3"/>
  <c r="BD84" i="3"/>
  <c r="BG84" i="3" s="1"/>
  <c r="BA84" i="3"/>
  <c r="BB84" i="3" s="1"/>
  <c r="BO83" i="3"/>
  <c r="BR83" i="3" s="1"/>
  <c r="BM83" i="3"/>
  <c r="BL83" i="3"/>
  <c r="BI83" i="3"/>
  <c r="BD83" i="3"/>
  <c r="BA83" i="3"/>
  <c r="BB83" i="3" s="1"/>
  <c r="BO82" i="3"/>
  <c r="BR82" i="3" s="1"/>
  <c r="BM82" i="3"/>
  <c r="BL82" i="3"/>
  <c r="BI82" i="3"/>
  <c r="BD82" i="3"/>
  <c r="BG82" i="3" s="1"/>
  <c r="BA82" i="3"/>
  <c r="BO81" i="3"/>
  <c r="BR81" i="3" s="1"/>
  <c r="BM81" i="3"/>
  <c r="BL81" i="3"/>
  <c r="BI81" i="3"/>
  <c r="BD81" i="3"/>
  <c r="BG81" i="3" s="1"/>
  <c r="BA81" i="3"/>
  <c r="BB81" i="3" s="1"/>
  <c r="BO80" i="3"/>
  <c r="BR80" i="3" s="1"/>
  <c r="BM80" i="3"/>
  <c r="BL80" i="3"/>
  <c r="BI80" i="3"/>
  <c r="BD80" i="3"/>
  <c r="BG80" i="3" s="1"/>
  <c r="BA80" i="3"/>
  <c r="BO79" i="3"/>
  <c r="BM79" i="3"/>
  <c r="BL79" i="3"/>
  <c r="BI79" i="3"/>
  <c r="BD79" i="3"/>
  <c r="BG79" i="3" s="1"/>
  <c r="BA79" i="3"/>
  <c r="BB79" i="3" s="1"/>
  <c r="BO78" i="3"/>
  <c r="BM78" i="3"/>
  <c r="BL78" i="3"/>
  <c r="BI78" i="3"/>
  <c r="BD78" i="3"/>
  <c r="BA78" i="3"/>
  <c r="BB78" i="3" s="1"/>
  <c r="BO77" i="3"/>
  <c r="BR77" i="3" s="1"/>
  <c r="BM77" i="3"/>
  <c r="BL77" i="3"/>
  <c r="BI77" i="3"/>
  <c r="BD77" i="3"/>
  <c r="BG77" i="3" s="1"/>
  <c r="BA77" i="3"/>
  <c r="BO76" i="3"/>
  <c r="BM76" i="3"/>
  <c r="BL76" i="3"/>
  <c r="BI76" i="3"/>
  <c r="BD76" i="3"/>
  <c r="BG76" i="3" s="1"/>
  <c r="BA76" i="3"/>
  <c r="BB76" i="3" s="1"/>
  <c r="BO75" i="3"/>
  <c r="BR75" i="3" s="1"/>
  <c r="BM75" i="3"/>
  <c r="BL75" i="3"/>
  <c r="BI75" i="3"/>
  <c r="BD75" i="3"/>
  <c r="BA75" i="3"/>
  <c r="BB75" i="3" s="1"/>
  <c r="BO74" i="3"/>
  <c r="BR74" i="3" s="1"/>
  <c r="BM74" i="3"/>
  <c r="BL74" i="3"/>
  <c r="BI74" i="3"/>
  <c r="BD74" i="3"/>
  <c r="BG74" i="3" s="1"/>
  <c r="BA74" i="3"/>
  <c r="BO73" i="3"/>
  <c r="BR73" i="3" s="1"/>
  <c r="BM73" i="3"/>
  <c r="BL73" i="3"/>
  <c r="BI73" i="3"/>
  <c r="BD73" i="3"/>
  <c r="BA73" i="3"/>
  <c r="BB73" i="3" s="1"/>
  <c r="BO72" i="3"/>
  <c r="BR72" i="3" s="1"/>
  <c r="BM72" i="3"/>
  <c r="BL72" i="3"/>
  <c r="BI72" i="3"/>
  <c r="BD72" i="3"/>
  <c r="BA72" i="3"/>
  <c r="BB72" i="3" s="1"/>
  <c r="BO71" i="3"/>
  <c r="BM71" i="3"/>
  <c r="BL71" i="3"/>
  <c r="BI71" i="3"/>
  <c r="BD71" i="3"/>
  <c r="BA71" i="3"/>
  <c r="BB71" i="3" s="1"/>
  <c r="BO70" i="3"/>
  <c r="BM70" i="3"/>
  <c r="BL70" i="3"/>
  <c r="BI70" i="3"/>
  <c r="BD70" i="3"/>
  <c r="BA70" i="3"/>
  <c r="BB70" i="3" s="1"/>
  <c r="BO69" i="3"/>
  <c r="BR69" i="3" s="1"/>
  <c r="BM69" i="3"/>
  <c r="BL69" i="3"/>
  <c r="BI69" i="3"/>
  <c r="BD69" i="3"/>
  <c r="BG69" i="3" s="1"/>
  <c r="BA69" i="3"/>
  <c r="BO68" i="3"/>
  <c r="BM68" i="3"/>
  <c r="BL68" i="3"/>
  <c r="BI68" i="3"/>
  <c r="BD68" i="3"/>
  <c r="BG68" i="3" s="1"/>
  <c r="BA68" i="3"/>
  <c r="BB68" i="3" s="1"/>
  <c r="BO66" i="3"/>
  <c r="BR66" i="3" s="1"/>
  <c r="BM66" i="3"/>
  <c r="BL66" i="3"/>
  <c r="BI66" i="3"/>
  <c r="BD66" i="3"/>
  <c r="BG66" i="3" s="1"/>
  <c r="BA66" i="3"/>
  <c r="BB66" i="3" s="1"/>
  <c r="BO64" i="3"/>
  <c r="BR64" i="3" s="1"/>
  <c r="BM64" i="3"/>
  <c r="BL64" i="3"/>
  <c r="BI64" i="3"/>
  <c r="BD64" i="3"/>
  <c r="BG64" i="3" s="1"/>
  <c r="BA64" i="3"/>
  <c r="BB64" i="3" s="1"/>
  <c r="BO63" i="3"/>
  <c r="BM63" i="3"/>
  <c r="BL63" i="3"/>
  <c r="BI63" i="3"/>
  <c r="BD63" i="3"/>
  <c r="BG63" i="3" s="1"/>
  <c r="BA63" i="3"/>
  <c r="BB63" i="3" s="1"/>
  <c r="BO62" i="3"/>
  <c r="BR62" i="3" s="1"/>
  <c r="BM62" i="3"/>
  <c r="BL62" i="3"/>
  <c r="BI62" i="3"/>
  <c r="BD62" i="3"/>
  <c r="BG62" i="3" s="1"/>
  <c r="BA62" i="3"/>
  <c r="BB62" i="3" s="1"/>
  <c r="BO61" i="3"/>
  <c r="BM61" i="3"/>
  <c r="BL61" i="3"/>
  <c r="BI61" i="3"/>
  <c r="BD61" i="3"/>
  <c r="BG61" i="3" s="1"/>
  <c r="BA61" i="3"/>
  <c r="BO60" i="3"/>
  <c r="BM60" i="3"/>
  <c r="BL60" i="3"/>
  <c r="BI60" i="3"/>
  <c r="BD60" i="3"/>
  <c r="BA60" i="3"/>
  <c r="BB60" i="3" s="1"/>
  <c r="BO59" i="3"/>
  <c r="BR59" i="3" s="1"/>
  <c r="BM59" i="3"/>
  <c r="BL59" i="3"/>
  <c r="BI59" i="3"/>
  <c r="BD59" i="3"/>
  <c r="BA59" i="3"/>
  <c r="BB59" i="3" s="1"/>
  <c r="BO58" i="3"/>
  <c r="BM58" i="3"/>
  <c r="BL58" i="3"/>
  <c r="BI58" i="3"/>
  <c r="BD58" i="3"/>
  <c r="BA58" i="3"/>
  <c r="BB58" i="3" s="1"/>
  <c r="BO56" i="3"/>
  <c r="BR56" i="3" s="1"/>
  <c r="BM56" i="3"/>
  <c r="BL56" i="3"/>
  <c r="BI56" i="3"/>
  <c r="BD56" i="3"/>
  <c r="BG56" i="3" s="1"/>
  <c r="BA56" i="3"/>
  <c r="BB56" i="3" s="1"/>
  <c r="BO54" i="3"/>
  <c r="BM54" i="3"/>
  <c r="BL54" i="3"/>
  <c r="BI54" i="3"/>
  <c r="BD54" i="3"/>
  <c r="BG54" i="3" s="1"/>
  <c r="BA54" i="3"/>
  <c r="BB54" i="3" s="1"/>
  <c r="BO53" i="3"/>
  <c r="BR53" i="3" s="1"/>
  <c r="BM53" i="3"/>
  <c r="BL53" i="3"/>
  <c r="BI53" i="3"/>
  <c r="BD53" i="3"/>
  <c r="BA53" i="3"/>
  <c r="BB53" i="3" s="1"/>
  <c r="BO51" i="3"/>
  <c r="BR51" i="3" s="1"/>
  <c r="BM51" i="3"/>
  <c r="BL51" i="3"/>
  <c r="BI51" i="3"/>
  <c r="BD51" i="3"/>
  <c r="BA51" i="3"/>
  <c r="BB51" i="3" s="1"/>
  <c r="BO49" i="3"/>
  <c r="BR49" i="3" s="1"/>
  <c r="BM49" i="3"/>
  <c r="BL49" i="3"/>
  <c r="BI49" i="3"/>
  <c r="BD49" i="3"/>
  <c r="BG49" i="3" s="1"/>
  <c r="BA49" i="3"/>
  <c r="BO48" i="3"/>
  <c r="BR48" i="3" s="1"/>
  <c r="BM48" i="3"/>
  <c r="BL48" i="3"/>
  <c r="BI48" i="3"/>
  <c r="BD48" i="3"/>
  <c r="BG48" i="3" s="1"/>
  <c r="BA48" i="3"/>
  <c r="BB48" i="3" s="1"/>
  <c r="BO46" i="3"/>
  <c r="BR46" i="3" s="1"/>
  <c r="BM46" i="3"/>
  <c r="BL46" i="3"/>
  <c r="BI46" i="3"/>
  <c r="BD46" i="3"/>
  <c r="BG46" i="3" s="1"/>
  <c r="BA46" i="3"/>
  <c r="BB46" i="3" s="1"/>
  <c r="BO44" i="3"/>
  <c r="BR44" i="3" s="1"/>
  <c r="BM44" i="3"/>
  <c r="BL44" i="3"/>
  <c r="BI44" i="3"/>
  <c r="BD44" i="3"/>
  <c r="BA44" i="3"/>
  <c r="BB44" i="3" s="1"/>
  <c r="BO43" i="3"/>
  <c r="BM43" i="3"/>
  <c r="BL43" i="3"/>
  <c r="BI43" i="3"/>
  <c r="BD43" i="3"/>
  <c r="BG43" i="3" s="1"/>
  <c r="BA43" i="3"/>
  <c r="BB43" i="3" s="1"/>
  <c r="BO42" i="3"/>
  <c r="BM42" i="3"/>
  <c r="BL42" i="3"/>
  <c r="BI42" i="3"/>
  <c r="BD42" i="3"/>
  <c r="BA42" i="3"/>
  <c r="BB42" i="3" s="1"/>
  <c r="BO41" i="3"/>
  <c r="BR41" i="3" s="1"/>
  <c r="BM41" i="3"/>
  <c r="BL41" i="3"/>
  <c r="BI41" i="3"/>
  <c r="BD41" i="3"/>
  <c r="BA41" i="3"/>
  <c r="BB41" i="3" s="1"/>
  <c r="BO40" i="3"/>
  <c r="BR40" i="3" s="1"/>
  <c r="BM40" i="3"/>
  <c r="BL40" i="3"/>
  <c r="BI40" i="3"/>
  <c r="BD40" i="3"/>
  <c r="BA40" i="3"/>
  <c r="BB40" i="3" s="1"/>
  <c r="BO39" i="3"/>
  <c r="BR39" i="3" s="1"/>
  <c r="BM39" i="3"/>
  <c r="BL39" i="3"/>
  <c r="BI39" i="3"/>
  <c r="BD39" i="3"/>
  <c r="BA39" i="3"/>
  <c r="BB39" i="3" s="1"/>
  <c r="BO38" i="3"/>
  <c r="BM38" i="3"/>
  <c r="BL38" i="3"/>
  <c r="BI38" i="3"/>
  <c r="BD38" i="3"/>
  <c r="BG38" i="3" s="1"/>
  <c r="BA38" i="3"/>
  <c r="BB38" i="3" s="1"/>
  <c r="BO37" i="3"/>
  <c r="BM37" i="3"/>
  <c r="BL37" i="3"/>
  <c r="BI37" i="3"/>
  <c r="BD37" i="3"/>
  <c r="BG37" i="3" s="1"/>
  <c r="BA37" i="3"/>
  <c r="BB37" i="3" s="1"/>
  <c r="BO35" i="3"/>
  <c r="BR35" i="3" s="1"/>
  <c r="BM35" i="3"/>
  <c r="BL35" i="3"/>
  <c r="BI35" i="3"/>
  <c r="BD35" i="3"/>
  <c r="BG35" i="3" s="1"/>
  <c r="BA35" i="3"/>
  <c r="BB35" i="3" s="1"/>
  <c r="BO33" i="3"/>
  <c r="BR33" i="3" s="1"/>
  <c r="BM33" i="3"/>
  <c r="BL33" i="3"/>
  <c r="BI33" i="3"/>
  <c r="BD33" i="3"/>
  <c r="BG33" i="3" s="1"/>
  <c r="BA33" i="3"/>
  <c r="BB33" i="3" s="1"/>
  <c r="BO31" i="3"/>
  <c r="BR31" i="3" s="1"/>
  <c r="BM31" i="3"/>
  <c r="BL31" i="3"/>
  <c r="BI31" i="3"/>
  <c r="BD31" i="3"/>
  <c r="BG31" i="3" s="1"/>
  <c r="BA31" i="3"/>
  <c r="BB31" i="3" s="1"/>
  <c r="BO29" i="3"/>
  <c r="BR29" i="3" s="1"/>
  <c r="BM29" i="3"/>
  <c r="BL29" i="3"/>
  <c r="BI29" i="3"/>
  <c r="BD29" i="3"/>
  <c r="BG29" i="3" s="1"/>
  <c r="BA29" i="3"/>
  <c r="BB29" i="3" s="1"/>
  <c r="BO27" i="3"/>
  <c r="BM27" i="3"/>
  <c r="BL27" i="3"/>
  <c r="BI27" i="3"/>
  <c r="BD27" i="3"/>
  <c r="BG27" i="3" s="1"/>
  <c r="BA27" i="3"/>
  <c r="BB27" i="3" s="1"/>
  <c r="BO26" i="3"/>
  <c r="BM26" i="3"/>
  <c r="BL26" i="3"/>
  <c r="BI26" i="3"/>
  <c r="BD26" i="3"/>
  <c r="BG26" i="3" s="1"/>
  <c r="BA26" i="3"/>
  <c r="BB26" i="3" s="1"/>
  <c r="BO25" i="3"/>
  <c r="BM25" i="3"/>
  <c r="BL25" i="3"/>
  <c r="BI25" i="3"/>
  <c r="BD25" i="3"/>
  <c r="BA25" i="3"/>
  <c r="BO24" i="3"/>
  <c r="BM24" i="3"/>
  <c r="BL24" i="3"/>
  <c r="BI24" i="3"/>
  <c r="BD24" i="3"/>
  <c r="BG24" i="3" s="1"/>
  <c r="BA24" i="3"/>
  <c r="BB24" i="3" s="1"/>
  <c r="BO23" i="3"/>
  <c r="BM23" i="3"/>
  <c r="BL23" i="3"/>
  <c r="BI23" i="3"/>
  <c r="BD23" i="3"/>
  <c r="BA23" i="3"/>
  <c r="BB23" i="3" s="1"/>
  <c r="BO22" i="3"/>
  <c r="BR22" i="3" s="1"/>
  <c r="BM22" i="3"/>
  <c r="BL22" i="3"/>
  <c r="BI22" i="3"/>
  <c r="BD22" i="3"/>
  <c r="BA22" i="3"/>
  <c r="BB22" i="3" s="1"/>
  <c r="BO21" i="3"/>
  <c r="BR21" i="3" s="1"/>
  <c r="BM21" i="3"/>
  <c r="BL21" i="3"/>
  <c r="BI21" i="3"/>
  <c r="BD21" i="3"/>
  <c r="BA21" i="3"/>
  <c r="BB21" i="3" s="1"/>
  <c r="BO20" i="3"/>
  <c r="BR20" i="3" s="1"/>
  <c r="BM20" i="3"/>
  <c r="BL20" i="3"/>
  <c r="BI20" i="3"/>
  <c r="BD20" i="3"/>
  <c r="BA20" i="3"/>
  <c r="BB20" i="3" s="1"/>
  <c r="BO19" i="3"/>
  <c r="BM19" i="3"/>
  <c r="BL19" i="3"/>
  <c r="BI19" i="3"/>
  <c r="BD19" i="3"/>
  <c r="BG19" i="3" s="1"/>
  <c r="BA19" i="3"/>
  <c r="BB19" i="3" s="1"/>
  <c r="BO18" i="3"/>
  <c r="BM18" i="3"/>
  <c r="BL18" i="3"/>
  <c r="BI18" i="3"/>
  <c r="BD18" i="3"/>
  <c r="BG18" i="3" s="1"/>
  <c r="BA18" i="3"/>
  <c r="BB18" i="3" s="1"/>
  <c r="BO17" i="3"/>
  <c r="BM17" i="3"/>
  <c r="BL17" i="3"/>
  <c r="BI17" i="3"/>
  <c r="BD17" i="3"/>
  <c r="BG17" i="3" s="1"/>
  <c r="BA17" i="3"/>
  <c r="BO16" i="3"/>
  <c r="BR16" i="3" s="1"/>
  <c r="BM16" i="3"/>
  <c r="BL16" i="3"/>
  <c r="BI16" i="3"/>
  <c r="BD16" i="3"/>
  <c r="BA16" i="3"/>
  <c r="BB16" i="3" s="1"/>
  <c r="BO15" i="3"/>
  <c r="BR15" i="3" s="1"/>
  <c r="BM15" i="3"/>
  <c r="BL15" i="3"/>
  <c r="BI15" i="3"/>
  <c r="BD15" i="3"/>
  <c r="BA15" i="3"/>
  <c r="BB15" i="3" s="1"/>
  <c r="BO14" i="3"/>
  <c r="BR14" i="3" s="1"/>
  <c r="BM14" i="3"/>
  <c r="BL14" i="3"/>
  <c r="BI14" i="3"/>
  <c r="BD14" i="3"/>
  <c r="BG14" i="3" s="1"/>
  <c r="BA14" i="3"/>
  <c r="BO12" i="3"/>
  <c r="BR12" i="3" s="1"/>
  <c r="BM12" i="3"/>
  <c r="BL12" i="3"/>
  <c r="BI12" i="3"/>
  <c r="BD12" i="3"/>
  <c r="BG12" i="3" s="1"/>
  <c r="BA12" i="3"/>
  <c r="BB12" i="3" s="1"/>
  <c r="BO10" i="3"/>
  <c r="BR10" i="3" s="1"/>
  <c r="BM10" i="3"/>
  <c r="BL10" i="3"/>
  <c r="BI10" i="3"/>
  <c r="BD10" i="3"/>
  <c r="BA10" i="3"/>
  <c r="BB10" i="3" s="1"/>
  <c r="BO9" i="3"/>
  <c r="BM9" i="3"/>
  <c r="BL9" i="3"/>
  <c r="BI9" i="3"/>
  <c r="BD9" i="3"/>
  <c r="BG9" i="3" s="1"/>
  <c r="BA9" i="3"/>
  <c r="BB9" i="3" s="1"/>
  <c r="BO7" i="3"/>
  <c r="BR7" i="3" s="1"/>
  <c r="BM7" i="3"/>
  <c r="BL7" i="3"/>
  <c r="BI7" i="3"/>
  <c r="BD7" i="3"/>
  <c r="BG7" i="3" s="1"/>
  <c r="BA7" i="3"/>
  <c r="BB7" i="3" s="1"/>
  <c r="BO5" i="3"/>
  <c r="BR5" i="3" s="1"/>
  <c r="BM5" i="3"/>
  <c r="BL5" i="3"/>
  <c r="BI5" i="3"/>
  <c r="BD5" i="3"/>
  <c r="BG5" i="3" s="1"/>
  <c r="BA5" i="3"/>
  <c r="BB5" i="3" s="1"/>
  <c r="BO4" i="3"/>
  <c r="BR4" i="3" s="1"/>
  <c r="BM4" i="3"/>
  <c r="BL4" i="3"/>
  <c r="BI4" i="3"/>
  <c r="BD4" i="3"/>
  <c r="BA4" i="3"/>
  <c r="AY456" i="3"/>
  <c r="BJ284" i="3" l="1"/>
  <c r="BE69" i="3"/>
  <c r="BJ193" i="3"/>
  <c r="BK263" i="3"/>
  <c r="BE131" i="3"/>
  <c r="BP284" i="3"/>
  <c r="BJ200" i="3"/>
  <c r="BK231" i="3"/>
  <c r="BK88" i="3"/>
  <c r="BK18" i="3"/>
  <c r="BP68" i="3"/>
  <c r="BE216" i="3"/>
  <c r="BP82" i="3"/>
  <c r="BF205" i="3"/>
  <c r="BE132" i="3"/>
  <c r="BE25" i="3"/>
  <c r="BJ105" i="3"/>
  <c r="BK295" i="3"/>
  <c r="BJ342" i="3"/>
  <c r="BF60" i="3"/>
  <c r="BJ95" i="3"/>
  <c r="BK111" i="3"/>
  <c r="BK252" i="3"/>
  <c r="BQ253" i="3"/>
  <c r="BJ142" i="3"/>
  <c r="BK178" i="3"/>
  <c r="BP224" i="3"/>
  <c r="BQ248" i="3"/>
  <c r="BJ152" i="3"/>
  <c r="BK58" i="3"/>
  <c r="BJ68" i="3"/>
  <c r="BK80" i="3"/>
  <c r="BP156" i="3"/>
  <c r="BK283" i="3"/>
  <c r="BQ133" i="3"/>
  <c r="BP220" i="3"/>
  <c r="BE73" i="3"/>
  <c r="BK229" i="3"/>
  <c r="BK242" i="3"/>
  <c r="BE245" i="3"/>
  <c r="BE267" i="3"/>
  <c r="BP270" i="3"/>
  <c r="BF272" i="3"/>
  <c r="BK297" i="3"/>
  <c r="BK309" i="3"/>
  <c r="BE346" i="3"/>
  <c r="BJ93" i="3"/>
  <c r="BF40" i="3"/>
  <c r="BJ195" i="3"/>
  <c r="BG40" i="3"/>
  <c r="BF113" i="3"/>
  <c r="BJ228" i="3"/>
  <c r="BF312" i="3"/>
  <c r="BP335" i="3"/>
  <c r="BK203" i="3"/>
  <c r="BJ86" i="3"/>
  <c r="BE99" i="3"/>
  <c r="BE118" i="3"/>
  <c r="BK265" i="3"/>
  <c r="BJ109" i="3"/>
  <c r="BJ69" i="3"/>
  <c r="BK86" i="3"/>
  <c r="BP131" i="3"/>
  <c r="BF157" i="3"/>
  <c r="BJ239" i="3"/>
  <c r="BQ345" i="3"/>
  <c r="BJ182" i="3"/>
  <c r="BK331" i="3"/>
  <c r="BF82" i="3"/>
  <c r="BJ274" i="3"/>
  <c r="BJ282" i="3"/>
  <c r="BK17" i="3"/>
  <c r="BJ173" i="3"/>
  <c r="BK117" i="3"/>
  <c r="BK146" i="3"/>
  <c r="BJ157" i="3"/>
  <c r="BF214" i="3"/>
  <c r="BJ79" i="3"/>
  <c r="BG129" i="3"/>
  <c r="BK129" i="3"/>
  <c r="BJ129" i="3"/>
  <c r="BJ123" i="3"/>
  <c r="BF322" i="3"/>
  <c r="BG322" i="3"/>
  <c r="BJ139" i="3"/>
  <c r="BE195" i="3"/>
  <c r="BK330" i="3"/>
  <c r="BF127" i="3"/>
  <c r="BK127" i="3"/>
  <c r="BJ127" i="3"/>
  <c r="BE91" i="3"/>
  <c r="BE61" i="3"/>
  <c r="BP76" i="3"/>
  <c r="BJ138" i="3"/>
  <c r="BJ150" i="3"/>
  <c r="BK226" i="3"/>
  <c r="BE240" i="3"/>
  <c r="BJ265" i="3"/>
  <c r="BE280" i="3"/>
  <c r="BK293" i="3"/>
  <c r="BK304" i="3"/>
  <c r="BJ310" i="3"/>
  <c r="BQ318" i="3"/>
  <c r="BK267" i="3"/>
  <c r="BK311" i="3"/>
  <c r="BJ287" i="3"/>
  <c r="BK10" i="3"/>
  <c r="BQ92" i="3"/>
  <c r="BF271" i="3"/>
  <c r="BK310" i="3"/>
  <c r="BJ24" i="3"/>
  <c r="BK69" i="3"/>
  <c r="BG73" i="3"/>
  <c r="BK120" i="3"/>
  <c r="BQ149" i="3"/>
  <c r="BJ169" i="3"/>
  <c r="BJ230" i="3"/>
  <c r="BK245" i="3"/>
  <c r="BQ260" i="3"/>
  <c r="BK275" i="3"/>
  <c r="BQ43" i="3"/>
  <c r="BQ48" i="3"/>
  <c r="BK66" i="3"/>
  <c r="BK68" i="3"/>
  <c r="BF93" i="3"/>
  <c r="BK94" i="3"/>
  <c r="BP157" i="3"/>
  <c r="BK161" i="3"/>
  <c r="BJ229" i="3"/>
  <c r="BK230" i="3"/>
  <c r="BK234" i="3"/>
  <c r="BK262" i="3"/>
  <c r="BK269" i="3"/>
  <c r="BE319" i="3"/>
  <c r="BP344" i="3"/>
  <c r="BK187" i="3"/>
  <c r="BF259" i="3"/>
  <c r="BJ299" i="3"/>
  <c r="BJ245" i="3"/>
  <c r="BE15" i="3"/>
  <c r="BP26" i="3"/>
  <c r="BP63" i="3"/>
  <c r="BF111" i="3"/>
  <c r="BK244" i="3"/>
  <c r="BK19" i="3"/>
  <c r="BR43" i="3"/>
  <c r="BG93" i="3"/>
  <c r="BK154" i="3"/>
  <c r="BF159" i="3"/>
  <c r="BQ198" i="3"/>
  <c r="BE295" i="3"/>
  <c r="BK318" i="3"/>
  <c r="BJ64" i="3"/>
  <c r="BK64" i="3"/>
  <c r="BG113" i="3"/>
  <c r="BJ191" i="3"/>
  <c r="BK191" i="3"/>
  <c r="BF207" i="3"/>
  <c r="BJ250" i="3"/>
  <c r="BJ255" i="3"/>
  <c r="BK255" i="3"/>
  <c r="BR284" i="3"/>
  <c r="BE21" i="3"/>
  <c r="BF21" i="3"/>
  <c r="BG21" i="3"/>
  <c r="BJ25" i="3"/>
  <c r="BJ111" i="3"/>
  <c r="BJ126" i="3"/>
  <c r="BJ174" i="3"/>
  <c r="BE197" i="3"/>
  <c r="BK340" i="3"/>
  <c r="BJ340" i="3"/>
  <c r="BR76" i="3"/>
  <c r="BF105" i="3"/>
  <c r="BK105" i="3"/>
  <c r="BK109" i="3"/>
  <c r="BK125" i="3"/>
  <c r="BE147" i="3"/>
  <c r="BF147" i="3"/>
  <c r="BK173" i="3"/>
  <c r="BG195" i="3"/>
  <c r="BK195" i="3"/>
  <c r="BG202" i="3"/>
  <c r="BF202" i="3"/>
  <c r="BK243" i="3"/>
  <c r="BG269" i="3"/>
  <c r="BE269" i="3"/>
  <c r="BR335" i="3"/>
  <c r="BQ17" i="3"/>
  <c r="BP208" i="3"/>
  <c r="BR208" i="3"/>
  <c r="BQ208" i="3"/>
  <c r="BP84" i="3"/>
  <c r="BR84" i="3"/>
  <c r="BG103" i="3"/>
  <c r="BK103" i="3"/>
  <c r="BJ107" i="3"/>
  <c r="BP120" i="3"/>
  <c r="BR120" i="3"/>
  <c r="BJ171" i="3"/>
  <c r="BG159" i="3"/>
  <c r="BR230" i="3"/>
  <c r="BP230" i="3"/>
  <c r="BF241" i="3"/>
  <c r="BQ254" i="3"/>
  <c r="BR254" i="3"/>
  <c r="BB273" i="3"/>
  <c r="BF273" i="3"/>
  <c r="BE273" i="3"/>
  <c r="BQ286" i="3"/>
  <c r="BR286" i="3"/>
  <c r="BK290" i="3"/>
  <c r="BJ297" i="3"/>
  <c r="BF125" i="3"/>
  <c r="BG125" i="3"/>
  <c r="BQ246" i="3"/>
  <c r="BR246" i="3"/>
  <c r="BG72" i="3"/>
  <c r="BF72" i="3"/>
  <c r="BQ79" i="3"/>
  <c r="BE40" i="3"/>
  <c r="BK72" i="3"/>
  <c r="BJ103" i="3"/>
  <c r="BR134" i="3"/>
  <c r="BQ134" i="3"/>
  <c r="BG157" i="3"/>
  <c r="BK157" i="3"/>
  <c r="BK185" i="3"/>
  <c r="BE225" i="3"/>
  <c r="BQ228" i="3"/>
  <c r="BR228" i="3"/>
  <c r="BK237" i="3"/>
  <c r="BJ237" i="3"/>
  <c r="BQ243" i="3"/>
  <c r="BP253" i="3"/>
  <c r="BR253" i="3"/>
  <c r="BF260" i="3"/>
  <c r="BR271" i="3"/>
  <c r="BQ271" i="3"/>
  <c r="BP271" i="3"/>
  <c r="BP286" i="3"/>
  <c r="BK14" i="3"/>
  <c r="BK26" i="3"/>
  <c r="BP37" i="3"/>
  <c r="BP58" i="3"/>
  <c r="BE77" i="3"/>
  <c r="BQ100" i="3"/>
  <c r="BQ119" i="3"/>
  <c r="BQ158" i="3"/>
  <c r="BP166" i="3"/>
  <c r="BF169" i="3"/>
  <c r="BK171" i="3"/>
  <c r="BF191" i="3"/>
  <c r="BF225" i="3"/>
  <c r="BJ227" i="3"/>
  <c r="BQ231" i="3"/>
  <c r="BJ236" i="3"/>
  <c r="BK296" i="3"/>
  <c r="BJ320" i="3"/>
  <c r="BP323" i="3"/>
  <c r="BQ334" i="3"/>
  <c r="BR334" i="3"/>
  <c r="BJ338" i="3"/>
  <c r="BF224" i="3"/>
  <c r="BQ242" i="3"/>
  <c r="BF59" i="3"/>
  <c r="BJ77" i="3"/>
  <c r="BF96" i="3"/>
  <c r="BF101" i="3"/>
  <c r="BQ209" i="3"/>
  <c r="BF17" i="3"/>
  <c r="BQ25" i="3"/>
  <c r="BF44" i="3"/>
  <c r="BJ96" i="3"/>
  <c r="BQ98" i="3"/>
  <c r="BG101" i="3"/>
  <c r="BF117" i="3"/>
  <c r="BK121" i="3"/>
  <c r="BK145" i="3"/>
  <c r="BK167" i="3"/>
  <c r="BK179" i="3"/>
  <c r="BJ189" i="3"/>
  <c r="BR209" i="3"/>
  <c r="BQ241" i="3"/>
  <c r="BP242" i="3"/>
  <c r="BJ247" i="3"/>
  <c r="BE278" i="3"/>
  <c r="BR321" i="3"/>
  <c r="BQ321" i="3"/>
  <c r="BP321" i="3"/>
  <c r="BQ27" i="3"/>
  <c r="BK97" i="3"/>
  <c r="BK205" i="3"/>
  <c r="BP14" i="3"/>
  <c r="BJ21" i="3"/>
  <c r="BR25" i="3"/>
  <c r="BQ61" i="3"/>
  <c r="BQ62" i="3"/>
  <c r="BR63" i="3"/>
  <c r="BK89" i="3"/>
  <c r="BK96" i="3"/>
  <c r="BP101" i="3"/>
  <c r="BE117" i="3"/>
  <c r="BF132" i="3"/>
  <c r="BF133" i="3"/>
  <c r="BP168" i="3"/>
  <c r="BJ179" i="3"/>
  <c r="BF187" i="3"/>
  <c r="BE208" i="3"/>
  <c r="BR242" i="3"/>
  <c r="BK247" i="3"/>
  <c r="BF278" i="3"/>
  <c r="BK342" i="3"/>
  <c r="BK12" i="3"/>
  <c r="BK40" i="3"/>
  <c r="BJ71" i="3"/>
  <c r="BE95" i="3"/>
  <c r="BK102" i="3"/>
  <c r="BK147" i="3"/>
  <c r="BQ14" i="3"/>
  <c r="BK21" i="3"/>
  <c r="BE49" i="3"/>
  <c r="BQ60" i="3"/>
  <c r="BK95" i="3"/>
  <c r="BE173" i="3"/>
  <c r="BQ200" i="3"/>
  <c r="BE235" i="3"/>
  <c r="BE237" i="3"/>
  <c r="BQ256" i="3"/>
  <c r="BF258" i="3"/>
  <c r="BK260" i="3"/>
  <c r="BK278" i="3"/>
  <c r="BK279" i="3"/>
  <c r="BQ297" i="3"/>
  <c r="BQ262" i="3"/>
  <c r="BE313" i="3"/>
  <c r="BP320" i="3"/>
  <c r="BQ261" i="3"/>
  <c r="BR262" i="3"/>
  <c r="BQ276" i="3"/>
  <c r="BE283" i="3"/>
  <c r="BQ308" i="3"/>
  <c r="BG312" i="3"/>
  <c r="BG313" i="3"/>
  <c r="BK272" i="3"/>
  <c r="BP276" i="3"/>
  <c r="BQ278" i="3"/>
  <c r="BK298" i="3"/>
  <c r="BR308" i="3"/>
  <c r="BF311" i="3"/>
  <c r="BF330" i="3"/>
  <c r="BG16" i="3"/>
  <c r="BE16" i="3"/>
  <c r="BF23" i="3"/>
  <c r="BG23" i="3"/>
  <c r="BE23" i="3"/>
  <c r="BF42" i="3"/>
  <c r="BG42" i="3"/>
  <c r="BP227" i="3"/>
  <c r="BR227" i="3"/>
  <c r="BQ227" i="3"/>
  <c r="BP61" i="3"/>
  <c r="BQ94" i="3"/>
  <c r="BR94" i="3"/>
  <c r="BJ187" i="3"/>
  <c r="BG207" i="3"/>
  <c r="BB242" i="3"/>
  <c r="BF242" i="3"/>
  <c r="BP300" i="3"/>
  <c r="BQ300" i="3"/>
  <c r="BQ24" i="3"/>
  <c r="BR24" i="3"/>
  <c r="BR26" i="3"/>
  <c r="BR27" i="3"/>
  <c r="BJ49" i="3"/>
  <c r="BK49" i="3"/>
  <c r="BR61" i="3"/>
  <c r="BR78" i="3"/>
  <c r="BP78" i="3"/>
  <c r="BF80" i="3"/>
  <c r="BE80" i="3"/>
  <c r="BB80" i="3"/>
  <c r="BQ113" i="3"/>
  <c r="BK113" i="3"/>
  <c r="BQ123" i="3"/>
  <c r="BR123" i="3"/>
  <c r="BK134" i="3"/>
  <c r="BJ134" i="3"/>
  <c r="BJ185" i="3"/>
  <c r="BP202" i="3"/>
  <c r="BJ202" i="3"/>
  <c r="BQ226" i="3"/>
  <c r="BR226" i="3"/>
  <c r="BP226" i="3"/>
  <c r="BQ280" i="3"/>
  <c r="BR280" i="3"/>
  <c r="BK285" i="3"/>
  <c r="BG285" i="3"/>
  <c r="BE285" i="3"/>
  <c r="BR309" i="3"/>
  <c r="BP309" i="3"/>
  <c r="BQ309" i="3"/>
  <c r="BR333" i="3"/>
  <c r="BQ333" i="3"/>
  <c r="BF148" i="3"/>
  <c r="BG148" i="3"/>
  <c r="BE92" i="3"/>
  <c r="BG92" i="3"/>
  <c r="BF92" i="3"/>
  <c r="BE156" i="3"/>
  <c r="BF156" i="3"/>
  <c r="BK159" i="3"/>
  <c r="BQ159" i="3"/>
  <c r="BJ159" i="3"/>
  <c r="BJ178" i="3"/>
  <c r="BF208" i="3"/>
  <c r="BE39" i="3"/>
  <c r="BK176" i="3"/>
  <c r="BJ176" i="3"/>
  <c r="BK225" i="3"/>
  <c r="BJ225" i="3"/>
  <c r="BK7" i="3"/>
  <c r="BR101" i="3"/>
  <c r="BQ101" i="3"/>
  <c r="BK136" i="3"/>
  <c r="BJ136" i="3"/>
  <c r="BF155" i="3"/>
  <c r="BG155" i="3"/>
  <c r="BE155" i="3"/>
  <c r="BK216" i="3"/>
  <c r="BJ326" i="3"/>
  <c r="BK326" i="3"/>
  <c r="BE4" i="3"/>
  <c r="BG4" i="3"/>
  <c r="BK5" i="3"/>
  <c r="BQ9" i="3"/>
  <c r="BR9" i="3"/>
  <c r="BK15" i="3"/>
  <c r="BJ19" i="3"/>
  <c r="BK31" i="3"/>
  <c r="BG60" i="3"/>
  <c r="BE60" i="3"/>
  <c r="BF61" i="3"/>
  <c r="BF74" i="3"/>
  <c r="BE75" i="3"/>
  <c r="BG75" i="3"/>
  <c r="BF75" i="3"/>
  <c r="BQ78" i="3"/>
  <c r="BQ81" i="3"/>
  <c r="BP81" i="3"/>
  <c r="BJ81" i="3"/>
  <c r="BR92" i="3"/>
  <c r="BP92" i="3"/>
  <c r="BP93" i="3"/>
  <c r="BR93" i="3"/>
  <c r="BQ93" i="3"/>
  <c r="BJ113" i="3"/>
  <c r="BE141" i="3"/>
  <c r="BF152" i="3"/>
  <c r="BK152" i="3"/>
  <c r="BQ156" i="3"/>
  <c r="BR156" i="3"/>
  <c r="BP182" i="3"/>
  <c r="BK182" i="3"/>
  <c r="BK184" i="3"/>
  <c r="BJ203" i="3"/>
  <c r="BK214" i="3"/>
  <c r="BG221" i="3"/>
  <c r="BK221" i="3"/>
  <c r="BQ225" i="3"/>
  <c r="BJ238" i="3"/>
  <c r="BP238" i="3"/>
  <c r="BK238" i="3"/>
  <c r="BQ289" i="3"/>
  <c r="BR289" i="3"/>
  <c r="BR296" i="3"/>
  <c r="BP296" i="3"/>
  <c r="BQ296" i="3"/>
  <c r="BP333" i="3"/>
  <c r="BR70" i="3"/>
  <c r="BQ70" i="3"/>
  <c r="BP70" i="3"/>
  <c r="BP107" i="3"/>
  <c r="BR107" i="3"/>
  <c r="BK35" i="3"/>
  <c r="BE41" i="3"/>
  <c r="BG41" i="3"/>
  <c r="BQ73" i="3"/>
  <c r="BP73" i="3"/>
  <c r="BJ73" i="3"/>
  <c r="BB91" i="3"/>
  <c r="BF91" i="3"/>
  <c r="BK233" i="3"/>
  <c r="BJ233" i="3"/>
  <c r="BF41" i="3"/>
  <c r="BK51" i="3"/>
  <c r="BJ51" i="3"/>
  <c r="BF134" i="3"/>
  <c r="BG134" i="3"/>
  <c r="BE207" i="3"/>
  <c r="BF16" i="3"/>
  <c r="BJ41" i="3"/>
  <c r="BR100" i="3"/>
  <c r="BP100" i="3"/>
  <c r="BE134" i="3"/>
  <c r="BR166" i="3"/>
  <c r="BP302" i="3"/>
  <c r="BR302" i="3"/>
  <c r="BP22" i="3"/>
  <c r="BR23" i="3"/>
  <c r="BQ23" i="3"/>
  <c r="BP41" i="3"/>
  <c r="BP42" i="3"/>
  <c r="BR42" i="3"/>
  <c r="BQ71" i="3"/>
  <c r="BQ82" i="3"/>
  <c r="BF123" i="3"/>
  <c r="BB123" i="3"/>
  <c r="BG150" i="3"/>
  <c r="BK150" i="3"/>
  <c r="BG164" i="3"/>
  <c r="BE164" i="3"/>
  <c r="BR174" i="3"/>
  <c r="BQ174" i="3"/>
  <c r="BP174" i="3"/>
  <c r="BP210" i="3"/>
  <c r="BR210" i="3"/>
  <c r="BK222" i="3"/>
  <c r="BR279" i="3"/>
  <c r="BQ279" i="3"/>
  <c r="BP279" i="3"/>
  <c r="BP18" i="3"/>
  <c r="BR18" i="3"/>
  <c r="BK197" i="3"/>
  <c r="BJ197" i="3"/>
  <c r="BJ235" i="3"/>
  <c r="BQ235" i="3"/>
  <c r="BQ244" i="3"/>
  <c r="BR244" i="3"/>
  <c r="BQ268" i="3"/>
  <c r="BR268" i="3"/>
  <c r="BP268" i="3"/>
  <c r="BG333" i="3"/>
  <c r="BF333" i="3"/>
  <c r="BK44" i="3"/>
  <c r="BP54" i="3"/>
  <c r="BR54" i="3"/>
  <c r="BE83" i="3"/>
  <c r="BG83" i="3"/>
  <c r="BF83" i="3"/>
  <c r="BQ102" i="3"/>
  <c r="BR102" i="3"/>
  <c r="BF118" i="3"/>
  <c r="BQ126" i="3"/>
  <c r="BR126" i="3"/>
  <c r="BP148" i="3"/>
  <c r="BQ148" i="3"/>
  <c r="BR274" i="3"/>
  <c r="BQ274" i="3"/>
  <c r="BF14" i="3"/>
  <c r="BB14" i="3"/>
  <c r="BG22" i="3"/>
  <c r="BF22" i="3"/>
  <c r="BG118" i="3"/>
  <c r="BF15" i="3"/>
  <c r="BG15" i="3"/>
  <c r="BK22" i="3"/>
  <c r="BK33" i="3"/>
  <c r="BJ115" i="3"/>
  <c r="BP125" i="3"/>
  <c r="BR125" i="3"/>
  <c r="BQ125" i="3"/>
  <c r="BJ205" i="3"/>
  <c r="BK239" i="3"/>
  <c r="BR17" i="3"/>
  <c r="BP17" i="3"/>
  <c r="BQ22" i="3"/>
  <c r="BP25" i="3"/>
  <c r="BK25" i="3"/>
  <c r="BK29" i="3"/>
  <c r="BK37" i="3"/>
  <c r="BQ41" i="3"/>
  <c r="BQ42" i="3"/>
  <c r="BK46" i="3"/>
  <c r="BE53" i="3"/>
  <c r="BG53" i="3"/>
  <c r="BF53" i="3"/>
  <c r="BJ66" i="3"/>
  <c r="BK74" i="3"/>
  <c r="BB99" i="3"/>
  <c r="BF99" i="3"/>
  <c r="BG100" i="3"/>
  <c r="BF100" i="3"/>
  <c r="BR119" i="3"/>
  <c r="BG139" i="3"/>
  <c r="BK139" i="3"/>
  <c r="BK142" i="3"/>
  <c r="BJ161" i="3"/>
  <c r="BK164" i="3"/>
  <c r="BJ164" i="3"/>
  <c r="BK180" i="3"/>
  <c r="BJ180" i="3"/>
  <c r="BJ198" i="3"/>
  <c r="BJ221" i="3"/>
  <c r="BQ252" i="3"/>
  <c r="BR252" i="3"/>
  <c r="BP252" i="3"/>
  <c r="BQ273" i="3"/>
  <c r="BJ273" i="3"/>
  <c r="BP273" i="3"/>
  <c r="BK346" i="3"/>
  <c r="BJ346" i="3"/>
  <c r="BF4" i="3"/>
  <c r="BE17" i="3"/>
  <c r="BF26" i="3"/>
  <c r="BK39" i="3"/>
  <c r="BE51" i="3"/>
  <c r="BE100" i="3"/>
  <c r="BF119" i="3"/>
  <c r="BF136" i="3"/>
  <c r="BK141" i="3"/>
  <c r="BK144" i="3"/>
  <c r="BJ154" i="3"/>
  <c r="BF166" i="3"/>
  <c r="BE218" i="3"/>
  <c r="BJ222" i="3"/>
  <c r="BK223" i="3"/>
  <c r="BG233" i="3"/>
  <c r="BF233" i="3"/>
  <c r="BE233" i="3"/>
  <c r="BP243" i="3"/>
  <c r="BR243" i="3"/>
  <c r="BQ272" i="3"/>
  <c r="BR272" i="3"/>
  <c r="BF281" i="3"/>
  <c r="BP282" i="3"/>
  <c r="BK282" i="3"/>
  <c r="BK328" i="3"/>
  <c r="BQ19" i="3"/>
  <c r="BJ118" i="3"/>
  <c r="BP119" i="3"/>
  <c r="BQ146" i="3"/>
  <c r="BQ166" i="3"/>
  <c r="BQ168" i="3"/>
  <c r="BQ184" i="3"/>
  <c r="BP198" i="3"/>
  <c r="BP200" i="3"/>
  <c r="BJ207" i="3"/>
  <c r="BJ208" i="3"/>
  <c r="BF209" i="3"/>
  <c r="BK218" i="3"/>
  <c r="BG270" i="3"/>
  <c r="BE270" i="3"/>
  <c r="BQ281" i="3"/>
  <c r="BJ281" i="3"/>
  <c r="BR306" i="3"/>
  <c r="BQ306" i="3"/>
  <c r="BB320" i="3"/>
  <c r="BF320" i="3"/>
  <c r="BJ324" i="3"/>
  <c r="BG332" i="3"/>
  <c r="BF332" i="3"/>
  <c r="BP338" i="3"/>
  <c r="BR338" i="3"/>
  <c r="BF10" i="3"/>
  <c r="BK38" i="3"/>
  <c r="BK59" i="3"/>
  <c r="BQ4" i="3"/>
  <c r="BJ5" i="3"/>
  <c r="BJ7" i="3"/>
  <c r="BK9" i="3"/>
  <c r="BJ17" i="3"/>
  <c r="BF18" i="3"/>
  <c r="BR19" i="3"/>
  <c r="BE24" i="3"/>
  <c r="BF25" i="3"/>
  <c r="BK27" i="3"/>
  <c r="BJ29" i="3"/>
  <c r="BJ31" i="3"/>
  <c r="BJ33" i="3"/>
  <c r="BJ35" i="3"/>
  <c r="BK42" i="3"/>
  <c r="BK43" i="3"/>
  <c r="BJ44" i="3"/>
  <c r="BJ46" i="3"/>
  <c r="BQ54" i="3"/>
  <c r="BE58" i="3"/>
  <c r="BK60" i="3"/>
  <c r="BJ61" i="3"/>
  <c r="BF62" i="3"/>
  <c r="BR68" i="3"/>
  <c r="BQ76" i="3"/>
  <c r="BK78" i="3"/>
  <c r="BK81" i="3"/>
  <c r="BQ84" i="3"/>
  <c r="BJ88" i="3"/>
  <c r="BK90" i="3"/>
  <c r="BJ98" i="3"/>
  <c r="BP117" i="3"/>
  <c r="BJ119" i="3"/>
  <c r="BB132" i="3"/>
  <c r="BP132" i="3"/>
  <c r="BQ141" i="3"/>
  <c r="BP147" i="3"/>
  <c r="BK156" i="3"/>
  <c r="BE157" i="3"/>
  <c r="BQ157" i="3"/>
  <c r="BJ166" i="3"/>
  <c r="BJ167" i="3"/>
  <c r="BJ168" i="3"/>
  <c r="BE169" i="3"/>
  <c r="BQ182" i="3"/>
  <c r="BR184" i="3"/>
  <c r="BB197" i="3"/>
  <c r="BR198" i="3"/>
  <c r="BR200" i="3"/>
  <c r="BQ202" i="3"/>
  <c r="BG209" i="3"/>
  <c r="BJ214" i="3"/>
  <c r="BJ216" i="3"/>
  <c r="BJ218" i="3"/>
  <c r="BE241" i="3"/>
  <c r="BE243" i="3"/>
  <c r="BB243" i="3"/>
  <c r="BE251" i="3"/>
  <c r="BP260" i="3"/>
  <c r="BF270" i="3"/>
  <c r="BE288" i="3"/>
  <c r="BG289" i="3"/>
  <c r="BF289" i="3"/>
  <c r="BF308" i="3"/>
  <c r="BB308" i="3"/>
  <c r="BK324" i="3"/>
  <c r="BE332" i="3"/>
  <c r="BK333" i="3"/>
  <c r="BJ333" i="3"/>
  <c r="BJ37" i="3"/>
  <c r="BJ9" i="3"/>
  <c r="BJ10" i="3"/>
  <c r="BJ12" i="3"/>
  <c r="BK23" i="3"/>
  <c r="BF24" i="3"/>
  <c r="BQ53" i="3"/>
  <c r="BJ54" i="3"/>
  <c r="BJ56" i="3"/>
  <c r="BP74" i="3"/>
  <c r="BQ75" i="3"/>
  <c r="BJ76" i="3"/>
  <c r="BE81" i="3"/>
  <c r="BQ83" i="3"/>
  <c r="BJ84" i="3"/>
  <c r="BJ91" i="3"/>
  <c r="BK92" i="3"/>
  <c r="BK99" i="3"/>
  <c r="BK100" i="3"/>
  <c r="BQ117" i="3"/>
  <c r="BK119" i="3"/>
  <c r="BQ120" i="3"/>
  <c r="BK132" i="3"/>
  <c r="BQ138" i="3"/>
  <c r="BE146" i="3"/>
  <c r="BQ147" i="3"/>
  <c r="BP149" i="3"/>
  <c r="BP154" i="3"/>
  <c r="BK155" i="3"/>
  <c r="BF158" i="3"/>
  <c r="BG169" i="3"/>
  <c r="BF197" i="3"/>
  <c r="BP209" i="3"/>
  <c r="BQ210" i="3"/>
  <c r="BJ211" i="3"/>
  <c r="BJ213" i="3"/>
  <c r="BF226" i="3"/>
  <c r="BE227" i="3"/>
  <c r="BB227" i="3"/>
  <c r="BR234" i="3"/>
  <c r="BQ234" i="3"/>
  <c r="BP234" i="3"/>
  <c r="BG241" i="3"/>
  <c r="BF251" i="3"/>
  <c r="BF252" i="3"/>
  <c r="BR260" i="3"/>
  <c r="BF288" i="3"/>
  <c r="BG288" i="3"/>
  <c r="BF300" i="3"/>
  <c r="BE301" i="3"/>
  <c r="BG301" i="3"/>
  <c r="BF301" i="3"/>
  <c r="BP316" i="3"/>
  <c r="BR316" i="3"/>
  <c r="BE320" i="3"/>
  <c r="BK332" i="3"/>
  <c r="BJ16" i="3"/>
  <c r="BQ26" i="3"/>
  <c r="BQ15" i="3"/>
  <c r="BQ16" i="3"/>
  <c r="BQ18" i="3"/>
  <c r="BJ20" i="3"/>
  <c r="BG25" i="3"/>
  <c r="BQ38" i="3"/>
  <c r="BP48" i="3"/>
  <c r="BK56" i="3"/>
  <c r="BP62" i="3"/>
  <c r="BQ63" i="3"/>
  <c r="BE66" i="3"/>
  <c r="BQ68" i="3"/>
  <c r="BK70" i="3"/>
  <c r="BK71" i="3"/>
  <c r="BE72" i="3"/>
  <c r="BF73" i="3"/>
  <c r="BQ74" i="3"/>
  <c r="BK76" i="3"/>
  <c r="BK77" i="3"/>
  <c r="BF81" i="3"/>
  <c r="BK84" i="3"/>
  <c r="BQ107" i="3"/>
  <c r="BP123" i="3"/>
  <c r="BF146" i="3"/>
  <c r="BQ154" i="3"/>
  <c r="BF161" i="3"/>
  <c r="BK169" i="3"/>
  <c r="BK211" i="3"/>
  <c r="BP222" i="3"/>
  <c r="BQ233" i="3"/>
  <c r="BK241" i="3"/>
  <c r="BJ241" i="3"/>
  <c r="BG259" i="3"/>
  <c r="BE259" i="3"/>
  <c r="BJ288" i="3"/>
  <c r="BK288" i="3"/>
  <c r="BK224" i="3"/>
  <c r="BE226" i="3"/>
  <c r="BF235" i="3"/>
  <c r="BK240" i="3"/>
  <c r="BE242" i="3"/>
  <c r="BE252" i="3"/>
  <c r="BE260" i="3"/>
  <c r="BF279" i="3"/>
  <c r="BF283" i="3"/>
  <c r="BP322" i="3"/>
  <c r="BQ323" i="3"/>
  <c r="BJ258" i="3"/>
  <c r="BK270" i="3"/>
  <c r="BP274" i="3"/>
  <c r="BQ277" i="3"/>
  <c r="BF280" i="3"/>
  <c r="BK284" i="3"/>
  <c r="BK313" i="3"/>
  <c r="BQ314" i="3"/>
  <c r="BE321" i="3"/>
  <c r="BF334" i="3"/>
  <c r="BP345" i="3"/>
  <c r="BE232" i="3"/>
  <c r="BF247" i="3"/>
  <c r="BF248" i="3"/>
  <c r="BK251" i="3"/>
  <c r="BF253" i="3"/>
  <c r="BF255" i="3"/>
  <c r="BK259" i="3"/>
  <c r="BF261" i="3"/>
  <c r="BE263" i="3"/>
  <c r="BF265" i="3"/>
  <c r="BB267" i="3"/>
  <c r="BG271" i="3"/>
  <c r="BK274" i="3"/>
  <c r="BF275" i="3"/>
  <c r="BJ279" i="3"/>
  <c r="BG280" i="3"/>
  <c r="BE286" i="3"/>
  <c r="BP289" i="3"/>
  <c r="BK299" i="3"/>
  <c r="BQ302" i="3"/>
  <c r="BP311" i="3"/>
  <c r="BP312" i="3"/>
  <c r="BJ314" i="3"/>
  <c r="BQ316" i="3"/>
  <c r="BK319" i="3"/>
  <c r="BF321" i="3"/>
  <c r="BP330" i="3"/>
  <c r="BG334" i="3"/>
  <c r="BF338" i="3"/>
  <c r="BQ344" i="3"/>
  <c r="BR345" i="3"/>
  <c r="BF227" i="3"/>
  <c r="BF230" i="3"/>
  <c r="BK232" i="3"/>
  <c r="BE234" i="3"/>
  <c r="BF243" i="3"/>
  <c r="BJ248" i="3"/>
  <c r="BK249" i="3"/>
  <c r="BG253" i="3"/>
  <c r="BJ256" i="3"/>
  <c r="BK257" i="3"/>
  <c r="BG261" i="3"/>
  <c r="BF267" i="3"/>
  <c r="BQ269" i="3"/>
  <c r="BK271" i="3"/>
  <c r="BE275" i="3"/>
  <c r="BK276" i="3"/>
  <c r="BK277" i="3"/>
  <c r="BP278" i="3"/>
  <c r="BK280" i="3"/>
  <c r="BE281" i="3"/>
  <c r="BQ282" i="3"/>
  <c r="BF286" i="3"/>
  <c r="BP287" i="3"/>
  <c r="BJ289" i="3"/>
  <c r="BJ290" i="3"/>
  <c r="BJ293" i="3"/>
  <c r="BJ295" i="3"/>
  <c r="BE298" i="3"/>
  <c r="BE299" i="3"/>
  <c r="BP299" i="3"/>
  <c r="BQ301" i="3"/>
  <c r="BJ302" i="3"/>
  <c r="BJ304" i="3"/>
  <c r="BQ312" i="3"/>
  <c r="BJ316" i="3"/>
  <c r="BJ318" i="3"/>
  <c r="BK320" i="3"/>
  <c r="BG321" i="3"/>
  <c r="BQ322" i="3"/>
  <c r="BR323" i="3"/>
  <c r="BQ330" i="3"/>
  <c r="BQ331" i="3"/>
  <c r="BP334" i="3"/>
  <c r="BG338" i="3"/>
  <c r="BQ220" i="3"/>
  <c r="BQ223" i="3"/>
  <c r="BG227" i="3"/>
  <c r="BJ231" i="3"/>
  <c r="BF234" i="3"/>
  <c r="BP235" i="3"/>
  <c r="BQ236" i="3"/>
  <c r="BQ239" i="3"/>
  <c r="BG243" i="3"/>
  <c r="BK246" i="3"/>
  <c r="BK248" i="3"/>
  <c r="BK253" i="3"/>
  <c r="BK254" i="3"/>
  <c r="BK256" i="3"/>
  <c r="BP261" i="3"/>
  <c r="BJ263" i="3"/>
  <c r="BK268" i="3"/>
  <c r="BJ269" i="3"/>
  <c r="BQ270" i="3"/>
  <c r="BJ271" i="3"/>
  <c r="BG275" i="3"/>
  <c r="BE277" i="3"/>
  <c r="BR278" i="3"/>
  <c r="BQ284" i="3"/>
  <c r="BK286" i="3"/>
  <c r="BF287" i="3"/>
  <c r="BQ287" i="3"/>
  <c r="BQ288" i="3"/>
  <c r="BF298" i="3"/>
  <c r="BF299" i="3"/>
  <c r="BQ299" i="3"/>
  <c r="BK308" i="3"/>
  <c r="BE310" i="3"/>
  <c r="BE311" i="3"/>
  <c r="BF313" i="3"/>
  <c r="BQ313" i="3"/>
  <c r="BK321" i="3"/>
  <c r="BE324" i="3"/>
  <c r="BE333" i="3"/>
  <c r="BQ335" i="3"/>
  <c r="BJ336" i="3"/>
  <c r="BQ338" i="3"/>
  <c r="BF344" i="3"/>
  <c r="BJ344" i="3"/>
  <c r="BK345" i="3"/>
  <c r="BB346" i="3"/>
  <c r="BJ345" i="3"/>
  <c r="BK344" i="3"/>
  <c r="BE345" i="3"/>
  <c r="BF346" i="3"/>
  <c r="BP346" i="3"/>
  <c r="BE344" i="3"/>
  <c r="BF345" i="3"/>
  <c r="BQ346" i="3"/>
  <c r="BE342" i="3"/>
  <c r="BF342" i="3"/>
  <c r="BP342" i="3"/>
  <c r="BQ342" i="3"/>
  <c r="BE340" i="3"/>
  <c r="BF340" i="3"/>
  <c r="BP340" i="3"/>
  <c r="BQ340" i="3"/>
  <c r="BK338" i="3"/>
  <c r="BE338" i="3"/>
  <c r="BE331" i="3"/>
  <c r="BP332" i="3"/>
  <c r="BJ335" i="3"/>
  <c r="BK336" i="3"/>
  <c r="BE330" i="3"/>
  <c r="BF331" i="3"/>
  <c r="BP331" i="3"/>
  <c r="BQ332" i="3"/>
  <c r="BJ334" i="3"/>
  <c r="BK335" i="3"/>
  <c r="BG330" i="3"/>
  <c r="BR331" i="3"/>
  <c r="BJ332" i="3"/>
  <c r="BE336" i="3"/>
  <c r="BK334" i="3"/>
  <c r="BJ331" i="3"/>
  <c r="BB333" i="3"/>
  <c r="BE335" i="3"/>
  <c r="BF336" i="3"/>
  <c r="BP336" i="3"/>
  <c r="BJ330" i="3"/>
  <c r="BE334" i="3"/>
  <c r="BF335" i="3"/>
  <c r="BQ336" i="3"/>
  <c r="BJ328" i="3"/>
  <c r="BE328" i="3"/>
  <c r="BF328" i="3"/>
  <c r="BP328" i="3"/>
  <c r="BQ328" i="3"/>
  <c r="BE326" i="3"/>
  <c r="BF326" i="3"/>
  <c r="BP326" i="3"/>
  <c r="BQ326" i="3"/>
  <c r="BE318" i="3"/>
  <c r="BF319" i="3"/>
  <c r="BP319" i="3"/>
  <c r="BQ320" i="3"/>
  <c r="BJ322" i="3"/>
  <c r="BK323" i="3"/>
  <c r="BB324" i="3"/>
  <c r="BF318" i="3"/>
  <c r="BP318" i="3"/>
  <c r="BG319" i="3"/>
  <c r="BQ319" i="3"/>
  <c r="BR320" i="3"/>
  <c r="BJ321" i="3"/>
  <c r="BK322" i="3"/>
  <c r="BR318" i="3"/>
  <c r="BJ319" i="3"/>
  <c r="BE323" i="3"/>
  <c r="BF324" i="3"/>
  <c r="BP324" i="3"/>
  <c r="BJ323" i="3"/>
  <c r="BE322" i="3"/>
  <c r="BF323" i="3"/>
  <c r="BQ324" i="3"/>
  <c r="BG318" i="3"/>
  <c r="BK316" i="3"/>
  <c r="BE316" i="3"/>
  <c r="BF316" i="3"/>
  <c r="BE309" i="3"/>
  <c r="BF310" i="3"/>
  <c r="BP310" i="3"/>
  <c r="BG311" i="3"/>
  <c r="BQ311" i="3"/>
  <c r="BJ313" i="3"/>
  <c r="BK314" i="3"/>
  <c r="BE308" i="3"/>
  <c r="BF309" i="3"/>
  <c r="BQ310" i="3"/>
  <c r="BJ312" i="3"/>
  <c r="BP308" i="3"/>
  <c r="BG309" i="3"/>
  <c r="BJ311" i="3"/>
  <c r="BK312" i="3"/>
  <c r="BE314" i="3"/>
  <c r="BJ309" i="3"/>
  <c r="BF314" i="3"/>
  <c r="BP314" i="3"/>
  <c r="BJ308" i="3"/>
  <c r="BE312" i="3"/>
  <c r="BP313" i="3"/>
  <c r="BJ306" i="3"/>
  <c r="BK306" i="3"/>
  <c r="BE306" i="3"/>
  <c r="BF306" i="3"/>
  <c r="BP306" i="3"/>
  <c r="BF304" i="3"/>
  <c r="BP304" i="3"/>
  <c r="BE304" i="3"/>
  <c r="BQ304" i="3"/>
  <c r="BB295" i="3"/>
  <c r="BE297" i="3"/>
  <c r="BP298" i="3"/>
  <c r="BJ301" i="3"/>
  <c r="BK302" i="3"/>
  <c r="BE296" i="3"/>
  <c r="BF297" i="3"/>
  <c r="BP297" i="3"/>
  <c r="BQ298" i="3"/>
  <c r="BJ300" i="3"/>
  <c r="BK301" i="3"/>
  <c r="BF295" i="3"/>
  <c r="BP295" i="3"/>
  <c r="BG296" i="3"/>
  <c r="BR297" i="3"/>
  <c r="BJ298" i="3"/>
  <c r="BB300" i="3"/>
  <c r="BE302" i="3"/>
  <c r="BF296" i="3"/>
  <c r="BG297" i="3"/>
  <c r="BQ295" i="3"/>
  <c r="BF302" i="3"/>
  <c r="BJ296" i="3"/>
  <c r="BE300" i="3"/>
  <c r="BP301" i="3"/>
  <c r="BK300" i="3"/>
  <c r="BE293" i="3"/>
  <c r="BF293" i="3"/>
  <c r="BP293" i="3"/>
  <c r="BQ293" i="3"/>
  <c r="BF290" i="3"/>
  <c r="BP290" i="3"/>
  <c r="BE290" i="3"/>
  <c r="BQ290" i="3"/>
  <c r="BE268" i="3"/>
  <c r="BF269" i="3"/>
  <c r="BP269" i="3"/>
  <c r="BJ272" i="3"/>
  <c r="BK273" i="3"/>
  <c r="BE276" i="3"/>
  <c r="BF277" i="3"/>
  <c r="BP277" i="3"/>
  <c r="BJ280" i="3"/>
  <c r="BK281" i="3"/>
  <c r="BE284" i="3"/>
  <c r="BF285" i="3"/>
  <c r="BP285" i="3"/>
  <c r="BK289" i="3"/>
  <c r="BF268" i="3"/>
  <c r="BF284" i="3"/>
  <c r="BQ285" i="3"/>
  <c r="BP267" i="3"/>
  <c r="BG268" i="3"/>
  <c r="BR269" i="3"/>
  <c r="BJ270" i="3"/>
  <c r="BB272" i="3"/>
  <c r="BE274" i="3"/>
  <c r="BP275" i="3"/>
  <c r="BG276" i="3"/>
  <c r="BR277" i="3"/>
  <c r="BJ278" i="3"/>
  <c r="BB280" i="3"/>
  <c r="BE282" i="3"/>
  <c r="BP283" i="3"/>
  <c r="BG284" i="3"/>
  <c r="BJ286" i="3"/>
  <c r="BK287" i="3"/>
  <c r="BB288" i="3"/>
  <c r="BF276" i="3"/>
  <c r="BQ267" i="3"/>
  <c r="BF274" i="3"/>
  <c r="BQ275" i="3"/>
  <c r="BJ277" i="3"/>
  <c r="BF282" i="3"/>
  <c r="BQ283" i="3"/>
  <c r="BJ285" i="3"/>
  <c r="BE289" i="3"/>
  <c r="BJ268" i="3"/>
  <c r="BE272" i="3"/>
  <c r="BG274" i="3"/>
  <c r="BJ276" i="3"/>
  <c r="BP281" i="3"/>
  <c r="BG282" i="3"/>
  <c r="BJ267" i="3"/>
  <c r="BE271" i="3"/>
  <c r="BP272" i="3"/>
  <c r="BJ275" i="3"/>
  <c r="BE279" i="3"/>
  <c r="BP280" i="3"/>
  <c r="BJ283" i="3"/>
  <c r="BE287" i="3"/>
  <c r="BP288" i="3"/>
  <c r="BP265" i="3"/>
  <c r="BG265" i="3"/>
  <c r="BQ265" i="3"/>
  <c r="BE265" i="3"/>
  <c r="BJ246" i="3"/>
  <c r="BJ254" i="3"/>
  <c r="BP259" i="3"/>
  <c r="BE249" i="3"/>
  <c r="BF250" i="3"/>
  <c r="BP250" i="3"/>
  <c r="BQ251" i="3"/>
  <c r="BJ253" i="3"/>
  <c r="BQ259" i="3"/>
  <c r="BP249" i="3"/>
  <c r="BJ252" i="3"/>
  <c r="BE256" i="3"/>
  <c r="BF257" i="3"/>
  <c r="BG258" i="3"/>
  <c r="BQ258" i="3"/>
  <c r="BJ260" i="3"/>
  <c r="BK261" i="3"/>
  <c r="BP248" i="3"/>
  <c r="BP256" i="3"/>
  <c r="BG248" i="3"/>
  <c r="BE254" i="3"/>
  <c r="BF263" i="3"/>
  <c r="BF246" i="3"/>
  <c r="BP246" i="3"/>
  <c r="BG247" i="3"/>
  <c r="BQ247" i="3"/>
  <c r="BR248" i="3"/>
  <c r="BJ249" i="3"/>
  <c r="BK250" i="3"/>
  <c r="BE253" i="3"/>
  <c r="BF254" i="3"/>
  <c r="BP254" i="3"/>
  <c r="BG255" i="3"/>
  <c r="BQ255" i="3"/>
  <c r="BR256" i="3"/>
  <c r="BJ257" i="3"/>
  <c r="BK258" i="3"/>
  <c r="BE261" i="3"/>
  <c r="BF262" i="3"/>
  <c r="BP262" i="3"/>
  <c r="BG263" i="3"/>
  <c r="BQ263" i="3"/>
  <c r="BE250" i="3"/>
  <c r="BP251" i="3"/>
  <c r="BE258" i="3"/>
  <c r="BJ262" i="3"/>
  <c r="BE257" i="3"/>
  <c r="BP258" i="3"/>
  <c r="BJ261" i="3"/>
  <c r="BE248" i="3"/>
  <c r="BF249" i="3"/>
  <c r="BQ250" i="3"/>
  <c r="BP257" i="3"/>
  <c r="BE247" i="3"/>
  <c r="BQ249" i="3"/>
  <c r="BJ251" i="3"/>
  <c r="BE255" i="3"/>
  <c r="BF256" i="3"/>
  <c r="BQ257" i="3"/>
  <c r="BJ259" i="3"/>
  <c r="BE246" i="3"/>
  <c r="BP247" i="3"/>
  <c r="BP255" i="3"/>
  <c r="BE262" i="3"/>
  <c r="BP263" i="3"/>
  <c r="BE239" i="3"/>
  <c r="BP240" i="3"/>
  <c r="BJ243" i="3"/>
  <c r="BE222" i="3"/>
  <c r="BF223" i="3"/>
  <c r="BP223" i="3"/>
  <c r="BG224" i="3"/>
  <c r="BQ224" i="3"/>
  <c r="BR225" i="3"/>
  <c r="BJ226" i="3"/>
  <c r="BK227" i="3"/>
  <c r="BE230" i="3"/>
  <c r="BF231" i="3"/>
  <c r="BP231" i="3"/>
  <c r="BG232" i="3"/>
  <c r="BQ232" i="3"/>
  <c r="BR233" i="3"/>
  <c r="BJ234" i="3"/>
  <c r="BK235" i="3"/>
  <c r="BE238" i="3"/>
  <c r="BF239" i="3"/>
  <c r="BP239" i="3"/>
  <c r="BG240" i="3"/>
  <c r="BQ240" i="3"/>
  <c r="BR241" i="3"/>
  <c r="BJ242" i="3"/>
  <c r="BE224" i="3"/>
  <c r="BK220" i="3"/>
  <c r="BK228" i="3"/>
  <c r="BF232" i="3"/>
  <c r="BB237" i="3"/>
  <c r="BF240" i="3"/>
  <c r="BB245" i="3"/>
  <c r="BE221" i="3"/>
  <c r="BF222" i="3"/>
  <c r="BE229" i="3"/>
  <c r="BG231" i="3"/>
  <c r="BF238" i="3"/>
  <c r="BG239" i="3"/>
  <c r="BE220" i="3"/>
  <c r="BF221" i="3"/>
  <c r="BP221" i="3"/>
  <c r="BQ222" i="3"/>
  <c r="BR223" i="3"/>
  <c r="BJ224" i="3"/>
  <c r="BE228" i="3"/>
  <c r="BF229" i="3"/>
  <c r="BP229" i="3"/>
  <c r="BG230" i="3"/>
  <c r="BQ230" i="3"/>
  <c r="BR231" i="3"/>
  <c r="BJ232" i="3"/>
  <c r="BE236" i="3"/>
  <c r="BF237" i="3"/>
  <c r="BP237" i="3"/>
  <c r="BQ238" i="3"/>
  <c r="BR239" i="3"/>
  <c r="BJ240" i="3"/>
  <c r="BE244" i="3"/>
  <c r="BF245" i="3"/>
  <c r="BP245" i="3"/>
  <c r="BJ220" i="3"/>
  <c r="BP233" i="3"/>
  <c r="BJ244" i="3"/>
  <c r="BE223" i="3"/>
  <c r="BE231" i="3"/>
  <c r="BP232" i="3"/>
  <c r="BK236" i="3"/>
  <c r="BR224" i="3"/>
  <c r="BF220" i="3"/>
  <c r="BQ221" i="3"/>
  <c r="BJ223" i="3"/>
  <c r="BF228" i="3"/>
  <c r="BP228" i="3"/>
  <c r="BQ229" i="3"/>
  <c r="BF236" i="3"/>
  <c r="BP236" i="3"/>
  <c r="BQ237" i="3"/>
  <c r="BF244" i="3"/>
  <c r="BP244" i="3"/>
  <c r="BQ245" i="3"/>
  <c r="BP225" i="3"/>
  <c r="BP241" i="3"/>
  <c r="BB218" i="3"/>
  <c r="BF218" i="3"/>
  <c r="BP218" i="3"/>
  <c r="BQ218" i="3"/>
  <c r="BF216" i="3"/>
  <c r="BP216" i="3"/>
  <c r="BG216" i="3"/>
  <c r="BQ216" i="3"/>
  <c r="BE214" i="3"/>
  <c r="BP214" i="3"/>
  <c r="BG214" i="3"/>
  <c r="BQ214" i="3"/>
  <c r="BK213" i="3"/>
  <c r="BE213" i="3"/>
  <c r="BF213" i="3"/>
  <c r="BP213" i="3"/>
  <c r="BQ213" i="3"/>
  <c r="BK207" i="3"/>
  <c r="BB208" i="3"/>
  <c r="BE210" i="3"/>
  <c r="BF211" i="3"/>
  <c r="BP211" i="3"/>
  <c r="BP207" i="3"/>
  <c r="BQ207" i="3"/>
  <c r="BK209" i="3"/>
  <c r="BK208" i="3"/>
  <c r="BE211" i="3"/>
  <c r="BE209" i="3"/>
  <c r="BF210" i="3"/>
  <c r="BQ211" i="3"/>
  <c r="BJ210" i="3"/>
  <c r="BJ209" i="3"/>
  <c r="BK210" i="3"/>
  <c r="BP205" i="3"/>
  <c r="BG205" i="3"/>
  <c r="BQ205" i="3"/>
  <c r="BE205" i="3"/>
  <c r="BK202" i="3"/>
  <c r="BE202" i="3"/>
  <c r="BE203" i="3"/>
  <c r="BF203" i="3"/>
  <c r="BP203" i="3"/>
  <c r="BQ203" i="3"/>
  <c r="BK200" i="3"/>
  <c r="BE200" i="3"/>
  <c r="BF200" i="3"/>
  <c r="BK198" i="3"/>
  <c r="BE198" i="3"/>
  <c r="BF198" i="3"/>
  <c r="BP197" i="3"/>
  <c r="BQ197" i="3"/>
  <c r="BB195" i="3"/>
  <c r="BF195" i="3"/>
  <c r="BP195" i="3"/>
  <c r="BQ195" i="3"/>
  <c r="BK193" i="3"/>
  <c r="BE193" i="3"/>
  <c r="BF193" i="3"/>
  <c r="BP193" i="3"/>
  <c r="BQ193" i="3"/>
  <c r="BP191" i="3"/>
  <c r="BG191" i="3"/>
  <c r="BQ191" i="3"/>
  <c r="BE191" i="3"/>
  <c r="BK189" i="3"/>
  <c r="BE189" i="3"/>
  <c r="BF189" i="3"/>
  <c r="BP189" i="3"/>
  <c r="BQ189" i="3"/>
  <c r="BP187" i="3"/>
  <c r="BG187" i="3"/>
  <c r="BQ187" i="3"/>
  <c r="BE187" i="3"/>
  <c r="BE184" i="3"/>
  <c r="BF185" i="3"/>
  <c r="BP185" i="3"/>
  <c r="BJ184" i="3"/>
  <c r="BE185" i="3"/>
  <c r="BF184" i="3"/>
  <c r="BP184" i="3"/>
  <c r="BQ185" i="3"/>
  <c r="BE182" i="3"/>
  <c r="BF182" i="3"/>
  <c r="BE180" i="3"/>
  <c r="BF180" i="3"/>
  <c r="BP180" i="3"/>
  <c r="BQ180" i="3"/>
  <c r="BE179" i="3"/>
  <c r="BF179" i="3"/>
  <c r="BP179" i="3"/>
  <c r="BQ179" i="3"/>
  <c r="BF178" i="3"/>
  <c r="BP178" i="3"/>
  <c r="BE178" i="3"/>
  <c r="BQ178" i="3"/>
  <c r="BE176" i="3"/>
  <c r="BF176" i="3"/>
  <c r="BP176" i="3"/>
  <c r="BQ176" i="3"/>
  <c r="BK174" i="3"/>
  <c r="BE174" i="3"/>
  <c r="BF174" i="3"/>
  <c r="BB173" i="3"/>
  <c r="BF173" i="3"/>
  <c r="BP173" i="3"/>
  <c r="BQ173" i="3"/>
  <c r="BE171" i="3"/>
  <c r="BF171" i="3"/>
  <c r="BP171" i="3"/>
  <c r="BQ171" i="3"/>
  <c r="BP169" i="3"/>
  <c r="BQ169" i="3"/>
  <c r="BK168" i="3"/>
  <c r="BE168" i="3"/>
  <c r="BF168" i="3"/>
  <c r="BE167" i="3"/>
  <c r="BF167" i="3"/>
  <c r="BP167" i="3"/>
  <c r="BQ167" i="3"/>
  <c r="BK166" i="3"/>
  <c r="BE166" i="3"/>
  <c r="BF164" i="3"/>
  <c r="BP164" i="3"/>
  <c r="BQ164" i="3"/>
  <c r="BB161" i="3"/>
  <c r="BE161" i="3"/>
  <c r="BP161" i="3"/>
  <c r="BQ161" i="3"/>
  <c r="BE154" i="3"/>
  <c r="BP155" i="3"/>
  <c r="BG156" i="3"/>
  <c r="BR157" i="3"/>
  <c r="BJ158" i="3"/>
  <c r="BF154" i="3"/>
  <c r="BQ155" i="3"/>
  <c r="BK158" i="3"/>
  <c r="BG154" i="3"/>
  <c r="BJ156" i="3"/>
  <c r="BB158" i="3"/>
  <c r="BJ155" i="3"/>
  <c r="BB157" i="3"/>
  <c r="BE159" i="3"/>
  <c r="BE158" i="3"/>
  <c r="BP159" i="3"/>
  <c r="BP158" i="3"/>
  <c r="BP152" i="3"/>
  <c r="BG152" i="3"/>
  <c r="BQ152" i="3"/>
  <c r="BE152" i="3"/>
  <c r="BE145" i="3"/>
  <c r="BP146" i="3"/>
  <c r="BE144" i="3"/>
  <c r="BF145" i="3"/>
  <c r="BP145" i="3"/>
  <c r="BF144" i="3"/>
  <c r="BQ145" i="3"/>
  <c r="BR146" i="3"/>
  <c r="BJ147" i="3"/>
  <c r="BK148" i="3"/>
  <c r="BQ144" i="3"/>
  <c r="BJ146" i="3"/>
  <c r="BE150" i="3"/>
  <c r="BJ148" i="3"/>
  <c r="BP144" i="3"/>
  <c r="BJ145" i="3"/>
  <c r="BE149" i="3"/>
  <c r="BF150" i="3"/>
  <c r="BP150" i="3"/>
  <c r="BJ149" i="3"/>
  <c r="BK149" i="3"/>
  <c r="BJ144" i="3"/>
  <c r="BE148" i="3"/>
  <c r="BF149" i="3"/>
  <c r="BQ150" i="3"/>
  <c r="BB141" i="3"/>
  <c r="BE142" i="3"/>
  <c r="BF142" i="3"/>
  <c r="BP142" i="3"/>
  <c r="BJ141" i="3"/>
  <c r="BF141" i="3"/>
  <c r="BP141" i="3"/>
  <c r="BQ142" i="3"/>
  <c r="BE138" i="3"/>
  <c r="BF139" i="3"/>
  <c r="BP139" i="3"/>
  <c r="BK138" i="3"/>
  <c r="BE139" i="3"/>
  <c r="BF138" i="3"/>
  <c r="BP138" i="3"/>
  <c r="BQ139" i="3"/>
  <c r="BP136" i="3"/>
  <c r="BG136" i="3"/>
  <c r="BQ136" i="3"/>
  <c r="BE136" i="3"/>
  <c r="BF131" i="3"/>
  <c r="BG131" i="3"/>
  <c r="BQ131" i="3"/>
  <c r="BR132" i="3"/>
  <c r="BJ133" i="3"/>
  <c r="BJ132" i="3"/>
  <c r="BK133" i="3"/>
  <c r="BJ131" i="3"/>
  <c r="BQ132" i="3"/>
  <c r="BK131" i="3"/>
  <c r="BE133" i="3"/>
  <c r="BP134" i="3"/>
  <c r="BP133" i="3"/>
  <c r="BE129" i="3"/>
  <c r="BF129" i="3"/>
  <c r="BP129" i="3"/>
  <c r="BQ129" i="3"/>
  <c r="BJ125" i="3"/>
  <c r="BK126" i="3"/>
  <c r="BE126" i="3"/>
  <c r="BP127" i="3"/>
  <c r="BE125" i="3"/>
  <c r="BF126" i="3"/>
  <c r="BP126" i="3"/>
  <c r="BG127" i="3"/>
  <c r="BQ127" i="3"/>
  <c r="BE127" i="3"/>
  <c r="BK123" i="3"/>
  <c r="BE123" i="3"/>
  <c r="BP118" i="3"/>
  <c r="BJ121" i="3"/>
  <c r="BQ118" i="3"/>
  <c r="BJ120" i="3"/>
  <c r="BJ117" i="3"/>
  <c r="BK118" i="3"/>
  <c r="BE121" i="3"/>
  <c r="BB118" i="3"/>
  <c r="BE120" i="3"/>
  <c r="BF121" i="3"/>
  <c r="BP121" i="3"/>
  <c r="BE119" i="3"/>
  <c r="BF120" i="3"/>
  <c r="BQ121" i="3"/>
  <c r="BK115" i="3"/>
  <c r="BE115" i="3"/>
  <c r="BF115" i="3"/>
  <c r="BP115" i="3"/>
  <c r="BQ115" i="3"/>
  <c r="BE113" i="3"/>
  <c r="BP113" i="3"/>
  <c r="BE111" i="3"/>
  <c r="BP111" i="3"/>
  <c r="BG111" i="3"/>
  <c r="BQ111" i="3"/>
  <c r="BE109" i="3"/>
  <c r="BF109" i="3"/>
  <c r="BP109" i="3"/>
  <c r="BQ109" i="3"/>
  <c r="BK107" i="3"/>
  <c r="BE107" i="3"/>
  <c r="BF107" i="3"/>
  <c r="BE105" i="3"/>
  <c r="BP105" i="3"/>
  <c r="BG105" i="3"/>
  <c r="BQ105" i="3"/>
  <c r="BP91" i="3"/>
  <c r="BJ94" i="3"/>
  <c r="BE98" i="3"/>
  <c r="BJ102" i="3"/>
  <c r="BE97" i="3"/>
  <c r="BF98" i="3"/>
  <c r="BQ99" i="3"/>
  <c r="BP89" i="3"/>
  <c r="BJ92" i="3"/>
  <c r="BK93" i="3"/>
  <c r="BE96" i="3"/>
  <c r="BP97" i="3"/>
  <c r="BJ100" i="3"/>
  <c r="BK101" i="3"/>
  <c r="BP88" i="3"/>
  <c r="BQ89" i="3"/>
  <c r="BP96" i="3"/>
  <c r="BQ97" i="3"/>
  <c r="BR98" i="3"/>
  <c r="BE103" i="3"/>
  <c r="BG88" i="3"/>
  <c r="BQ88" i="3"/>
  <c r="BJ90" i="3"/>
  <c r="BK91" i="3"/>
  <c r="BF95" i="3"/>
  <c r="BG96" i="3"/>
  <c r="BQ96" i="3"/>
  <c r="BB100" i="3"/>
  <c r="BE102" i="3"/>
  <c r="BF103" i="3"/>
  <c r="BJ89" i="3"/>
  <c r="BE93" i="3"/>
  <c r="BF94" i="3"/>
  <c r="BP94" i="3"/>
  <c r="BG95" i="3"/>
  <c r="BQ95" i="3"/>
  <c r="BJ97" i="3"/>
  <c r="BK98" i="3"/>
  <c r="BE101" i="3"/>
  <c r="BF102" i="3"/>
  <c r="BP102" i="3"/>
  <c r="BQ103" i="3"/>
  <c r="BE90" i="3"/>
  <c r="BP99" i="3"/>
  <c r="BE89" i="3"/>
  <c r="BF90" i="3"/>
  <c r="BP90" i="3"/>
  <c r="BQ91" i="3"/>
  <c r="BP98" i="3"/>
  <c r="BJ101" i="3"/>
  <c r="BE88" i="3"/>
  <c r="BF89" i="3"/>
  <c r="BQ90" i="3"/>
  <c r="BF97" i="3"/>
  <c r="BF88" i="3"/>
  <c r="BJ99" i="3"/>
  <c r="BE94" i="3"/>
  <c r="BP95" i="3"/>
  <c r="BP103" i="3"/>
  <c r="BF86" i="3"/>
  <c r="BP86" i="3"/>
  <c r="BE86" i="3"/>
  <c r="BQ86" i="3"/>
  <c r="BB69" i="3"/>
  <c r="BE71" i="3"/>
  <c r="BP72" i="3"/>
  <c r="BJ75" i="3"/>
  <c r="BB77" i="3"/>
  <c r="BE79" i="3"/>
  <c r="BP80" i="3"/>
  <c r="BJ83" i="3"/>
  <c r="BE70" i="3"/>
  <c r="BF71" i="3"/>
  <c r="BP71" i="3"/>
  <c r="BQ72" i="3"/>
  <c r="BJ74" i="3"/>
  <c r="BK75" i="3"/>
  <c r="BE78" i="3"/>
  <c r="BF79" i="3"/>
  <c r="BP79" i="3"/>
  <c r="BQ80" i="3"/>
  <c r="BJ82" i="3"/>
  <c r="BK83" i="3"/>
  <c r="BE68" i="3"/>
  <c r="BF69" i="3"/>
  <c r="BP69" i="3"/>
  <c r="BG70" i="3"/>
  <c r="BR71" i="3"/>
  <c r="BJ72" i="3"/>
  <c r="BK73" i="3"/>
  <c r="BB74" i="3"/>
  <c r="BE76" i="3"/>
  <c r="BF77" i="3"/>
  <c r="BP77" i="3"/>
  <c r="BG78" i="3"/>
  <c r="BR79" i="3"/>
  <c r="BJ80" i="3"/>
  <c r="BB82" i="3"/>
  <c r="BE84" i="3"/>
  <c r="BF68" i="3"/>
  <c r="BQ69" i="3"/>
  <c r="BF76" i="3"/>
  <c r="BQ77" i="3"/>
  <c r="BF84" i="3"/>
  <c r="BG71" i="3"/>
  <c r="BJ70" i="3"/>
  <c r="BE74" i="3"/>
  <c r="BP75" i="3"/>
  <c r="BJ78" i="3"/>
  <c r="BK79" i="3"/>
  <c r="BE82" i="3"/>
  <c r="BP83" i="3"/>
  <c r="BF70" i="3"/>
  <c r="BF78" i="3"/>
  <c r="BK82" i="3"/>
  <c r="BF66" i="3"/>
  <c r="BP66" i="3"/>
  <c r="BQ66" i="3"/>
  <c r="BP60" i="3"/>
  <c r="BP59" i="3"/>
  <c r="BF58" i="3"/>
  <c r="BG59" i="3"/>
  <c r="BQ59" i="3"/>
  <c r="BR60" i="3"/>
  <c r="BG58" i="3"/>
  <c r="BQ58" i="3"/>
  <c r="BJ60" i="3"/>
  <c r="BK61" i="3"/>
  <c r="BE64" i="3"/>
  <c r="BJ63" i="3"/>
  <c r="BK63" i="3"/>
  <c r="BR58" i="3"/>
  <c r="BJ59" i="3"/>
  <c r="BB61" i="3"/>
  <c r="BE63" i="3"/>
  <c r="BF64" i="3"/>
  <c r="BP64" i="3"/>
  <c r="BE59" i="3"/>
  <c r="BJ62" i="3"/>
  <c r="BK62" i="3"/>
  <c r="BJ58" i="3"/>
  <c r="BE62" i="3"/>
  <c r="BF63" i="3"/>
  <c r="BQ64" i="3"/>
  <c r="BF56" i="3"/>
  <c r="BP56" i="3"/>
  <c r="BE56" i="3"/>
  <c r="BQ56" i="3"/>
  <c r="BJ53" i="3"/>
  <c r="BK54" i="3"/>
  <c r="BK53" i="3"/>
  <c r="BE54" i="3"/>
  <c r="BF54" i="3"/>
  <c r="BP53" i="3"/>
  <c r="BF51" i="3"/>
  <c r="BP51" i="3"/>
  <c r="BG51" i="3"/>
  <c r="BQ51" i="3"/>
  <c r="BK48" i="3"/>
  <c r="BB49" i="3"/>
  <c r="BE48" i="3"/>
  <c r="BF49" i="3"/>
  <c r="BP49" i="3"/>
  <c r="BJ48" i="3"/>
  <c r="BF48" i="3"/>
  <c r="BQ49" i="3"/>
  <c r="BE46" i="3"/>
  <c r="BF46" i="3"/>
  <c r="BP46" i="3"/>
  <c r="BQ46" i="3"/>
  <c r="BP40" i="3"/>
  <c r="BJ43" i="3"/>
  <c r="BE38" i="3"/>
  <c r="BF39" i="3"/>
  <c r="BQ40" i="3"/>
  <c r="BJ42" i="3"/>
  <c r="BE37" i="3"/>
  <c r="BF38" i="3"/>
  <c r="BG39" i="3"/>
  <c r="BF37" i="3"/>
  <c r="BJ40" i="3"/>
  <c r="BK41" i="3"/>
  <c r="BE44" i="3"/>
  <c r="BQ37" i="3"/>
  <c r="BR38" i="3"/>
  <c r="BJ39" i="3"/>
  <c r="BP44" i="3"/>
  <c r="BR37" i="3"/>
  <c r="BJ38" i="3"/>
  <c r="BE42" i="3"/>
  <c r="BF43" i="3"/>
  <c r="BP43" i="3"/>
  <c r="BG44" i="3"/>
  <c r="BQ44" i="3"/>
  <c r="BP39" i="3"/>
  <c r="BP38" i="3"/>
  <c r="BQ39" i="3"/>
  <c r="BE43" i="3"/>
  <c r="BF35" i="3"/>
  <c r="BP35" i="3"/>
  <c r="BE35" i="3"/>
  <c r="BQ35" i="3"/>
  <c r="BE33" i="3"/>
  <c r="BF33" i="3"/>
  <c r="BP33" i="3"/>
  <c r="BQ33" i="3"/>
  <c r="BE31" i="3"/>
  <c r="BF31" i="3"/>
  <c r="BP31" i="3"/>
  <c r="BQ31" i="3"/>
  <c r="BE29" i="3"/>
  <c r="BF29" i="3"/>
  <c r="BP29" i="3"/>
  <c r="BQ29" i="3"/>
  <c r="BP16" i="3"/>
  <c r="BK20" i="3"/>
  <c r="BP24" i="3"/>
  <c r="BJ27" i="3"/>
  <c r="BE14" i="3"/>
  <c r="BP15" i="3"/>
  <c r="BJ18" i="3"/>
  <c r="BE22" i="3"/>
  <c r="BP23" i="3"/>
  <c r="BJ26" i="3"/>
  <c r="BJ15" i="3"/>
  <c r="BK16" i="3"/>
  <c r="BB17" i="3"/>
  <c r="BE19" i="3"/>
  <c r="BF20" i="3"/>
  <c r="BP20" i="3"/>
  <c r="BQ21" i="3"/>
  <c r="BJ23" i="3"/>
  <c r="BK24" i="3"/>
  <c r="BB25" i="3"/>
  <c r="BE27" i="3"/>
  <c r="BP21" i="3"/>
  <c r="BJ14" i="3"/>
  <c r="BE18" i="3"/>
  <c r="BF19" i="3"/>
  <c r="BP19" i="3"/>
  <c r="BG20" i="3"/>
  <c r="BQ20" i="3"/>
  <c r="BJ22" i="3"/>
  <c r="BE26" i="3"/>
  <c r="BF27" i="3"/>
  <c r="BP27" i="3"/>
  <c r="BE20" i="3"/>
  <c r="BE12" i="3"/>
  <c r="BF12" i="3"/>
  <c r="BP12" i="3"/>
  <c r="BQ12" i="3"/>
  <c r="BP10" i="3"/>
  <c r="BG10" i="3"/>
  <c r="BQ10" i="3"/>
  <c r="BE10" i="3"/>
  <c r="BE9" i="3"/>
  <c r="BF9" i="3"/>
  <c r="BP9" i="3"/>
  <c r="BE7" i="3"/>
  <c r="BF7" i="3"/>
  <c r="BP7" i="3"/>
  <c r="BQ7" i="3"/>
  <c r="BE5" i="3"/>
  <c r="BF5" i="3"/>
  <c r="BP5" i="3"/>
  <c r="BQ5" i="3"/>
  <c r="BJ4" i="3"/>
  <c r="BK4" i="3"/>
  <c r="BB4" i="3"/>
  <c r="BP4" i="3"/>
  <c r="AT30" i="2" l="1"/>
  <c r="AS30" i="2"/>
  <c r="AR30" i="2"/>
  <c r="AQ30" i="2"/>
  <c r="AP30" i="2"/>
  <c r="AO30" i="2"/>
  <c r="AT28" i="2"/>
  <c r="AS28" i="2"/>
  <c r="AR28" i="2"/>
  <c r="AQ28" i="2"/>
  <c r="AP28" i="2"/>
  <c r="AO28" i="2"/>
  <c r="AT27" i="2"/>
  <c r="AS27" i="2"/>
  <c r="AR27" i="2"/>
  <c r="AQ27" i="2"/>
  <c r="AP27" i="2"/>
  <c r="AO27" i="2"/>
  <c r="AT25" i="2"/>
  <c r="AS25" i="2"/>
  <c r="AR25" i="2"/>
  <c r="AQ25" i="2"/>
  <c r="AP25" i="2"/>
  <c r="AO25" i="2"/>
  <c r="AT24" i="2"/>
  <c r="AS24" i="2"/>
  <c r="AR24" i="2"/>
  <c r="AQ24" i="2"/>
  <c r="AP24" i="2"/>
  <c r="AO24" i="2"/>
  <c r="AT23" i="2"/>
  <c r="AS23" i="2"/>
  <c r="AR23" i="2"/>
  <c r="AQ23" i="2"/>
  <c r="AP23" i="2"/>
  <c r="AO23" i="2"/>
  <c r="AT22" i="2"/>
  <c r="AS22" i="2"/>
  <c r="AR22" i="2"/>
  <c r="AQ22" i="2"/>
  <c r="AP22" i="2"/>
  <c r="AO22" i="2"/>
  <c r="AT20" i="2"/>
  <c r="AS20" i="2"/>
  <c r="AR20" i="2"/>
  <c r="AQ20" i="2"/>
  <c r="AP20" i="2"/>
  <c r="AO20" i="2"/>
  <c r="AT19" i="2"/>
  <c r="AS19" i="2"/>
  <c r="AR19" i="2"/>
  <c r="AQ19" i="2"/>
  <c r="AP19" i="2"/>
  <c r="AO19" i="2"/>
  <c r="AT18" i="2"/>
  <c r="AS18" i="2"/>
  <c r="AR18" i="2"/>
  <c r="AQ18" i="2"/>
  <c r="AP18" i="2"/>
  <c r="AO18" i="2"/>
  <c r="AT17" i="2"/>
  <c r="AS17" i="2"/>
  <c r="AR17" i="2"/>
  <c r="AQ17" i="2"/>
  <c r="AP17" i="2"/>
  <c r="AO17" i="2"/>
  <c r="AT16" i="2"/>
  <c r="AS16" i="2"/>
  <c r="AR16" i="2"/>
  <c r="AQ16" i="2"/>
  <c r="AP16" i="2"/>
  <c r="AO16" i="2"/>
  <c r="AT15" i="2"/>
  <c r="AS15" i="2"/>
  <c r="AR15" i="2"/>
  <c r="AQ15" i="2"/>
  <c r="AP15" i="2"/>
  <c r="AO15" i="2"/>
  <c r="AT14" i="2"/>
  <c r="AS14" i="2"/>
  <c r="AR14" i="2"/>
  <c r="AQ14" i="2"/>
  <c r="AP14" i="2"/>
  <c r="AO14" i="2"/>
  <c r="AT13" i="2"/>
  <c r="AS13" i="2"/>
  <c r="AR13" i="2"/>
  <c r="AQ13" i="2"/>
  <c r="AP13" i="2"/>
  <c r="AO13" i="2"/>
  <c r="AT10" i="2"/>
  <c r="AS10" i="2"/>
  <c r="AR10" i="2"/>
  <c r="AQ10" i="2"/>
  <c r="AP10" i="2"/>
  <c r="AO10" i="2"/>
  <c r="AT8" i="2"/>
  <c r="AS8" i="2"/>
  <c r="AR8" i="2"/>
  <c r="AQ8" i="2"/>
  <c r="AP8" i="2"/>
  <c r="AO8" i="2"/>
  <c r="AT7" i="2"/>
  <c r="AS7" i="2"/>
  <c r="AR7" i="2"/>
  <c r="AQ7" i="2"/>
  <c r="AP7" i="2"/>
  <c r="AO7" i="2"/>
  <c r="AT6" i="2"/>
  <c r="AS6" i="2"/>
  <c r="AR6" i="2"/>
  <c r="AQ6" i="2"/>
  <c r="AP6" i="2"/>
  <c r="AO6" i="2"/>
  <c r="AT4" i="2"/>
  <c r="AS4" i="2"/>
  <c r="AR4" i="2"/>
  <c r="AQ4" i="2"/>
  <c r="AP4" i="2"/>
  <c r="AO4" i="2"/>
  <c r="AT3" i="2"/>
  <c r="AS3" i="2"/>
  <c r="AR3" i="2"/>
  <c r="AQ3" i="2"/>
  <c r="AP3" i="2"/>
  <c r="AO3" i="2"/>
  <c r="AT665" i="1"/>
  <c r="AS665" i="1"/>
  <c r="AR665" i="1"/>
  <c r="AQ665" i="1"/>
  <c r="AP665" i="1"/>
  <c r="AO665" i="1"/>
  <c r="AT663" i="1"/>
  <c r="AS663" i="1"/>
  <c r="AR663" i="1"/>
  <c r="AQ663" i="1"/>
  <c r="AP663" i="1"/>
  <c r="AO663" i="1"/>
  <c r="AT662" i="1"/>
  <c r="AS662" i="1"/>
  <c r="AR662" i="1"/>
  <c r="AQ662" i="1"/>
  <c r="AP662" i="1"/>
  <c r="AO662" i="1"/>
  <c r="AT660" i="1"/>
  <c r="AS660" i="1"/>
  <c r="AR660" i="1"/>
  <c r="AQ660" i="1"/>
  <c r="AP660" i="1"/>
  <c r="AO660" i="1"/>
  <c r="AT659" i="1"/>
  <c r="AS659" i="1"/>
  <c r="AR659" i="1"/>
  <c r="AQ659" i="1"/>
  <c r="AP659" i="1"/>
  <c r="AO659" i="1"/>
  <c r="AT658" i="1"/>
  <c r="AS658" i="1"/>
  <c r="AR658" i="1"/>
  <c r="AQ658" i="1"/>
  <c r="AP658" i="1"/>
  <c r="AO658" i="1"/>
  <c r="AT657" i="1"/>
  <c r="AS657" i="1"/>
  <c r="AR657" i="1"/>
  <c r="AQ657" i="1"/>
  <c r="AP657" i="1"/>
  <c r="AO657" i="1"/>
  <c r="AT656" i="1"/>
  <c r="AS656" i="1"/>
  <c r="AR656" i="1"/>
  <c r="AQ656" i="1"/>
  <c r="AP656" i="1"/>
  <c r="AO656" i="1"/>
  <c r="AT654" i="1"/>
  <c r="AS654" i="1"/>
  <c r="AR654" i="1"/>
  <c r="AQ654" i="1"/>
  <c r="AP654" i="1"/>
  <c r="AO654" i="1"/>
  <c r="AT652" i="1"/>
  <c r="AS652" i="1"/>
  <c r="AR652" i="1"/>
  <c r="AQ652" i="1"/>
  <c r="AP652" i="1"/>
  <c r="AO652" i="1"/>
  <c r="AT650" i="1"/>
  <c r="AS650" i="1"/>
  <c r="AR650" i="1"/>
  <c r="AQ650" i="1"/>
  <c r="AP650" i="1"/>
  <c r="AO650" i="1"/>
  <c r="AT649" i="1"/>
  <c r="AS649" i="1"/>
  <c r="AR649" i="1"/>
  <c r="AQ649" i="1"/>
  <c r="AP649" i="1"/>
  <c r="AO649" i="1"/>
  <c r="AT648" i="1"/>
  <c r="AS648" i="1"/>
  <c r="AR648" i="1"/>
  <c r="AQ648" i="1"/>
  <c r="AP648" i="1"/>
  <c r="AO648" i="1"/>
  <c r="AT647" i="1"/>
  <c r="AS647" i="1"/>
  <c r="AR647" i="1"/>
  <c r="AQ647" i="1"/>
  <c r="AP647" i="1"/>
  <c r="AO647" i="1"/>
  <c r="AT646" i="1"/>
  <c r="AS646" i="1"/>
  <c r="AR646" i="1"/>
  <c r="AQ646" i="1"/>
  <c r="AP646" i="1"/>
  <c r="AO646" i="1"/>
  <c r="AT645" i="1"/>
  <c r="AS645" i="1"/>
  <c r="AR645" i="1"/>
  <c r="AQ645" i="1"/>
  <c r="AP645" i="1"/>
  <c r="AO645" i="1"/>
  <c r="AT644" i="1"/>
  <c r="AS644" i="1"/>
  <c r="AR644" i="1"/>
  <c r="AQ644" i="1"/>
  <c r="AP644" i="1"/>
  <c r="AO644" i="1"/>
  <c r="AT642" i="1"/>
  <c r="AS642" i="1"/>
  <c r="AR642" i="1"/>
  <c r="AQ642" i="1"/>
  <c r="AP642" i="1"/>
  <c r="AO642" i="1"/>
  <c r="AT640" i="1"/>
  <c r="AS640" i="1"/>
  <c r="AR640" i="1"/>
  <c r="AQ640" i="1"/>
  <c r="AP640" i="1"/>
  <c r="AO640" i="1"/>
  <c r="AT639" i="1"/>
  <c r="AS639" i="1"/>
  <c r="AR639" i="1"/>
  <c r="AQ639" i="1"/>
  <c r="AP639" i="1"/>
  <c r="AO639" i="1"/>
  <c r="AT638" i="1"/>
  <c r="AS638" i="1"/>
  <c r="AR638" i="1"/>
  <c r="AQ638" i="1"/>
  <c r="AP638" i="1"/>
  <c r="AO638" i="1"/>
  <c r="AT637" i="1"/>
  <c r="AS637" i="1"/>
  <c r="AR637" i="1"/>
  <c r="AQ637" i="1"/>
  <c r="AP637" i="1"/>
  <c r="AO637" i="1"/>
  <c r="AT636" i="1"/>
  <c r="AS636" i="1"/>
  <c r="AR636" i="1"/>
  <c r="AQ636" i="1"/>
  <c r="AP636" i="1"/>
  <c r="AO636" i="1"/>
  <c r="AT635" i="1"/>
  <c r="AS635" i="1"/>
  <c r="AR635" i="1"/>
  <c r="AQ635" i="1"/>
  <c r="AP635" i="1"/>
  <c r="AO635" i="1"/>
  <c r="AT634" i="1"/>
  <c r="AS634" i="1"/>
  <c r="AR634" i="1"/>
  <c r="AQ634" i="1"/>
  <c r="AP634" i="1"/>
  <c r="AO634" i="1"/>
  <c r="AT632" i="1"/>
  <c r="AS632" i="1"/>
  <c r="AR632" i="1"/>
  <c r="AQ632" i="1"/>
  <c r="AP632" i="1"/>
  <c r="AO632" i="1"/>
  <c r="AT630" i="1"/>
  <c r="AS630" i="1"/>
  <c r="AR630" i="1"/>
  <c r="AQ630" i="1"/>
  <c r="AP630" i="1"/>
  <c r="AO630" i="1"/>
  <c r="AT628" i="1"/>
  <c r="AS628" i="1"/>
  <c r="AR628" i="1"/>
  <c r="AQ628" i="1"/>
  <c r="AP628" i="1"/>
  <c r="AO628" i="1"/>
  <c r="AT626" i="1"/>
  <c r="AS626" i="1"/>
  <c r="AR626" i="1"/>
  <c r="AQ626" i="1"/>
  <c r="AP626" i="1"/>
  <c r="AO626" i="1"/>
  <c r="AT624" i="1"/>
  <c r="AS624" i="1"/>
  <c r="AR624" i="1"/>
  <c r="AQ624" i="1"/>
  <c r="AP624" i="1"/>
  <c r="AO624" i="1"/>
  <c r="AT623" i="1"/>
  <c r="AS623" i="1"/>
  <c r="AR623" i="1"/>
  <c r="AQ623" i="1"/>
  <c r="AP623" i="1"/>
  <c r="AO623" i="1"/>
  <c r="AT621" i="1"/>
  <c r="AS621" i="1"/>
  <c r="AR621" i="1"/>
  <c r="AQ621" i="1"/>
  <c r="AP621" i="1"/>
  <c r="AO621" i="1"/>
  <c r="AT619" i="1"/>
  <c r="AS619" i="1"/>
  <c r="AR619" i="1"/>
  <c r="AQ619" i="1"/>
  <c r="AP619" i="1"/>
  <c r="AO619" i="1"/>
  <c r="AT617" i="1"/>
  <c r="AS617" i="1"/>
  <c r="AR617" i="1"/>
  <c r="AQ617" i="1"/>
  <c r="AP617" i="1"/>
  <c r="AO617" i="1"/>
  <c r="AT616" i="1"/>
  <c r="AS616" i="1"/>
  <c r="AR616" i="1"/>
  <c r="AQ616" i="1"/>
  <c r="AP616" i="1"/>
  <c r="AO616" i="1"/>
  <c r="AT615" i="1"/>
  <c r="AS615" i="1"/>
  <c r="AR615" i="1"/>
  <c r="AQ615" i="1"/>
  <c r="AP615" i="1"/>
  <c r="AO615" i="1"/>
  <c r="AT614" i="1"/>
  <c r="AS614" i="1"/>
  <c r="AR614" i="1"/>
  <c r="AQ614" i="1"/>
  <c r="AP614" i="1"/>
  <c r="AO614" i="1"/>
  <c r="AT613" i="1"/>
  <c r="AS613" i="1"/>
  <c r="AR613" i="1"/>
  <c r="AQ613" i="1"/>
  <c r="AP613" i="1"/>
  <c r="AO613" i="1"/>
  <c r="AT612" i="1"/>
  <c r="AS612" i="1"/>
  <c r="AR612" i="1"/>
  <c r="AQ612" i="1"/>
  <c r="AP612" i="1"/>
  <c r="AO612" i="1"/>
  <c r="AT611" i="1"/>
  <c r="AS611" i="1"/>
  <c r="AR611" i="1"/>
  <c r="AQ611" i="1"/>
  <c r="AP611" i="1"/>
  <c r="AO611" i="1"/>
  <c r="AT610" i="1"/>
  <c r="AS610" i="1"/>
  <c r="AR610" i="1"/>
  <c r="AQ610" i="1"/>
  <c r="AP610" i="1"/>
  <c r="AO610" i="1"/>
  <c r="AT608" i="1"/>
  <c r="AS608" i="1"/>
  <c r="AR608" i="1"/>
  <c r="AQ608" i="1"/>
  <c r="AP608" i="1"/>
  <c r="AO608" i="1"/>
  <c r="AT606" i="1"/>
  <c r="AS606" i="1"/>
  <c r="AR606" i="1"/>
  <c r="AQ606" i="1"/>
  <c r="AP606" i="1"/>
  <c r="AO606" i="1"/>
  <c r="AT604" i="1"/>
  <c r="AS604" i="1"/>
  <c r="AR604" i="1"/>
  <c r="AQ604" i="1"/>
  <c r="AP604" i="1"/>
  <c r="AO604" i="1"/>
  <c r="AT603" i="1"/>
  <c r="AS603" i="1"/>
  <c r="AR603" i="1"/>
  <c r="AQ603" i="1"/>
  <c r="AP603" i="1"/>
  <c r="AO603" i="1"/>
  <c r="AT602" i="1"/>
  <c r="AS602" i="1"/>
  <c r="AR602" i="1"/>
  <c r="AQ602" i="1"/>
  <c r="AP602" i="1"/>
  <c r="AO602" i="1"/>
  <c r="AT601" i="1"/>
  <c r="AS601" i="1"/>
  <c r="AR601" i="1"/>
  <c r="AQ601" i="1"/>
  <c r="AP601" i="1"/>
  <c r="AO601" i="1"/>
  <c r="AT600" i="1"/>
  <c r="AS600" i="1"/>
  <c r="AR600" i="1"/>
  <c r="AQ600" i="1"/>
  <c r="AP600" i="1"/>
  <c r="AO600" i="1"/>
  <c r="AT599" i="1"/>
  <c r="AS599" i="1"/>
  <c r="AR599" i="1"/>
  <c r="AQ599" i="1"/>
  <c r="AP599" i="1"/>
  <c r="AO599" i="1"/>
  <c r="AT598" i="1"/>
  <c r="AS598" i="1"/>
  <c r="AR598" i="1"/>
  <c r="AQ598" i="1"/>
  <c r="AP598" i="1"/>
  <c r="AO598" i="1"/>
  <c r="AT597" i="1"/>
  <c r="AS597" i="1"/>
  <c r="AR597" i="1"/>
  <c r="AQ597" i="1"/>
  <c r="AP597" i="1"/>
  <c r="AO597" i="1"/>
  <c r="AT595" i="1"/>
  <c r="AS595" i="1"/>
  <c r="AR595" i="1"/>
  <c r="AQ595" i="1"/>
  <c r="AP595" i="1"/>
  <c r="AO595" i="1"/>
  <c r="AT593" i="1"/>
  <c r="AS593" i="1"/>
  <c r="AR593" i="1"/>
  <c r="AQ593" i="1"/>
  <c r="AP593" i="1"/>
  <c r="AO593" i="1"/>
  <c r="AT592" i="1"/>
  <c r="AS592" i="1"/>
  <c r="AR592" i="1"/>
  <c r="AQ592" i="1"/>
  <c r="AP592" i="1"/>
  <c r="AO592" i="1"/>
  <c r="AT591" i="1"/>
  <c r="AS591" i="1"/>
  <c r="AR591" i="1"/>
  <c r="AQ591" i="1"/>
  <c r="AP591" i="1"/>
  <c r="AO591" i="1"/>
  <c r="AT590" i="1"/>
  <c r="AS590" i="1"/>
  <c r="AR590" i="1"/>
  <c r="AQ590" i="1"/>
  <c r="AP590" i="1"/>
  <c r="AO590" i="1"/>
  <c r="AT589" i="1"/>
  <c r="AS589" i="1"/>
  <c r="AR589" i="1"/>
  <c r="AQ589" i="1"/>
  <c r="AP589" i="1"/>
  <c r="AO589" i="1"/>
  <c r="AT588" i="1"/>
  <c r="AS588" i="1"/>
  <c r="AR588" i="1"/>
  <c r="AQ588" i="1"/>
  <c r="AP588" i="1"/>
  <c r="AO588" i="1"/>
  <c r="AT587" i="1"/>
  <c r="AS587" i="1"/>
  <c r="AR587" i="1"/>
  <c r="AQ587" i="1"/>
  <c r="AP587" i="1"/>
  <c r="AO587" i="1"/>
  <c r="AT586" i="1"/>
  <c r="AS586" i="1"/>
  <c r="AR586" i="1"/>
  <c r="AQ586" i="1"/>
  <c r="AP586" i="1"/>
  <c r="AO586" i="1"/>
  <c r="AT584" i="1"/>
  <c r="AS584" i="1"/>
  <c r="AR584" i="1"/>
  <c r="AQ584" i="1"/>
  <c r="AP584" i="1"/>
  <c r="AO584" i="1"/>
  <c r="AT582" i="1"/>
  <c r="AS582" i="1"/>
  <c r="AR582" i="1"/>
  <c r="AQ582" i="1"/>
  <c r="AP582" i="1"/>
  <c r="AO582" i="1"/>
  <c r="AT581" i="1"/>
  <c r="AS581" i="1"/>
  <c r="AR581" i="1"/>
  <c r="AQ581" i="1"/>
  <c r="AP581" i="1"/>
  <c r="AO581" i="1"/>
  <c r="AT580" i="1"/>
  <c r="AS580" i="1"/>
  <c r="AR580" i="1"/>
  <c r="AQ580" i="1"/>
  <c r="AP580" i="1"/>
  <c r="AO580" i="1"/>
  <c r="AT579" i="1"/>
  <c r="AS579" i="1"/>
  <c r="AR579" i="1"/>
  <c r="AQ579" i="1"/>
  <c r="AP579" i="1"/>
  <c r="AO579" i="1"/>
  <c r="AT578" i="1"/>
  <c r="AS578" i="1"/>
  <c r="AR578" i="1"/>
  <c r="AQ578" i="1"/>
  <c r="AP578" i="1"/>
  <c r="AO578" i="1"/>
  <c r="AT577" i="1"/>
  <c r="AS577" i="1"/>
  <c r="AR577" i="1"/>
  <c r="AQ577" i="1"/>
  <c r="AP577" i="1"/>
  <c r="AO577" i="1"/>
  <c r="AT576" i="1"/>
  <c r="AS576" i="1"/>
  <c r="AR576" i="1"/>
  <c r="AQ576" i="1"/>
  <c r="AP576" i="1"/>
  <c r="AO576" i="1"/>
  <c r="AT575" i="1"/>
  <c r="AS575" i="1"/>
  <c r="AR575" i="1"/>
  <c r="AQ575" i="1"/>
  <c r="AP575" i="1"/>
  <c r="AO575" i="1"/>
  <c r="AT574" i="1"/>
  <c r="AS574" i="1"/>
  <c r="AR574" i="1"/>
  <c r="AQ574" i="1"/>
  <c r="AP574" i="1"/>
  <c r="AO574" i="1"/>
  <c r="AT573" i="1"/>
  <c r="AS573" i="1"/>
  <c r="AR573" i="1"/>
  <c r="AQ573" i="1"/>
  <c r="AP573" i="1"/>
  <c r="AO573" i="1"/>
  <c r="AT571" i="1"/>
  <c r="AS571" i="1"/>
  <c r="AR571" i="1"/>
  <c r="AQ571" i="1"/>
  <c r="AP571" i="1"/>
  <c r="AO571" i="1"/>
  <c r="AT568" i="1"/>
  <c r="AS568" i="1"/>
  <c r="AR568" i="1"/>
  <c r="AQ568" i="1"/>
  <c r="AP568" i="1"/>
  <c r="AO568" i="1"/>
  <c r="AT567" i="1"/>
  <c r="AS567" i="1"/>
  <c r="AR567" i="1"/>
  <c r="AQ567" i="1"/>
  <c r="AP567" i="1"/>
  <c r="AO567" i="1"/>
  <c r="AT566" i="1"/>
  <c r="AS566" i="1"/>
  <c r="AR566" i="1"/>
  <c r="AQ566" i="1"/>
  <c r="AP566" i="1"/>
  <c r="AO566" i="1"/>
  <c r="AT565" i="1"/>
  <c r="AS565" i="1"/>
  <c r="AR565" i="1"/>
  <c r="AQ565" i="1"/>
  <c r="AP565" i="1"/>
  <c r="AO565" i="1"/>
  <c r="AT564" i="1"/>
  <c r="AS564" i="1"/>
  <c r="AR564" i="1"/>
  <c r="AQ564" i="1"/>
  <c r="AP564" i="1"/>
  <c r="AO564" i="1"/>
  <c r="AT563" i="1"/>
  <c r="AS563" i="1"/>
  <c r="AR563" i="1"/>
  <c r="AQ563" i="1"/>
  <c r="AP563" i="1"/>
  <c r="AO563" i="1"/>
  <c r="AT562" i="1"/>
  <c r="AS562" i="1"/>
  <c r="AR562" i="1"/>
  <c r="AQ562" i="1"/>
  <c r="AP562" i="1"/>
  <c r="AO562" i="1"/>
  <c r="AT561" i="1"/>
  <c r="AS561" i="1"/>
  <c r="AR561" i="1"/>
  <c r="AQ561" i="1"/>
  <c r="AP561" i="1"/>
  <c r="AO561" i="1"/>
  <c r="AT560" i="1"/>
  <c r="AS560" i="1"/>
  <c r="AR560" i="1"/>
  <c r="AQ560" i="1"/>
  <c r="AP560" i="1"/>
  <c r="AO560" i="1"/>
  <c r="AT559" i="1"/>
  <c r="AS559" i="1"/>
  <c r="AR559" i="1"/>
  <c r="AQ559" i="1"/>
  <c r="AP559" i="1"/>
  <c r="AO559" i="1"/>
  <c r="AT558" i="1"/>
  <c r="AS558" i="1"/>
  <c r="AR558" i="1"/>
  <c r="AQ558" i="1"/>
  <c r="AP558" i="1"/>
  <c r="AO558" i="1"/>
  <c r="AT557" i="1"/>
  <c r="AS557" i="1"/>
  <c r="AR557" i="1"/>
  <c r="AQ557" i="1"/>
  <c r="AP557" i="1"/>
  <c r="AO557" i="1"/>
  <c r="AT556" i="1"/>
  <c r="AS556" i="1"/>
  <c r="AR556" i="1"/>
  <c r="AQ556" i="1"/>
  <c r="AP556" i="1"/>
  <c r="AO556" i="1"/>
  <c r="AT555" i="1"/>
  <c r="AS555" i="1"/>
  <c r="AR555" i="1"/>
  <c r="AQ555" i="1"/>
  <c r="AP555" i="1"/>
  <c r="AO555" i="1"/>
  <c r="AT554" i="1"/>
  <c r="AS554" i="1"/>
  <c r="AR554" i="1"/>
  <c r="AQ554" i="1"/>
  <c r="AP554" i="1"/>
  <c r="AO554" i="1"/>
  <c r="AT553" i="1"/>
  <c r="AS553" i="1"/>
  <c r="AR553" i="1"/>
  <c r="AQ553" i="1"/>
  <c r="AP553" i="1"/>
  <c r="AO553" i="1"/>
  <c r="AT552" i="1"/>
  <c r="AS552" i="1"/>
  <c r="AR552" i="1"/>
  <c r="AQ552" i="1"/>
  <c r="AP552" i="1"/>
  <c r="AO552" i="1"/>
  <c r="AT551" i="1"/>
  <c r="AS551" i="1"/>
  <c r="AR551" i="1"/>
  <c r="AQ551" i="1"/>
  <c r="AP551" i="1"/>
  <c r="AO551" i="1"/>
  <c r="AT550" i="1"/>
  <c r="AS550" i="1"/>
  <c r="AR550" i="1"/>
  <c r="AQ550" i="1"/>
  <c r="AP550" i="1"/>
  <c r="AO550" i="1"/>
  <c r="AT549" i="1"/>
  <c r="AS549" i="1"/>
  <c r="AR549" i="1"/>
  <c r="AQ549" i="1"/>
  <c r="AP549" i="1"/>
  <c r="AO549" i="1"/>
  <c r="AT548" i="1"/>
  <c r="AS548" i="1"/>
  <c r="AR548" i="1"/>
  <c r="AQ548" i="1"/>
  <c r="AP548" i="1"/>
  <c r="AO548" i="1"/>
  <c r="AT547" i="1"/>
  <c r="AS547" i="1"/>
  <c r="AR547" i="1"/>
  <c r="AQ547" i="1"/>
  <c r="AP547" i="1"/>
  <c r="AO547" i="1"/>
  <c r="AT546" i="1"/>
  <c r="AS546" i="1"/>
  <c r="AR546" i="1"/>
  <c r="AQ546" i="1"/>
  <c r="AP546" i="1"/>
  <c r="AO546" i="1"/>
  <c r="AT545" i="1"/>
  <c r="AS545" i="1"/>
  <c r="AR545" i="1"/>
  <c r="AQ545" i="1"/>
  <c r="AP545" i="1"/>
  <c r="AO545" i="1"/>
  <c r="AT544" i="1"/>
  <c r="AS544" i="1"/>
  <c r="AR544" i="1"/>
  <c r="AQ544" i="1"/>
  <c r="AP544" i="1"/>
  <c r="AO544" i="1"/>
  <c r="AT543" i="1"/>
  <c r="AS543" i="1"/>
  <c r="AR543" i="1"/>
  <c r="AQ543" i="1"/>
  <c r="AP543" i="1"/>
  <c r="AO543" i="1"/>
  <c r="AT542" i="1"/>
  <c r="AS542" i="1"/>
  <c r="AR542" i="1"/>
  <c r="AQ542" i="1"/>
  <c r="AP542" i="1"/>
  <c r="AO542" i="1"/>
  <c r="AT541" i="1"/>
  <c r="AS541" i="1"/>
  <c r="AR541" i="1"/>
  <c r="AQ541" i="1"/>
  <c r="AP541" i="1"/>
  <c r="AO541" i="1"/>
  <c r="AT540" i="1"/>
  <c r="AS540" i="1"/>
  <c r="AR540" i="1"/>
  <c r="AQ540" i="1"/>
  <c r="AP540" i="1"/>
  <c r="AO540" i="1"/>
  <c r="AT539" i="1"/>
  <c r="AS539" i="1"/>
  <c r="AR539" i="1"/>
  <c r="AQ539" i="1"/>
  <c r="AP539" i="1"/>
  <c r="AO539" i="1"/>
  <c r="AT538" i="1"/>
  <c r="AS538" i="1"/>
  <c r="AR538" i="1"/>
  <c r="AQ538" i="1"/>
  <c r="AP538" i="1"/>
  <c r="AO538" i="1"/>
  <c r="AT537" i="1"/>
  <c r="AS537" i="1"/>
  <c r="AR537" i="1"/>
  <c r="AQ537" i="1"/>
  <c r="AP537" i="1"/>
  <c r="AO537" i="1"/>
  <c r="AT535" i="1"/>
  <c r="AS535" i="1"/>
  <c r="AR535" i="1"/>
  <c r="AQ535" i="1"/>
  <c r="AP535" i="1"/>
  <c r="AO535" i="1"/>
  <c r="AT532" i="1"/>
  <c r="AS532" i="1"/>
  <c r="AR532" i="1"/>
  <c r="AQ532" i="1"/>
  <c r="AP532" i="1"/>
  <c r="AO532" i="1"/>
  <c r="AT531" i="1"/>
  <c r="AS531" i="1"/>
  <c r="AR531" i="1"/>
  <c r="AQ531" i="1"/>
  <c r="AP531" i="1"/>
  <c r="AO531" i="1"/>
  <c r="AT530" i="1"/>
  <c r="AS530" i="1"/>
  <c r="AR530" i="1"/>
  <c r="AQ530" i="1"/>
  <c r="AP530" i="1"/>
  <c r="AO530" i="1"/>
  <c r="AT529" i="1"/>
  <c r="AS529" i="1"/>
  <c r="AR529" i="1"/>
  <c r="AQ529" i="1"/>
  <c r="AP529" i="1"/>
  <c r="AO529" i="1"/>
  <c r="AT528" i="1"/>
  <c r="AS528" i="1"/>
  <c r="AR528" i="1"/>
  <c r="AQ528" i="1"/>
  <c r="AP528" i="1"/>
  <c r="AO528" i="1"/>
  <c r="AT527" i="1"/>
  <c r="AS527" i="1"/>
  <c r="AR527" i="1"/>
  <c r="AQ527" i="1"/>
  <c r="AP527" i="1"/>
  <c r="AO527" i="1"/>
  <c r="AT526" i="1"/>
  <c r="AS526" i="1"/>
  <c r="AR526" i="1"/>
  <c r="AQ526" i="1"/>
  <c r="AP526" i="1"/>
  <c r="AO526" i="1"/>
  <c r="AT525" i="1"/>
  <c r="AS525" i="1"/>
  <c r="AR525" i="1"/>
  <c r="AQ525" i="1"/>
  <c r="AP525" i="1"/>
  <c r="AO525" i="1"/>
  <c r="AT524" i="1"/>
  <c r="AS524" i="1"/>
  <c r="AR524" i="1"/>
  <c r="AQ524" i="1"/>
  <c r="AP524" i="1"/>
  <c r="AO524" i="1"/>
  <c r="AT523" i="1"/>
  <c r="AS523" i="1"/>
  <c r="AR523" i="1"/>
  <c r="AQ523" i="1"/>
  <c r="AP523" i="1"/>
  <c r="AO523" i="1"/>
  <c r="AT522" i="1"/>
  <c r="AS522" i="1"/>
  <c r="AR522" i="1"/>
  <c r="AQ522" i="1"/>
  <c r="AP522" i="1"/>
  <c r="AO522" i="1"/>
  <c r="AT521" i="1"/>
  <c r="AS521" i="1"/>
  <c r="AR521" i="1"/>
  <c r="AQ521" i="1"/>
  <c r="AP521" i="1"/>
  <c r="AO521" i="1"/>
  <c r="AT520" i="1"/>
  <c r="AS520" i="1"/>
  <c r="AR520" i="1"/>
  <c r="AQ520" i="1"/>
  <c r="AP520" i="1"/>
  <c r="AO520" i="1"/>
  <c r="AT519" i="1"/>
  <c r="AS519" i="1"/>
  <c r="AR519" i="1"/>
  <c r="AQ519" i="1"/>
  <c r="AP519" i="1"/>
  <c r="AO519" i="1"/>
  <c r="AT518" i="1"/>
  <c r="AS518" i="1"/>
  <c r="AR518" i="1"/>
  <c r="AQ518" i="1"/>
  <c r="AP518" i="1"/>
  <c r="AO518" i="1"/>
  <c r="AT517" i="1"/>
  <c r="AS517" i="1"/>
  <c r="AR517" i="1"/>
  <c r="AQ517" i="1"/>
  <c r="AP517" i="1"/>
  <c r="AO517" i="1"/>
  <c r="AT516" i="1"/>
  <c r="AS516" i="1"/>
  <c r="AR516" i="1"/>
  <c r="AQ516" i="1"/>
  <c r="AP516" i="1"/>
  <c r="AO516" i="1"/>
  <c r="AT515" i="1"/>
  <c r="AS515" i="1"/>
  <c r="AR515" i="1"/>
  <c r="AQ515" i="1"/>
  <c r="AP515" i="1"/>
  <c r="AO515" i="1"/>
  <c r="AT514" i="1"/>
  <c r="AS514" i="1"/>
  <c r="AR514" i="1"/>
  <c r="AQ514" i="1"/>
  <c r="AP514" i="1"/>
  <c r="AO514" i="1"/>
  <c r="AT513" i="1"/>
  <c r="AS513" i="1"/>
  <c r="AR513" i="1"/>
  <c r="AQ513" i="1"/>
  <c r="AP513" i="1"/>
  <c r="AO513" i="1"/>
  <c r="AT512" i="1"/>
  <c r="AS512" i="1"/>
  <c r="AR512" i="1"/>
  <c r="AQ512" i="1"/>
  <c r="AP512" i="1"/>
  <c r="AO512" i="1"/>
  <c r="AT511" i="1"/>
  <c r="AS511" i="1"/>
  <c r="AR511" i="1"/>
  <c r="AQ511" i="1"/>
  <c r="AP511" i="1"/>
  <c r="AO511" i="1"/>
  <c r="AT510" i="1"/>
  <c r="AS510" i="1"/>
  <c r="AR510" i="1"/>
  <c r="AQ510" i="1"/>
  <c r="AP510" i="1"/>
  <c r="AO510" i="1"/>
  <c r="AT509" i="1"/>
  <c r="AS509" i="1"/>
  <c r="AR509" i="1"/>
  <c r="AQ509" i="1"/>
  <c r="AP509" i="1"/>
  <c r="AO509" i="1"/>
  <c r="AT508" i="1"/>
  <c r="AS508" i="1"/>
  <c r="AR508" i="1"/>
  <c r="AQ508" i="1"/>
  <c r="AP508" i="1"/>
  <c r="AO508" i="1"/>
  <c r="AT507" i="1"/>
  <c r="AS507" i="1"/>
  <c r="AR507" i="1"/>
  <c r="AQ507" i="1"/>
  <c r="AP507" i="1"/>
  <c r="AO507" i="1"/>
  <c r="AT506" i="1"/>
  <c r="AS506" i="1"/>
  <c r="AR506" i="1"/>
  <c r="AQ506" i="1"/>
  <c r="AP506" i="1"/>
  <c r="AO506" i="1"/>
  <c r="AT505" i="1"/>
  <c r="AS505" i="1"/>
  <c r="AR505" i="1"/>
  <c r="AQ505" i="1"/>
  <c r="AP505" i="1"/>
  <c r="AO505" i="1"/>
  <c r="AT504" i="1"/>
  <c r="AS504" i="1"/>
  <c r="AR504" i="1"/>
  <c r="AQ504" i="1"/>
  <c r="AP504" i="1"/>
  <c r="AO504" i="1"/>
  <c r="AT503" i="1"/>
  <c r="AS503" i="1"/>
  <c r="AR503" i="1"/>
  <c r="AQ503" i="1"/>
  <c r="AP503" i="1"/>
  <c r="AO503" i="1"/>
  <c r="AT502" i="1"/>
  <c r="AS502" i="1"/>
  <c r="AR502" i="1"/>
  <c r="AQ502" i="1"/>
  <c r="AP502" i="1"/>
  <c r="AO502" i="1"/>
  <c r="AT501" i="1"/>
  <c r="AS501" i="1"/>
  <c r="AR501" i="1"/>
  <c r="AQ501" i="1"/>
  <c r="AP501" i="1"/>
  <c r="AO501" i="1"/>
  <c r="AT500" i="1"/>
  <c r="AS500" i="1"/>
  <c r="AR500" i="1"/>
  <c r="AQ500" i="1"/>
  <c r="AP500" i="1"/>
  <c r="AO500" i="1"/>
  <c r="AT499" i="1"/>
  <c r="AS499" i="1"/>
  <c r="AR499" i="1"/>
  <c r="AQ499" i="1"/>
  <c r="AP499" i="1"/>
  <c r="AO499" i="1"/>
  <c r="AT498" i="1"/>
  <c r="AS498" i="1"/>
  <c r="AR498" i="1"/>
  <c r="AQ498" i="1"/>
  <c r="AP498" i="1"/>
  <c r="AO498" i="1"/>
  <c r="AT497" i="1"/>
  <c r="AS497" i="1"/>
  <c r="AR497" i="1"/>
  <c r="AQ497" i="1"/>
  <c r="AP497" i="1"/>
  <c r="AO497" i="1"/>
  <c r="AT496" i="1"/>
  <c r="AS496" i="1"/>
  <c r="AR496" i="1"/>
  <c r="AQ496" i="1"/>
  <c r="AP496" i="1"/>
  <c r="AO496" i="1"/>
  <c r="AT495" i="1"/>
  <c r="AS495" i="1"/>
  <c r="AR495" i="1"/>
  <c r="AQ495" i="1"/>
  <c r="AP495" i="1"/>
  <c r="AO495" i="1"/>
  <c r="AT494" i="1"/>
  <c r="AS494" i="1"/>
  <c r="AR494" i="1"/>
  <c r="AQ494" i="1"/>
  <c r="AP494" i="1"/>
  <c r="AO494" i="1"/>
  <c r="AT493" i="1"/>
  <c r="AS493" i="1"/>
  <c r="AR493" i="1"/>
  <c r="AQ493" i="1"/>
  <c r="AP493" i="1"/>
  <c r="AO493" i="1"/>
  <c r="AT492" i="1"/>
  <c r="AS492" i="1"/>
  <c r="AR492" i="1"/>
  <c r="AQ492" i="1"/>
  <c r="AP492" i="1"/>
  <c r="AO492" i="1"/>
  <c r="AT491" i="1"/>
  <c r="AS491" i="1"/>
  <c r="AR491" i="1"/>
  <c r="AQ491" i="1"/>
  <c r="AP491" i="1"/>
  <c r="AO491" i="1"/>
  <c r="AT490" i="1"/>
  <c r="AS490" i="1"/>
  <c r="AR490" i="1"/>
  <c r="AQ490" i="1"/>
  <c r="AP490" i="1"/>
  <c r="AO490" i="1"/>
  <c r="AT489" i="1"/>
  <c r="AS489" i="1"/>
  <c r="AR489" i="1"/>
  <c r="AQ489" i="1"/>
  <c r="AP489" i="1"/>
  <c r="AO489" i="1"/>
  <c r="AT488" i="1"/>
  <c r="AS488" i="1"/>
  <c r="AR488" i="1"/>
  <c r="AQ488" i="1"/>
  <c r="AP488" i="1"/>
  <c r="AO488" i="1"/>
  <c r="AT487" i="1"/>
  <c r="AS487" i="1"/>
  <c r="AR487" i="1"/>
  <c r="AQ487" i="1"/>
  <c r="AP487" i="1"/>
  <c r="AO487" i="1"/>
  <c r="AT486" i="1"/>
  <c r="AS486" i="1"/>
  <c r="AR486" i="1"/>
  <c r="AQ486" i="1"/>
  <c r="AP486" i="1"/>
  <c r="AO486" i="1"/>
  <c r="AT485" i="1"/>
  <c r="AS485" i="1"/>
  <c r="AR485" i="1"/>
  <c r="AQ485" i="1"/>
  <c r="AP485" i="1"/>
  <c r="AO485" i="1"/>
  <c r="AT484" i="1"/>
  <c r="AS484" i="1"/>
  <c r="AR484" i="1"/>
  <c r="AQ484" i="1"/>
  <c r="AP484" i="1"/>
  <c r="AO484" i="1"/>
  <c r="AT483" i="1"/>
  <c r="AS483" i="1"/>
  <c r="AR483" i="1"/>
  <c r="AQ483" i="1"/>
  <c r="AP483" i="1"/>
  <c r="AO483" i="1"/>
  <c r="AT482" i="1"/>
  <c r="AS482" i="1"/>
  <c r="AR482" i="1"/>
  <c r="AQ482" i="1"/>
  <c r="AP482" i="1"/>
  <c r="AO482" i="1"/>
  <c r="AT481" i="1"/>
  <c r="AS481" i="1"/>
  <c r="AR481" i="1"/>
  <c r="AQ481" i="1"/>
  <c r="AP481" i="1"/>
  <c r="AO481" i="1"/>
  <c r="AT480" i="1"/>
  <c r="AS480" i="1"/>
  <c r="AR480" i="1"/>
  <c r="AQ480" i="1"/>
  <c r="AP480" i="1"/>
  <c r="AO480" i="1"/>
  <c r="AT479" i="1"/>
  <c r="AS479" i="1"/>
  <c r="AR479" i="1"/>
  <c r="AQ479" i="1"/>
  <c r="AP479" i="1"/>
  <c r="AO479" i="1"/>
  <c r="AT478" i="1"/>
  <c r="AS478" i="1"/>
  <c r="AR478" i="1"/>
  <c r="AQ478" i="1"/>
  <c r="AP478" i="1"/>
  <c r="AO478" i="1"/>
  <c r="AT477" i="1"/>
  <c r="AS477" i="1"/>
  <c r="AR477" i="1"/>
  <c r="AQ477" i="1"/>
  <c r="AP477" i="1"/>
  <c r="AO477" i="1"/>
  <c r="AT476" i="1"/>
  <c r="AS476" i="1"/>
  <c r="AR476" i="1"/>
  <c r="AQ476" i="1"/>
  <c r="AP476" i="1"/>
  <c r="AO476" i="1"/>
  <c r="AT475" i="1"/>
  <c r="AS475" i="1"/>
  <c r="AR475" i="1"/>
  <c r="AQ475" i="1"/>
  <c r="AP475" i="1"/>
  <c r="AO475" i="1"/>
  <c r="AT474" i="1"/>
  <c r="AS474" i="1"/>
  <c r="AR474" i="1"/>
  <c r="AQ474" i="1"/>
  <c r="AP474" i="1"/>
  <c r="AO474" i="1"/>
  <c r="AT473" i="1"/>
  <c r="AS473" i="1"/>
  <c r="AR473" i="1"/>
  <c r="AQ473" i="1"/>
  <c r="AP473" i="1"/>
  <c r="AO473" i="1"/>
  <c r="AT472" i="1"/>
  <c r="AS472" i="1"/>
  <c r="AR472" i="1"/>
  <c r="AQ472" i="1"/>
  <c r="AP472" i="1"/>
  <c r="AO472" i="1"/>
  <c r="AT471" i="1"/>
  <c r="AS471" i="1"/>
  <c r="AR471" i="1"/>
  <c r="AQ471" i="1"/>
  <c r="AP471" i="1"/>
  <c r="AO471" i="1"/>
  <c r="AT470" i="1"/>
  <c r="AS470" i="1"/>
  <c r="AR470" i="1"/>
  <c r="AQ470" i="1"/>
  <c r="AP470" i="1"/>
  <c r="AO470" i="1"/>
  <c r="AT469" i="1"/>
  <c r="AS469" i="1"/>
  <c r="AR469" i="1"/>
  <c r="AQ469" i="1"/>
  <c r="AP469" i="1"/>
  <c r="AO469" i="1"/>
  <c r="AT468" i="1"/>
  <c r="AS468" i="1"/>
  <c r="AR468" i="1"/>
  <c r="AQ468" i="1"/>
  <c r="AP468" i="1"/>
  <c r="AO468" i="1"/>
  <c r="AT467" i="1"/>
  <c r="AS467" i="1"/>
  <c r="AR467" i="1"/>
  <c r="AQ467" i="1"/>
  <c r="AP467" i="1"/>
  <c r="AO467" i="1"/>
  <c r="AT466" i="1"/>
  <c r="AS466" i="1"/>
  <c r="AR466" i="1"/>
  <c r="AQ466" i="1"/>
  <c r="AP466" i="1"/>
  <c r="AO466" i="1"/>
  <c r="AT465" i="1"/>
  <c r="AS465" i="1"/>
  <c r="AR465" i="1"/>
  <c r="AQ465" i="1"/>
  <c r="AP465" i="1"/>
  <c r="AO465" i="1"/>
  <c r="AT464" i="1"/>
  <c r="AS464" i="1"/>
  <c r="AR464" i="1"/>
  <c r="AQ464" i="1"/>
  <c r="AP464" i="1"/>
  <c r="AO464" i="1"/>
  <c r="AT463" i="1"/>
  <c r="AS463" i="1"/>
  <c r="AR463" i="1"/>
  <c r="AQ463" i="1"/>
  <c r="AP463" i="1"/>
  <c r="AO463" i="1"/>
  <c r="AT461" i="1"/>
  <c r="AS461" i="1"/>
  <c r="AR461" i="1"/>
  <c r="AQ461" i="1"/>
  <c r="AP461" i="1"/>
  <c r="AO461" i="1"/>
  <c r="AT458" i="1"/>
  <c r="AS458" i="1"/>
  <c r="AR458" i="1"/>
  <c r="AQ458" i="1"/>
  <c r="AP458" i="1"/>
  <c r="AO458" i="1"/>
  <c r="AT456" i="1"/>
  <c r="AS456" i="1"/>
  <c r="AR456" i="1"/>
  <c r="AQ456" i="1"/>
  <c r="AP456" i="1"/>
  <c r="AO456" i="1"/>
  <c r="AT454" i="1"/>
  <c r="AS454" i="1"/>
  <c r="AR454" i="1"/>
  <c r="AQ454" i="1"/>
  <c r="AP454" i="1"/>
  <c r="AO454" i="1"/>
  <c r="AT453" i="1"/>
  <c r="AS453" i="1"/>
  <c r="AR453" i="1"/>
  <c r="AQ453" i="1"/>
  <c r="AP453" i="1"/>
  <c r="AO453" i="1"/>
  <c r="AT452" i="1"/>
  <c r="AS452" i="1"/>
  <c r="AR452" i="1"/>
  <c r="AQ452" i="1"/>
  <c r="AP452" i="1"/>
  <c r="AO452" i="1"/>
  <c r="AT450" i="1"/>
  <c r="AS450" i="1"/>
  <c r="AR450" i="1"/>
  <c r="AQ450" i="1"/>
  <c r="AP450" i="1"/>
  <c r="AO450" i="1"/>
  <c r="AT448" i="1"/>
  <c r="AS448" i="1"/>
  <c r="AR448" i="1"/>
  <c r="AQ448" i="1"/>
  <c r="AP448" i="1"/>
  <c r="AO448" i="1"/>
  <c r="AT447" i="1"/>
  <c r="AS447" i="1"/>
  <c r="AR447" i="1"/>
  <c r="AQ447" i="1"/>
  <c r="AP447" i="1"/>
  <c r="AO447" i="1"/>
  <c r="AT446" i="1"/>
  <c r="AS446" i="1"/>
  <c r="AR446" i="1"/>
  <c r="AQ446" i="1"/>
  <c r="AP446" i="1"/>
  <c r="AO446" i="1"/>
  <c r="AT445" i="1"/>
  <c r="AS445" i="1"/>
  <c r="AR445" i="1"/>
  <c r="AQ445" i="1"/>
  <c r="AP445" i="1"/>
  <c r="AO445" i="1"/>
  <c r="AT443" i="1"/>
  <c r="AS443" i="1"/>
  <c r="AR443" i="1"/>
  <c r="AQ443" i="1"/>
  <c r="AP443" i="1"/>
  <c r="AO443" i="1"/>
  <c r="AT442" i="1"/>
  <c r="AS442" i="1"/>
  <c r="AR442" i="1"/>
  <c r="AQ442" i="1"/>
  <c r="AP442" i="1"/>
  <c r="AO442" i="1"/>
  <c r="AT441" i="1"/>
  <c r="AS441" i="1"/>
  <c r="AR441" i="1"/>
  <c r="AQ441" i="1"/>
  <c r="AP441" i="1"/>
  <c r="AO441" i="1"/>
  <c r="AT440" i="1"/>
  <c r="AS440" i="1"/>
  <c r="AR440" i="1"/>
  <c r="AQ440" i="1"/>
  <c r="AP440" i="1"/>
  <c r="AO440" i="1"/>
  <c r="AT439" i="1"/>
  <c r="AS439" i="1"/>
  <c r="AR439" i="1"/>
  <c r="AQ439" i="1"/>
  <c r="AP439" i="1"/>
  <c r="AO439" i="1"/>
  <c r="AT438" i="1"/>
  <c r="AS438" i="1"/>
  <c r="AR438" i="1"/>
  <c r="AQ438" i="1"/>
  <c r="AP438" i="1"/>
  <c r="AO438" i="1"/>
  <c r="AT437" i="1"/>
  <c r="AS437" i="1"/>
  <c r="AR437" i="1"/>
  <c r="AQ437" i="1"/>
  <c r="AP437" i="1"/>
  <c r="AO437" i="1"/>
  <c r="AT436" i="1"/>
  <c r="AS436" i="1"/>
  <c r="AR436" i="1"/>
  <c r="AQ436" i="1"/>
  <c r="AP436" i="1"/>
  <c r="AO436" i="1"/>
  <c r="AT434" i="1"/>
  <c r="AS434" i="1"/>
  <c r="AR434" i="1"/>
  <c r="AQ434" i="1"/>
  <c r="AP434" i="1"/>
  <c r="AO434" i="1"/>
  <c r="AT433" i="1"/>
  <c r="AS433" i="1"/>
  <c r="AR433" i="1"/>
  <c r="AQ433" i="1"/>
  <c r="AP433" i="1"/>
  <c r="AO433" i="1"/>
  <c r="AT432" i="1"/>
  <c r="AS432" i="1"/>
  <c r="AR432" i="1"/>
  <c r="AQ432" i="1"/>
  <c r="AP432" i="1"/>
  <c r="AO432" i="1"/>
  <c r="AT431" i="1"/>
  <c r="AS431" i="1"/>
  <c r="AR431" i="1"/>
  <c r="AQ431" i="1"/>
  <c r="AP431" i="1"/>
  <c r="AO431" i="1"/>
  <c r="AT430" i="1"/>
  <c r="AS430" i="1"/>
  <c r="AR430" i="1"/>
  <c r="AQ430" i="1"/>
  <c r="AP430" i="1"/>
  <c r="AO430" i="1"/>
  <c r="AT428" i="1"/>
  <c r="AS428" i="1"/>
  <c r="AR428" i="1"/>
  <c r="AQ428" i="1"/>
  <c r="AP428" i="1"/>
  <c r="AO428" i="1"/>
  <c r="AT426" i="1"/>
  <c r="AS426" i="1"/>
  <c r="AR426" i="1"/>
  <c r="AQ426" i="1"/>
  <c r="AP426" i="1"/>
  <c r="AO426" i="1"/>
  <c r="AT424" i="1"/>
  <c r="AS424" i="1"/>
  <c r="AR424" i="1"/>
  <c r="AQ424" i="1"/>
  <c r="AP424" i="1"/>
  <c r="AO424" i="1"/>
  <c r="AT422" i="1"/>
  <c r="AS422" i="1"/>
  <c r="AR422" i="1"/>
  <c r="AQ422" i="1"/>
  <c r="AP422" i="1"/>
  <c r="AO422" i="1"/>
  <c r="AT421" i="1"/>
  <c r="AS421" i="1"/>
  <c r="AR421" i="1"/>
  <c r="AQ421" i="1"/>
  <c r="AP421" i="1"/>
  <c r="AO421" i="1"/>
  <c r="AT420" i="1"/>
  <c r="AS420" i="1"/>
  <c r="AR420" i="1"/>
  <c r="AQ420" i="1"/>
  <c r="AP420" i="1"/>
  <c r="AO420" i="1"/>
  <c r="AT418" i="1"/>
  <c r="AS418" i="1"/>
  <c r="AR418" i="1"/>
  <c r="AQ418" i="1"/>
  <c r="AP418" i="1"/>
  <c r="AO418" i="1"/>
  <c r="AT416" i="1"/>
  <c r="AS416" i="1"/>
  <c r="AR416" i="1"/>
  <c r="AQ416" i="1"/>
  <c r="AP416" i="1"/>
  <c r="AO416" i="1"/>
  <c r="AT415" i="1"/>
  <c r="AS415" i="1"/>
  <c r="AR415" i="1"/>
  <c r="AQ415" i="1"/>
  <c r="AP415" i="1"/>
  <c r="AO415" i="1"/>
  <c r="AT412" i="1"/>
  <c r="AS412" i="1"/>
  <c r="AR412" i="1"/>
  <c r="AQ412" i="1"/>
  <c r="AP412" i="1"/>
  <c r="AO412" i="1"/>
  <c r="AT410" i="1"/>
  <c r="AS410" i="1"/>
  <c r="AR410" i="1"/>
  <c r="AQ410" i="1"/>
  <c r="AP410" i="1"/>
  <c r="AO410" i="1"/>
  <c r="AT408" i="1"/>
  <c r="AS408" i="1"/>
  <c r="AR408" i="1"/>
  <c r="AQ408" i="1"/>
  <c r="AP408" i="1"/>
  <c r="AO408" i="1"/>
  <c r="AT407" i="1"/>
  <c r="AS407" i="1"/>
  <c r="AR407" i="1"/>
  <c r="AQ407" i="1"/>
  <c r="AP407" i="1"/>
  <c r="AO407" i="1"/>
  <c r="AT406" i="1"/>
  <c r="AS406" i="1"/>
  <c r="AR406" i="1"/>
  <c r="AQ406" i="1"/>
  <c r="AP406" i="1"/>
  <c r="AO406" i="1"/>
  <c r="AT405" i="1"/>
  <c r="AS405" i="1"/>
  <c r="AR405" i="1"/>
  <c r="AQ405" i="1"/>
  <c r="AP405" i="1"/>
  <c r="AO405" i="1"/>
  <c r="AT403" i="1"/>
  <c r="AS403" i="1"/>
  <c r="AR403" i="1"/>
  <c r="AQ403" i="1"/>
  <c r="AP403" i="1"/>
  <c r="AO403" i="1"/>
  <c r="AT401" i="1"/>
  <c r="AS401" i="1"/>
  <c r="AR401" i="1"/>
  <c r="AQ401" i="1"/>
  <c r="AP401" i="1"/>
  <c r="AO401" i="1"/>
  <c r="AT400" i="1"/>
  <c r="AS400" i="1"/>
  <c r="AR400" i="1"/>
  <c r="AQ400" i="1"/>
  <c r="AP400" i="1"/>
  <c r="AO400" i="1"/>
  <c r="AT398" i="1"/>
  <c r="AS398" i="1"/>
  <c r="AR398" i="1"/>
  <c r="AQ398" i="1"/>
  <c r="AP398" i="1"/>
  <c r="AO398" i="1"/>
  <c r="AT396" i="1"/>
  <c r="AS396" i="1"/>
  <c r="AR396" i="1"/>
  <c r="AQ396" i="1"/>
  <c r="AP396" i="1"/>
  <c r="AO396" i="1"/>
  <c r="AT395" i="1"/>
  <c r="AS395" i="1"/>
  <c r="AR395" i="1"/>
  <c r="AQ395" i="1"/>
  <c r="AP395" i="1"/>
  <c r="AO395" i="1"/>
  <c r="AT394" i="1"/>
  <c r="AS394" i="1"/>
  <c r="AR394" i="1"/>
  <c r="AQ394" i="1"/>
  <c r="AP394" i="1"/>
  <c r="AO394" i="1"/>
  <c r="AT393" i="1"/>
  <c r="AS393" i="1"/>
  <c r="AR393" i="1"/>
  <c r="AQ393" i="1"/>
  <c r="AP393" i="1"/>
  <c r="AO393" i="1"/>
  <c r="AT392" i="1"/>
  <c r="AS392" i="1"/>
  <c r="AR392" i="1"/>
  <c r="AQ392" i="1"/>
  <c r="AP392" i="1"/>
  <c r="AO392" i="1"/>
  <c r="AT390" i="1"/>
  <c r="AS390" i="1"/>
  <c r="AR390" i="1"/>
  <c r="AQ390" i="1"/>
  <c r="AP390" i="1"/>
  <c r="AO390" i="1"/>
  <c r="AT388" i="1"/>
  <c r="AS388" i="1"/>
  <c r="AR388" i="1"/>
  <c r="AQ388" i="1"/>
  <c r="AP388" i="1"/>
  <c r="AO388" i="1"/>
  <c r="AT386" i="1"/>
  <c r="AS386" i="1"/>
  <c r="AR386" i="1"/>
  <c r="AQ386" i="1"/>
  <c r="AP386" i="1"/>
  <c r="AO386" i="1"/>
  <c r="AT384" i="1"/>
  <c r="AS384" i="1"/>
  <c r="AR384" i="1"/>
  <c r="AQ384" i="1"/>
  <c r="AP384" i="1"/>
  <c r="AO384" i="1"/>
  <c r="AT383" i="1"/>
  <c r="AS383" i="1"/>
  <c r="AR383" i="1"/>
  <c r="AQ383" i="1"/>
  <c r="AP383" i="1"/>
  <c r="AO383" i="1"/>
  <c r="AT382" i="1"/>
  <c r="AS382" i="1"/>
  <c r="AR382" i="1"/>
  <c r="AQ382" i="1"/>
  <c r="AP382" i="1"/>
  <c r="AO382" i="1"/>
  <c r="AT381" i="1"/>
  <c r="AS381" i="1"/>
  <c r="AR381" i="1"/>
  <c r="AQ381" i="1"/>
  <c r="AP381" i="1"/>
  <c r="AO381" i="1"/>
  <c r="AT380" i="1"/>
  <c r="AS380" i="1"/>
  <c r="AR380" i="1"/>
  <c r="AQ380" i="1"/>
  <c r="AP380" i="1"/>
  <c r="AO380" i="1"/>
  <c r="AT379" i="1"/>
  <c r="AS379" i="1"/>
  <c r="AR379" i="1"/>
  <c r="AQ379" i="1"/>
  <c r="AP379" i="1"/>
  <c r="AO379" i="1"/>
  <c r="AT378" i="1"/>
  <c r="AS378" i="1"/>
  <c r="AR378" i="1"/>
  <c r="AQ378" i="1"/>
  <c r="AP378" i="1"/>
  <c r="AO378" i="1"/>
  <c r="AT377" i="1"/>
  <c r="AS377" i="1"/>
  <c r="AR377" i="1"/>
  <c r="AQ377" i="1"/>
  <c r="AP377" i="1"/>
  <c r="AO377" i="1"/>
  <c r="AT376" i="1"/>
  <c r="AS376" i="1"/>
  <c r="AR376" i="1"/>
  <c r="AQ376" i="1"/>
  <c r="AP376" i="1"/>
  <c r="AO376" i="1"/>
  <c r="AT375" i="1"/>
  <c r="AS375" i="1"/>
  <c r="AR375" i="1"/>
  <c r="AQ375" i="1"/>
  <c r="AP375" i="1"/>
  <c r="AO375" i="1"/>
  <c r="AT374" i="1"/>
  <c r="AS374" i="1"/>
  <c r="AR374" i="1"/>
  <c r="AQ374" i="1"/>
  <c r="AP374" i="1"/>
  <c r="AO374" i="1"/>
  <c r="AT373" i="1"/>
  <c r="AS373" i="1"/>
  <c r="AR373" i="1"/>
  <c r="AQ373" i="1"/>
  <c r="AP373" i="1"/>
  <c r="AO373" i="1"/>
  <c r="AT372" i="1"/>
  <c r="AS372" i="1"/>
  <c r="AR372" i="1"/>
  <c r="AQ372" i="1"/>
  <c r="AP372" i="1"/>
  <c r="AO372" i="1"/>
  <c r="AT371" i="1"/>
  <c r="AS371" i="1"/>
  <c r="AR371" i="1"/>
  <c r="AQ371" i="1"/>
  <c r="AP371" i="1"/>
  <c r="AO371" i="1"/>
  <c r="AT370" i="1"/>
  <c r="AS370" i="1"/>
  <c r="AR370" i="1"/>
  <c r="AQ370" i="1"/>
  <c r="AP370" i="1"/>
  <c r="AO370" i="1"/>
  <c r="AT369" i="1"/>
  <c r="AS369" i="1"/>
  <c r="AR369" i="1"/>
  <c r="AQ369" i="1"/>
  <c r="AP369" i="1"/>
  <c r="AO369" i="1"/>
  <c r="AT368" i="1"/>
  <c r="AS368" i="1"/>
  <c r="AR368" i="1"/>
  <c r="AQ368" i="1"/>
  <c r="AP368" i="1"/>
  <c r="AO368" i="1"/>
  <c r="AT367" i="1"/>
  <c r="AS367" i="1"/>
  <c r="AR367" i="1"/>
  <c r="AQ367" i="1"/>
  <c r="AP367" i="1"/>
  <c r="AO367" i="1"/>
  <c r="AT366" i="1"/>
  <c r="AS366" i="1"/>
  <c r="AR366" i="1"/>
  <c r="AQ366" i="1"/>
  <c r="AP366" i="1"/>
  <c r="AO366" i="1"/>
  <c r="AT365" i="1"/>
  <c r="AS365" i="1"/>
  <c r="AR365" i="1"/>
  <c r="AQ365" i="1"/>
  <c r="AP365" i="1"/>
  <c r="AO365" i="1"/>
  <c r="AT363" i="1"/>
  <c r="AS363" i="1"/>
  <c r="AR363" i="1"/>
  <c r="AQ363" i="1"/>
  <c r="AP363" i="1"/>
  <c r="AO363" i="1"/>
  <c r="AT361" i="1"/>
  <c r="AS361" i="1"/>
  <c r="AR361" i="1"/>
  <c r="AQ361" i="1"/>
  <c r="AP361" i="1"/>
  <c r="AO361" i="1"/>
  <c r="AT360" i="1"/>
  <c r="AS360" i="1"/>
  <c r="AR360" i="1"/>
  <c r="AQ360" i="1"/>
  <c r="AP360" i="1"/>
  <c r="AO360" i="1"/>
  <c r="AT359" i="1"/>
  <c r="AS359" i="1"/>
  <c r="AR359" i="1"/>
  <c r="AQ359" i="1"/>
  <c r="AP359" i="1"/>
  <c r="AO359" i="1"/>
  <c r="AT358" i="1"/>
  <c r="AS358" i="1"/>
  <c r="AR358" i="1"/>
  <c r="AQ358" i="1"/>
  <c r="AP358" i="1"/>
  <c r="AO358" i="1"/>
  <c r="AT357" i="1"/>
  <c r="AS357" i="1"/>
  <c r="AR357" i="1"/>
  <c r="AQ357" i="1"/>
  <c r="AP357" i="1"/>
  <c r="AO357" i="1"/>
  <c r="AT355" i="1"/>
  <c r="AS355" i="1"/>
  <c r="AR355" i="1"/>
  <c r="AQ355" i="1"/>
  <c r="AP355" i="1"/>
  <c r="AO355" i="1"/>
  <c r="AT353" i="1"/>
  <c r="AS353" i="1"/>
  <c r="AR353" i="1"/>
  <c r="AQ353" i="1"/>
  <c r="AP353" i="1"/>
  <c r="AO353" i="1"/>
  <c r="AT352" i="1"/>
  <c r="AS352" i="1"/>
  <c r="AR352" i="1"/>
  <c r="AQ352" i="1"/>
  <c r="AP352" i="1"/>
  <c r="AO352" i="1"/>
  <c r="AT349" i="1"/>
  <c r="AS349" i="1"/>
  <c r="AR349" i="1"/>
  <c r="AQ349" i="1"/>
  <c r="AP349" i="1"/>
  <c r="AO349" i="1"/>
  <c r="AT347" i="1"/>
  <c r="AS347" i="1"/>
  <c r="AR347" i="1"/>
  <c r="AQ347" i="1"/>
  <c r="AP347" i="1"/>
  <c r="AO347" i="1"/>
  <c r="AT345" i="1"/>
  <c r="AS345" i="1"/>
  <c r="AR345" i="1"/>
  <c r="AQ345" i="1"/>
  <c r="AP345" i="1"/>
  <c r="AO345" i="1"/>
  <c r="AT344" i="1"/>
  <c r="AS344" i="1"/>
  <c r="AR344" i="1"/>
  <c r="AQ344" i="1"/>
  <c r="AP344" i="1"/>
  <c r="AO344" i="1"/>
  <c r="AT343" i="1"/>
  <c r="AS343" i="1"/>
  <c r="AR343" i="1"/>
  <c r="AQ343" i="1"/>
  <c r="AP343" i="1"/>
  <c r="AO343" i="1"/>
  <c r="AT342" i="1"/>
  <c r="AS342" i="1"/>
  <c r="AR342" i="1"/>
  <c r="AQ342" i="1"/>
  <c r="AP342" i="1"/>
  <c r="AO342" i="1"/>
  <c r="AT340" i="1"/>
  <c r="AS340" i="1"/>
  <c r="AR340" i="1"/>
  <c r="AQ340" i="1"/>
  <c r="AP340" i="1"/>
  <c r="AO340" i="1"/>
  <c r="AT338" i="1"/>
  <c r="AS338" i="1"/>
  <c r="AR338" i="1"/>
  <c r="AQ338" i="1"/>
  <c r="AP338" i="1"/>
  <c r="AO338" i="1"/>
  <c r="AT337" i="1"/>
  <c r="AS337" i="1"/>
  <c r="AR337" i="1"/>
  <c r="AQ337" i="1"/>
  <c r="AP337" i="1"/>
  <c r="AO337" i="1"/>
  <c r="AT336" i="1"/>
  <c r="AS336" i="1"/>
  <c r="AR336" i="1"/>
  <c r="AQ336" i="1"/>
  <c r="AP336" i="1"/>
  <c r="AO336" i="1"/>
  <c r="AT335" i="1"/>
  <c r="AS335" i="1"/>
  <c r="AR335" i="1"/>
  <c r="AQ335" i="1"/>
  <c r="AP335" i="1"/>
  <c r="AO335" i="1"/>
  <c r="AT334" i="1"/>
  <c r="AS334" i="1"/>
  <c r="AR334" i="1"/>
  <c r="AQ334" i="1"/>
  <c r="AP334" i="1"/>
  <c r="AO334" i="1"/>
  <c r="AT333" i="1"/>
  <c r="AS333" i="1"/>
  <c r="AR333" i="1"/>
  <c r="AQ333" i="1"/>
  <c r="AP333" i="1"/>
  <c r="AO333" i="1"/>
  <c r="AT332" i="1"/>
  <c r="AS332" i="1"/>
  <c r="AR332" i="1"/>
  <c r="AQ332" i="1"/>
  <c r="AP332" i="1"/>
  <c r="AO332" i="1"/>
  <c r="AT331" i="1"/>
  <c r="AS331" i="1"/>
  <c r="AR331" i="1"/>
  <c r="AQ331" i="1"/>
  <c r="AP331" i="1"/>
  <c r="AO331" i="1"/>
  <c r="AT330" i="1"/>
  <c r="AS330" i="1"/>
  <c r="AR330" i="1"/>
  <c r="AQ330" i="1"/>
  <c r="AP330" i="1"/>
  <c r="AO330" i="1"/>
  <c r="AT329" i="1"/>
  <c r="AS329" i="1"/>
  <c r="AR329" i="1"/>
  <c r="AQ329" i="1"/>
  <c r="AP329" i="1"/>
  <c r="AO329" i="1"/>
  <c r="AT328" i="1"/>
  <c r="AS328" i="1"/>
  <c r="AR328" i="1"/>
  <c r="AQ328" i="1"/>
  <c r="AP328" i="1"/>
  <c r="AO328" i="1"/>
  <c r="AT326" i="1"/>
  <c r="AS326" i="1"/>
  <c r="AR326" i="1"/>
  <c r="AQ326" i="1"/>
  <c r="AP326" i="1"/>
  <c r="AO326" i="1"/>
  <c r="AT324" i="1"/>
  <c r="AS324" i="1"/>
  <c r="AR324" i="1"/>
  <c r="AQ324" i="1"/>
  <c r="AP324" i="1"/>
  <c r="AO324" i="1"/>
  <c r="AT322" i="1"/>
  <c r="AS322" i="1"/>
  <c r="AR322" i="1"/>
  <c r="AQ322" i="1"/>
  <c r="AP322" i="1"/>
  <c r="AO322" i="1"/>
  <c r="AT321" i="1"/>
  <c r="AS321" i="1"/>
  <c r="AR321" i="1"/>
  <c r="AQ321" i="1"/>
  <c r="AP321" i="1"/>
  <c r="AO321" i="1"/>
  <c r="AT320" i="1"/>
  <c r="AS320" i="1"/>
  <c r="AR320" i="1"/>
  <c r="AQ320" i="1"/>
  <c r="AP320" i="1"/>
  <c r="AO320" i="1"/>
  <c r="AT319" i="1"/>
  <c r="AS319" i="1"/>
  <c r="AR319" i="1"/>
  <c r="AQ319" i="1"/>
  <c r="AP319" i="1"/>
  <c r="AO319" i="1"/>
  <c r="AT317" i="1"/>
  <c r="AS317" i="1"/>
  <c r="AR317" i="1"/>
  <c r="AQ317" i="1"/>
  <c r="AP317" i="1"/>
  <c r="AO317" i="1"/>
  <c r="AT315" i="1"/>
  <c r="AS315" i="1"/>
  <c r="AR315" i="1"/>
  <c r="AQ315" i="1"/>
  <c r="AP315" i="1"/>
  <c r="AO315" i="1"/>
  <c r="AT314" i="1"/>
  <c r="AS314" i="1"/>
  <c r="AR314" i="1"/>
  <c r="AQ314" i="1"/>
  <c r="AP314" i="1"/>
  <c r="AO314" i="1"/>
  <c r="AT313" i="1"/>
  <c r="AS313" i="1"/>
  <c r="AR313" i="1"/>
  <c r="AQ313" i="1"/>
  <c r="AP313" i="1"/>
  <c r="AO313" i="1"/>
  <c r="AT311" i="1"/>
  <c r="AS311" i="1"/>
  <c r="AR311" i="1"/>
  <c r="AQ311" i="1"/>
  <c r="AP311" i="1"/>
  <c r="AO311" i="1"/>
  <c r="AT308" i="1"/>
  <c r="AS308" i="1"/>
  <c r="AR308" i="1"/>
  <c r="AQ308" i="1"/>
  <c r="AP308" i="1"/>
  <c r="AO308" i="1"/>
  <c r="AT307" i="1"/>
  <c r="AS307" i="1"/>
  <c r="AR307" i="1"/>
  <c r="AQ307" i="1"/>
  <c r="AP307" i="1"/>
  <c r="AO307" i="1"/>
  <c r="AT306" i="1"/>
  <c r="AS306" i="1"/>
  <c r="AR306" i="1"/>
  <c r="AQ306" i="1"/>
  <c r="AP306" i="1"/>
  <c r="AO306" i="1"/>
  <c r="AT305" i="1"/>
  <c r="AS305" i="1"/>
  <c r="AR305" i="1"/>
  <c r="AQ305" i="1"/>
  <c r="AP305" i="1"/>
  <c r="AO305" i="1"/>
  <c r="AT304" i="1"/>
  <c r="AS304" i="1"/>
  <c r="AR304" i="1"/>
  <c r="AQ304" i="1"/>
  <c r="AP304" i="1"/>
  <c r="AO304" i="1"/>
  <c r="AT302" i="1"/>
  <c r="AS302" i="1"/>
  <c r="AR302" i="1"/>
  <c r="AQ302" i="1"/>
  <c r="AP302" i="1"/>
  <c r="AO302" i="1"/>
  <c r="AT300" i="1"/>
  <c r="AS300" i="1"/>
  <c r="AR300" i="1"/>
  <c r="AQ300" i="1"/>
  <c r="AP300" i="1"/>
  <c r="AO300" i="1"/>
  <c r="AT299" i="1"/>
  <c r="AS299" i="1"/>
  <c r="AR299" i="1"/>
  <c r="AQ299" i="1"/>
  <c r="AP299" i="1"/>
  <c r="AO299" i="1"/>
  <c r="AT298" i="1"/>
  <c r="AS298" i="1"/>
  <c r="AR298" i="1"/>
  <c r="AQ298" i="1"/>
  <c r="AP298" i="1"/>
  <c r="AO298" i="1"/>
  <c r="AT296" i="1"/>
  <c r="AS296" i="1"/>
  <c r="AR296" i="1"/>
  <c r="AQ296" i="1"/>
  <c r="AP296" i="1"/>
  <c r="AO296" i="1"/>
  <c r="AT294" i="1"/>
  <c r="AS294" i="1"/>
  <c r="AR294" i="1"/>
  <c r="AQ294" i="1"/>
  <c r="AP294" i="1"/>
  <c r="AO294" i="1"/>
  <c r="AT292" i="1"/>
  <c r="AS292" i="1"/>
  <c r="AR292" i="1"/>
  <c r="AQ292" i="1"/>
  <c r="AP292" i="1"/>
  <c r="AO292" i="1"/>
  <c r="AT290" i="1"/>
  <c r="AS290" i="1"/>
  <c r="AR290" i="1"/>
  <c r="AQ290" i="1"/>
  <c r="AP290" i="1"/>
  <c r="AO290" i="1"/>
  <c r="AT289" i="1"/>
  <c r="AS289" i="1"/>
  <c r="AR289" i="1"/>
  <c r="AQ289" i="1"/>
  <c r="AP289" i="1"/>
  <c r="AO289" i="1"/>
  <c r="AT287" i="1"/>
  <c r="AS287" i="1"/>
  <c r="AR287" i="1"/>
  <c r="AQ287" i="1"/>
  <c r="AP287" i="1"/>
  <c r="AO287" i="1"/>
  <c r="AT285" i="1"/>
  <c r="AS285" i="1"/>
  <c r="AR285" i="1"/>
  <c r="AQ285" i="1"/>
  <c r="AP285" i="1"/>
  <c r="AO285" i="1"/>
  <c r="AT284" i="1"/>
  <c r="AS284" i="1"/>
  <c r="AR284" i="1"/>
  <c r="AQ284" i="1"/>
  <c r="AP284" i="1"/>
  <c r="AO284" i="1"/>
  <c r="AT283" i="1"/>
  <c r="AS283" i="1"/>
  <c r="AR283" i="1"/>
  <c r="AQ283" i="1"/>
  <c r="AP283" i="1"/>
  <c r="AO283" i="1"/>
  <c r="AT282" i="1"/>
  <c r="AS282" i="1"/>
  <c r="AR282" i="1"/>
  <c r="AQ282" i="1"/>
  <c r="AP282" i="1"/>
  <c r="AO282" i="1"/>
  <c r="AT281" i="1"/>
  <c r="AS281" i="1"/>
  <c r="AR281" i="1"/>
  <c r="AQ281" i="1"/>
  <c r="AP281" i="1"/>
  <c r="AO281" i="1"/>
  <c r="AT280" i="1"/>
  <c r="AS280" i="1"/>
  <c r="AR280" i="1"/>
  <c r="AQ280" i="1"/>
  <c r="AP280" i="1"/>
  <c r="AO280" i="1"/>
  <c r="AT279" i="1"/>
  <c r="AS279" i="1"/>
  <c r="AR279" i="1"/>
  <c r="AQ279" i="1"/>
  <c r="AP279" i="1"/>
  <c r="AO279" i="1"/>
  <c r="AT277" i="1"/>
  <c r="AS277" i="1"/>
  <c r="AR277" i="1"/>
  <c r="AQ277" i="1"/>
  <c r="AP277" i="1"/>
  <c r="AO277" i="1"/>
  <c r="AT275" i="1"/>
  <c r="AS275" i="1"/>
  <c r="AR275" i="1"/>
  <c r="AQ275" i="1"/>
  <c r="AP275" i="1"/>
  <c r="AO275" i="1"/>
  <c r="AT273" i="1"/>
  <c r="AS273" i="1"/>
  <c r="AR273" i="1"/>
  <c r="AQ273" i="1"/>
  <c r="AP273" i="1"/>
  <c r="AO273" i="1"/>
  <c r="AT271" i="1"/>
  <c r="AS271" i="1"/>
  <c r="AR271" i="1"/>
  <c r="AQ271" i="1"/>
  <c r="AP271" i="1"/>
  <c r="AO271" i="1"/>
  <c r="AT269" i="1"/>
  <c r="AS269" i="1"/>
  <c r="AR269" i="1"/>
  <c r="AQ269" i="1"/>
  <c r="AP269" i="1"/>
  <c r="AO269" i="1"/>
  <c r="AT268" i="1"/>
  <c r="AS268" i="1"/>
  <c r="AR268" i="1"/>
  <c r="AQ268" i="1"/>
  <c r="AP268" i="1"/>
  <c r="AO268" i="1"/>
  <c r="AT267" i="1"/>
  <c r="AS267" i="1"/>
  <c r="AR267" i="1"/>
  <c r="AQ267" i="1"/>
  <c r="AP267" i="1"/>
  <c r="AO267" i="1"/>
  <c r="AT266" i="1"/>
  <c r="AS266" i="1"/>
  <c r="AR266" i="1"/>
  <c r="AQ266" i="1"/>
  <c r="AP266" i="1"/>
  <c r="AO266" i="1"/>
  <c r="AT265" i="1"/>
  <c r="AS265" i="1"/>
  <c r="AR265" i="1"/>
  <c r="AQ265" i="1"/>
  <c r="AP265" i="1"/>
  <c r="AO265" i="1"/>
  <c r="AT264" i="1"/>
  <c r="AS264" i="1"/>
  <c r="AR264" i="1"/>
  <c r="AQ264" i="1"/>
  <c r="AP264" i="1"/>
  <c r="AO264" i="1"/>
  <c r="AT263" i="1"/>
  <c r="AS263" i="1"/>
  <c r="AR263" i="1"/>
  <c r="AQ263" i="1"/>
  <c r="AP263" i="1"/>
  <c r="AO263" i="1"/>
  <c r="AT262" i="1"/>
  <c r="AS262" i="1"/>
  <c r="AR262" i="1"/>
  <c r="AQ262" i="1"/>
  <c r="AP262" i="1"/>
  <c r="AO262" i="1"/>
  <c r="AT261" i="1"/>
  <c r="AS261" i="1"/>
  <c r="AR261" i="1"/>
  <c r="AQ261" i="1"/>
  <c r="AP261" i="1"/>
  <c r="AO261" i="1"/>
  <c r="AT260" i="1"/>
  <c r="AS260" i="1"/>
  <c r="AR260" i="1"/>
  <c r="AQ260" i="1"/>
  <c r="AP260" i="1"/>
  <c r="AO260" i="1"/>
  <c r="AT258" i="1"/>
  <c r="AS258" i="1"/>
  <c r="AR258" i="1"/>
  <c r="AQ258" i="1"/>
  <c r="AP258" i="1"/>
  <c r="AO258" i="1"/>
  <c r="AT256" i="1"/>
  <c r="AS256" i="1"/>
  <c r="AR256" i="1"/>
  <c r="AQ256" i="1"/>
  <c r="AP256" i="1"/>
  <c r="AO256" i="1"/>
  <c r="AT255" i="1"/>
  <c r="AS255" i="1"/>
  <c r="AR255" i="1"/>
  <c r="AQ255" i="1"/>
  <c r="AP255" i="1"/>
  <c r="AO255" i="1"/>
  <c r="AT254" i="1"/>
  <c r="AS254" i="1"/>
  <c r="AR254" i="1"/>
  <c r="AQ254" i="1"/>
  <c r="AP254" i="1"/>
  <c r="AO254" i="1"/>
  <c r="AT253" i="1"/>
  <c r="AS253" i="1"/>
  <c r="AR253" i="1"/>
  <c r="AQ253" i="1"/>
  <c r="AP253" i="1"/>
  <c r="AO253" i="1"/>
  <c r="AT252" i="1"/>
  <c r="AS252" i="1"/>
  <c r="AR252" i="1"/>
  <c r="AQ252" i="1"/>
  <c r="AP252" i="1"/>
  <c r="AO252" i="1"/>
  <c r="AT251" i="1"/>
  <c r="AS251" i="1"/>
  <c r="AR251" i="1"/>
  <c r="AQ251" i="1"/>
  <c r="AP251" i="1"/>
  <c r="AO251" i="1"/>
  <c r="AT250" i="1"/>
  <c r="AS250" i="1"/>
  <c r="AR250" i="1"/>
  <c r="AQ250" i="1"/>
  <c r="AP250" i="1"/>
  <c r="AO250" i="1"/>
  <c r="AT249" i="1"/>
  <c r="AS249" i="1"/>
  <c r="AR249" i="1"/>
  <c r="AQ249" i="1"/>
  <c r="AP249" i="1"/>
  <c r="AO249" i="1"/>
  <c r="AT248" i="1"/>
  <c r="AS248" i="1"/>
  <c r="AR248" i="1"/>
  <c r="AQ248" i="1"/>
  <c r="AP248" i="1"/>
  <c r="AO248" i="1"/>
  <c r="AT247" i="1"/>
  <c r="AS247" i="1"/>
  <c r="AR247" i="1"/>
  <c r="AQ247" i="1"/>
  <c r="AP247" i="1"/>
  <c r="AO247" i="1"/>
  <c r="AT246" i="1"/>
  <c r="AS246" i="1"/>
  <c r="AR246" i="1"/>
  <c r="AQ246" i="1"/>
  <c r="AP246" i="1"/>
  <c r="AO246" i="1"/>
  <c r="AT245" i="1"/>
  <c r="AS245" i="1"/>
  <c r="AR245" i="1"/>
  <c r="AQ245" i="1"/>
  <c r="AP245" i="1"/>
  <c r="AO245" i="1"/>
  <c r="AT244" i="1"/>
  <c r="AS244" i="1"/>
  <c r="AR244" i="1"/>
  <c r="AQ244" i="1"/>
  <c r="AP244" i="1"/>
  <c r="AO244" i="1"/>
  <c r="AT242" i="1"/>
  <c r="AS242" i="1"/>
  <c r="AR242" i="1"/>
  <c r="AQ242" i="1"/>
  <c r="AP242" i="1"/>
  <c r="AO242" i="1"/>
  <c r="AT241" i="1"/>
  <c r="AS241" i="1"/>
  <c r="AR241" i="1"/>
  <c r="AQ241" i="1"/>
  <c r="AP241" i="1"/>
  <c r="AO241" i="1"/>
  <c r="AT240" i="1"/>
  <c r="AS240" i="1"/>
  <c r="AR240" i="1"/>
  <c r="AQ240" i="1"/>
  <c r="AP240" i="1"/>
  <c r="AO240" i="1"/>
  <c r="AT239" i="1"/>
  <c r="AS239" i="1"/>
  <c r="AR239" i="1"/>
  <c r="AQ239" i="1"/>
  <c r="AP239" i="1"/>
  <c r="AO239" i="1"/>
  <c r="AT238" i="1"/>
  <c r="AS238" i="1"/>
  <c r="AR238" i="1"/>
  <c r="AQ238" i="1"/>
  <c r="AP238" i="1"/>
  <c r="AO238" i="1"/>
  <c r="AT237" i="1"/>
  <c r="AS237" i="1"/>
  <c r="AR237" i="1"/>
  <c r="AQ237" i="1"/>
  <c r="AP237" i="1"/>
  <c r="AO237" i="1"/>
  <c r="AT236" i="1"/>
  <c r="AS236" i="1"/>
  <c r="AR236" i="1"/>
  <c r="AQ236" i="1"/>
  <c r="AP236" i="1"/>
  <c r="AO236" i="1"/>
  <c r="AT235" i="1"/>
  <c r="AS235" i="1"/>
  <c r="AR235" i="1"/>
  <c r="AQ235" i="1"/>
  <c r="AP235" i="1"/>
  <c r="AO235" i="1"/>
  <c r="AT234" i="1"/>
  <c r="AS234" i="1"/>
  <c r="AR234" i="1"/>
  <c r="AQ234" i="1"/>
  <c r="AP234" i="1"/>
  <c r="AO234" i="1"/>
  <c r="AT232" i="1"/>
  <c r="AS232" i="1"/>
  <c r="AR232" i="1"/>
  <c r="AQ232" i="1"/>
  <c r="AP232" i="1"/>
  <c r="AO232" i="1"/>
  <c r="AT231" i="1"/>
  <c r="AS231" i="1"/>
  <c r="AR231" i="1"/>
  <c r="AQ231" i="1"/>
  <c r="AP231" i="1"/>
  <c r="AO231" i="1"/>
  <c r="AT229" i="1"/>
  <c r="AS229" i="1"/>
  <c r="AR229" i="1"/>
  <c r="AQ229" i="1"/>
  <c r="AP229" i="1"/>
  <c r="AO229" i="1"/>
  <c r="AT228" i="1"/>
  <c r="AS228" i="1"/>
  <c r="AR228" i="1"/>
  <c r="AQ228" i="1"/>
  <c r="AP228" i="1"/>
  <c r="AO228" i="1"/>
  <c r="AT227" i="1"/>
  <c r="AS227" i="1"/>
  <c r="AR227" i="1"/>
  <c r="AQ227" i="1"/>
  <c r="AP227" i="1"/>
  <c r="AO227" i="1"/>
  <c r="AT225" i="1"/>
  <c r="AS225" i="1"/>
  <c r="AR225" i="1"/>
  <c r="AQ225" i="1"/>
  <c r="AP225" i="1"/>
  <c r="AO225" i="1"/>
  <c r="AT224" i="1"/>
  <c r="AS224" i="1"/>
  <c r="AR224" i="1"/>
  <c r="AQ224" i="1"/>
  <c r="AP224" i="1"/>
  <c r="AO224" i="1"/>
  <c r="AT222" i="1"/>
  <c r="AS222" i="1"/>
  <c r="AR222" i="1"/>
  <c r="AQ222" i="1"/>
  <c r="AP222" i="1"/>
  <c r="AO222" i="1"/>
  <c r="AT220" i="1"/>
  <c r="AS220" i="1"/>
  <c r="AR220" i="1"/>
  <c r="AQ220" i="1"/>
  <c r="AP220" i="1"/>
  <c r="AO220" i="1"/>
  <c r="AT219" i="1"/>
  <c r="AS219" i="1"/>
  <c r="AR219" i="1"/>
  <c r="AQ219" i="1"/>
  <c r="AP219" i="1"/>
  <c r="AO219" i="1"/>
  <c r="AT218" i="1"/>
  <c r="AS218" i="1"/>
  <c r="AR218" i="1"/>
  <c r="AQ218" i="1"/>
  <c r="AP218" i="1"/>
  <c r="AO218" i="1"/>
  <c r="AT217" i="1"/>
  <c r="AS217" i="1"/>
  <c r="AR217" i="1"/>
  <c r="AQ217" i="1"/>
  <c r="AP217" i="1"/>
  <c r="AO217" i="1"/>
  <c r="AT215" i="1"/>
  <c r="AS215" i="1"/>
  <c r="AR215" i="1"/>
  <c r="AQ215" i="1"/>
  <c r="AP215" i="1"/>
  <c r="AO215" i="1"/>
  <c r="AT213" i="1"/>
  <c r="AS213" i="1"/>
  <c r="AR213" i="1"/>
  <c r="AQ213" i="1"/>
  <c r="AP213" i="1"/>
  <c r="AO213" i="1"/>
  <c r="AT212" i="1"/>
  <c r="AS212" i="1"/>
  <c r="AR212" i="1"/>
  <c r="AQ212" i="1"/>
  <c r="AP212" i="1"/>
  <c r="AO212" i="1"/>
  <c r="AT211" i="1"/>
  <c r="AS211" i="1"/>
  <c r="AR211" i="1"/>
  <c r="AQ211" i="1"/>
  <c r="AP211" i="1"/>
  <c r="AO211" i="1"/>
  <c r="AT210" i="1"/>
  <c r="AS210" i="1"/>
  <c r="AR210" i="1"/>
  <c r="AQ210" i="1"/>
  <c r="AP210" i="1"/>
  <c r="AO210" i="1"/>
  <c r="AT209" i="1"/>
  <c r="AS209" i="1"/>
  <c r="AR209" i="1"/>
  <c r="AQ209" i="1"/>
  <c r="AP209" i="1"/>
  <c r="AO209" i="1"/>
  <c r="AT208" i="1"/>
  <c r="AS208" i="1"/>
  <c r="AR208" i="1"/>
  <c r="AQ208" i="1"/>
  <c r="AP208" i="1"/>
  <c r="AO208" i="1"/>
  <c r="AT206" i="1"/>
  <c r="AS206" i="1"/>
  <c r="AR206" i="1"/>
  <c r="AQ206" i="1"/>
  <c r="AP206" i="1"/>
  <c r="AO206" i="1"/>
  <c r="AT204" i="1"/>
  <c r="AS204" i="1"/>
  <c r="AR204" i="1"/>
  <c r="AQ204" i="1"/>
  <c r="AP204" i="1"/>
  <c r="AO204" i="1"/>
  <c r="AT203" i="1"/>
  <c r="AS203" i="1"/>
  <c r="AR203" i="1"/>
  <c r="AQ203" i="1"/>
  <c r="AP203" i="1"/>
  <c r="AO203" i="1"/>
  <c r="AT202" i="1"/>
  <c r="AS202" i="1"/>
  <c r="AR202" i="1"/>
  <c r="AQ202" i="1"/>
  <c r="AP202" i="1"/>
  <c r="AO202" i="1"/>
  <c r="AT201" i="1"/>
  <c r="AS201" i="1"/>
  <c r="AR201" i="1"/>
  <c r="AQ201" i="1"/>
  <c r="AP201" i="1"/>
  <c r="AO201" i="1"/>
  <c r="AT200" i="1"/>
  <c r="AS200" i="1"/>
  <c r="AR200" i="1"/>
  <c r="AQ200" i="1"/>
  <c r="AP200" i="1"/>
  <c r="AO200" i="1"/>
  <c r="AT199" i="1"/>
  <c r="AS199" i="1"/>
  <c r="AR199" i="1"/>
  <c r="AQ199" i="1"/>
  <c r="AP199" i="1"/>
  <c r="AO199" i="1"/>
  <c r="AT198" i="1"/>
  <c r="AS198" i="1"/>
  <c r="AR198" i="1"/>
  <c r="AQ198" i="1"/>
  <c r="AP198" i="1"/>
  <c r="AO198" i="1"/>
  <c r="AT197" i="1"/>
  <c r="AS197" i="1"/>
  <c r="AR197" i="1"/>
  <c r="AQ197" i="1"/>
  <c r="AP197" i="1"/>
  <c r="AO197" i="1"/>
  <c r="AT196" i="1"/>
  <c r="AS196" i="1"/>
  <c r="AR196" i="1"/>
  <c r="AQ196" i="1"/>
  <c r="AP196" i="1"/>
  <c r="AO196" i="1"/>
  <c r="AT195" i="1"/>
  <c r="AS195" i="1"/>
  <c r="AR195" i="1"/>
  <c r="AQ195" i="1"/>
  <c r="AP195" i="1"/>
  <c r="AO195" i="1"/>
  <c r="AT193" i="1"/>
  <c r="AS193" i="1"/>
  <c r="AR193" i="1"/>
  <c r="AQ193" i="1"/>
  <c r="AP193" i="1"/>
  <c r="AO193" i="1"/>
  <c r="AT191" i="1"/>
  <c r="AS191" i="1"/>
  <c r="AR191" i="1"/>
  <c r="AQ191" i="1"/>
  <c r="AP191" i="1"/>
  <c r="AO191" i="1"/>
  <c r="AT190" i="1"/>
  <c r="AS190" i="1"/>
  <c r="AR190" i="1"/>
  <c r="AQ190" i="1"/>
  <c r="AP190" i="1"/>
  <c r="AO190" i="1"/>
  <c r="AT188" i="1"/>
  <c r="AS188" i="1"/>
  <c r="AR188" i="1"/>
  <c r="AQ188" i="1"/>
  <c r="AP188" i="1"/>
  <c r="AO188" i="1"/>
  <c r="AT186" i="1"/>
  <c r="AS186" i="1"/>
  <c r="AR186" i="1"/>
  <c r="AQ186" i="1"/>
  <c r="AP186" i="1"/>
  <c r="AO186" i="1"/>
  <c r="AT184" i="1"/>
  <c r="AS184" i="1"/>
  <c r="AR184" i="1"/>
  <c r="AQ184" i="1"/>
  <c r="AP184" i="1"/>
  <c r="AO184" i="1"/>
  <c r="AT183" i="1"/>
  <c r="AS183" i="1"/>
  <c r="AR183" i="1"/>
  <c r="AQ183" i="1"/>
  <c r="AP183" i="1"/>
  <c r="AO183" i="1"/>
  <c r="AT181" i="1"/>
  <c r="AS181" i="1"/>
  <c r="AR181" i="1"/>
  <c r="AQ181" i="1"/>
  <c r="AP181" i="1"/>
  <c r="AO181" i="1"/>
  <c r="AT179" i="1"/>
  <c r="AS179" i="1"/>
  <c r="AR179" i="1"/>
  <c r="AQ179" i="1"/>
  <c r="AP179" i="1"/>
  <c r="AO179" i="1"/>
  <c r="AT178" i="1"/>
  <c r="AS178" i="1"/>
  <c r="AR178" i="1"/>
  <c r="AQ178" i="1"/>
  <c r="AP178" i="1"/>
  <c r="AO178" i="1"/>
  <c r="AT177" i="1"/>
  <c r="AS177" i="1"/>
  <c r="AR177" i="1"/>
  <c r="AQ177" i="1"/>
  <c r="AP177" i="1"/>
  <c r="AO177" i="1"/>
  <c r="AT176" i="1"/>
  <c r="AS176" i="1"/>
  <c r="AR176" i="1"/>
  <c r="AQ176" i="1"/>
  <c r="AP176" i="1"/>
  <c r="AO176" i="1"/>
  <c r="AT175" i="1"/>
  <c r="AS175" i="1"/>
  <c r="AR175" i="1"/>
  <c r="AQ175" i="1"/>
  <c r="AP175" i="1"/>
  <c r="AO175" i="1"/>
  <c r="AT174" i="1"/>
  <c r="AS174" i="1"/>
  <c r="AR174" i="1"/>
  <c r="AQ174" i="1"/>
  <c r="AP174" i="1"/>
  <c r="AO174" i="1"/>
  <c r="AT173" i="1"/>
  <c r="AS173" i="1"/>
  <c r="AR173" i="1"/>
  <c r="AQ173" i="1"/>
  <c r="AP173" i="1"/>
  <c r="AO173" i="1"/>
  <c r="AT172" i="1"/>
  <c r="AS172" i="1"/>
  <c r="AR172" i="1"/>
  <c r="AQ172" i="1"/>
  <c r="AP172" i="1"/>
  <c r="AO172" i="1"/>
  <c r="AT171" i="1"/>
  <c r="AS171" i="1"/>
  <c r="AR171" i="1"/>
  <c r="AQ171" i="1"/>
  <c r="AP171" i="1"/>
  <c r="AO171" i="1"/>
  <c r="AT170" i="1"/>
  <c r="AS170" i="1"/>
  <c r="AR170" i="1"/>
  <c r="AQ170" i="1"/>
  <c r="AP170" i="1"/>
  <c r="AO170" i="1"/>
  <c r="AT169" i="1"/>
  <c r="AS169" i="1"/>
  <c r="AR169" i="1"/>
  <c r="AQ169" i="1"/>
  <c r="AP169" i="1"/>
  <c r="AO169" i="1"/>
  <c r="AT168" i="1"/>
  <c r="AS168" i="1"/>
  <c r="AR168" i="1"/>
  <c r="AQ168" i="1"/>
  <c r="AP168" i="1"/>
  <c r="AO168" i="1"/>
  <c r="AT167" i="1"/>
  <c r="AS167" i="1"/>
  <c r="AR167" i="1"/>
  <c r="AQ167" i="1"/>
  <c r="AP167" i="1"/>
  <c r="AO167" i="1"/>
  <c r="AT166" i="1"/>
  <c r="AS166" i="1"/>
  <c r="AR166" i="1"/>
  <c r="AQ166" i="1"/>
  <c r="AP166" i="1"/>
  <c r="AO166" i="1"/>
  <c r="AT165" i="1"/>
  <c r="AS165" i="1"/>
  <c r="AR165" i="1"/>
  <c r="AQ165" i="1"/>
  <c r="AP165" i="1"/>
  <c r="AO165" i="1"/>
  <c r="AT164" i="1"/>
  <c r="AS164" i="1"/>
  <c r="AR164" i="1"/>
  <c r="AQ164" i="1"/>
  <c r="AP164" i="1"/>
  <c r="AO164" i="1"/>
  <c r="AT163" i="1"/>
  <c r="AS163" i="1"/>
  <c r="AR163" i="1"/>
  <c r="AQ163" i="1"/>
  <c r="AP163" i="1"/>
  <c r="AO163" i="1"/>
  <c r="AT162" i="1"/>
  <c r="AS162" i="1"/>
  <c r="AR162" i="1"/>
  <c r="AQ162" i="1"/>
  <c r="AP162" i="1"/>
  <c r="AO162" i="1"/>
  <c r="AT161" i="1"/>
  <c r="AS161" i="1"/>
  <c r="AR161" i="1"/>
  <c r="AQ161" i="1"/>
  <c r="AP161" i="1"/>
  <c r="AO161" i="1"/>
  <c r="AT160" i="1"/>
  <c r="AS160" i="1"/>
  <c r="AR160" i="1"/>
  <c r="AQ160" i="1"/>
  <c r="AP160" i="1"/>
  <c r="AO160" i="1"/>
  <c r="AT159" i="1"/>
  <c r="AS159" i="1"/>
  <c r="AR159" i="1"/>
  <c r="AQ159" i="1"/>
  <c r="AP159" i="1"/>
  <c r="AO159" i="1"/>
  <c r="AT158" i="1"/>
  <c r="AS158" i="1"/>
  <c r="AR158" i="1"/>
  <c r="AQ158" i="1"/>
  <c r="AP158" i="1"/>
  <c r="AO158" i="1"/>
  <c r="AT157" i="1"/>
  <c r="AS157" i="1"/>
  <c r="AR157" i="1"/>
  <c r="AQ157" i="1"/>
  <c r="AP157" i="1"/>
  <c r="AO157" i="1"/>
  <c r="AT156" i="1"/>
  <c r="AS156" i="1"/>
  <c r="AR156" i="1"/>
  <c r="AQ156" i="1"/>
  <c r="AP156" i="1"/>
  <c r="AO156" i="1"/>
  <c r="AT155" i="1"/>
  <c r="AS155" i="1"/>
  <c r="AR155" i="1"/>
  <c r="AQ155" i="1"/>
  <c r="AP155" i="1"/>
  <c r="AO155" i="1"/>
  <c r="AT153" i="1"/>
  <c r="AS153" i="1"/>
  <c r="AR153" i="1"/>
  <c r="AQ153" i="1"/>
  <c r="AP153" i="1"/>
  <c r="AO153" i="1"/>
  <c r="AT151" i="1"/>
  <c r="AS151" i="1"/>
  <c r="AR151" i="1"/>
  <c r="AQ151" i="1"/>
  <c r="AP151" i="1"/>
  <c r="AO151" i="1"/>
  <c r="AT150" i="1"/>
  <c r="AS150" i="1"/>
  <c r="AR150" i="1"/>
  <c r="AQ150" i="1"/>
  <c r="AP150" i="1"/>
  <c r="AO150" i="1"/>
  <c r="AT149" i="1"/>
  <c r="AS149" i="1"/>
  <c r="AR149" i="1"/>
  <c r="AQ149" i="1"/>
  <c r="AP149" i="1"/>
  <c r="AO149" i="1"/>
  <c r="AT148" i="1"/>
  <c r="AS148" i="1"/>
  <c r="AR148" i="1"/>
  <c r="AQ148" i="1"/>
  <c r="AP148" i="1"/>
  <c r="AO148" i="1"/>
  <c r="AT147" i="1"/>
  <c r="AS147" i="1"/>
  <c r="AR147" i="1"/>
  <c r="AQ147" i="1"/>
  <c r="AP147" i="1"/>
  <c r="AO147" i="1"/>
  <c r="AT146" i="1"/>
  <c r="AS146" i="1"/>
  <c r="AR146" i="1"/>
  <c r="AQ146" i="1"/>
  <c r="AP146" i="1"/>
  <c r="AO146" i="1"/>
  <c r="AT145" i="1"/>
  <c r="AS145" i="1"/>
  <c r="AR145" i="1"/>
  <c r="AQ145" i="1"/>
  <c r="AP145" i="1"/>
  <c r="AO145" i="1"/>
  <c r="AT144" i="1"/>
  <c r="AS144" i="1"/>
  <c r="AR144" i="1"/>
  <c r="AQ144" i="1"/>
  <c r="AP144" i="1"/>
  <c r="AO144" i="1"/>
  <c r="AT143" i="1"/>
  <c r="AS143" i="1"/>
  <c r="AR143" i="1"/>
  <c r="AQ143" i="1"/>
  <c r="AP143" i="1"/>
  <c r="AO143" i="1"/>
  <c r="AT142" i="1"/>
  <c r="AS142" i="1"/>
  <c r="AR142" i="1"/>
  <c r="AQ142" i="1"/>
  <c r="AP142" i="1"/>
  <c r="AO142" i="1"/>
  <c r="AT141" i="1"/>
  <c r="AS141" i="1"/>
  <c r="AR141" i="1"/>
  <c r="AQ141" i="1"/>
  <c r="AP141" i="1"/>
  <c r="AO141" i="1"/>
  <c r="AT140" i="1"/>
  <c r="AS140" i="1"/>
  <c r="AR140" i="1"/>
  <c r="AQ140" i="1"/>
  <c r="AP140" i="1"/>
  <c r="AO140" i="1"/>
  <c r="AT139" i="1"/>
  <c r="AS139" i="1"/>
  <c r="AR139" i="1"/>
  <c r="AQ139" i="1"/>
  <c r="AP139" i="1"/>
  <c r="AO139" i="1"/>
  <c r="AT138" i="1"/>
  <c r="AS138" i="1"/>
  <c r="AR138" i="1"/>
  <c r="AQ138" i="1"/>
  <c r="AP138" i="1"/>
  <c r="AO138" i="1"/>
  <c r="AT137" i="1"/>
  <c r="AS137" i="1"/>
  <c r="AR137" i="1"/>
  <c r="AQ137" i="1"/>
  <c r="AP137" i="1"/>
  <c r="AO137" i="1"/>
  <c r="AT136" i="1"/>
  <c r="AS136" i="1"/>
  <c r="AR136" i="1"/>
  <c r="AQ136" i="1"/>
  <c r="AP136" i="1"/>
  <c r="AO136" i="1"/>
  <c r="AT135" i="1"/>
  <c r="AS135" i="1"/>
  <c r="AR135" i="1"/>
  <c r="AQ135" i="1"/>
  <c r="AP135" i="1"/>
  <c r="AO135" i="1"/>
  <c r="AT134" i="1"/>
  <c r="AS134" i="1"/>
  <c r="AR134" i="1"/>
  <c r="AQ134" i="1"/>
  <c r="AP134" i="1"/>
  <c r="AO134" i="1"/>
  <c r="AT133" i="1"/>
  <c r="AS133" i="1"/>
  <c r="AR133" i="1"/>
  <c r="AQ133" i="1"/>
  <c r="AP133" i="1"/>
  <c r="AO133" i="1"/>
  <c r="AT132" i="1"/>
  <c r="AS132" i="1"/>
  <c r="AR132" i="1"/>
  <c r="AQ132" i="1"/>
  <c r="AP132" i="1"/>
  <c r="AO132" i="1"/>
  <c r="AT131" i="1"/>
  <c r="AS131" i="1"/>
  <c r="AR131" i="1"/>
  <c r="AQ131" i="1"/>
  <c r="AP131" i="1"/>
  <c r="AO131" i="1"/>
  <c r="AT130" i="1"/>
  <c r="AS130" i="1"/>
  <c r="AR130" i="1"/>
  <c r="AQ130" i="1"/>
  <c r="AP130" i="1"/>
  <c r="AO130" i="1"/>
  <c r="AT129" i="1"/>
  <c r="AS129" i="1"/>
  <c r="AR129" i="1"/>
  <c r="AQ129" i="1"/>
  <c r="AP129" i="1"/>
  <c r="AO129" i="1"/>
  <c r="AT128" i="1"/>
  <c r="AS128" i="1"/>
  <c r="AR128" i="1"/>
  <c r="AQ128" i="1"/>
  <c r="AP128" i="1"/>
  <c r="AO128" i="1"/>
  <c r="AT127" i="1"/>
  <c r="AS127" i="1"/>
  <c r="AR127" i="1"/>
  <c r="AQ127" i="1"/>
  <c r="AP127" i="1"/>
  <c r="AO127" i="1"/>
  <c r="AT126" i="1"/>
  <c r="AS126" i="1"/>
  <c r="AR126" i="1"/>
  <c r="AQ126" i="1"/>
  <c r="AP126" i="1"/>
  <c r="AO126" i="1"/>
  <c r="AT125" i="1"/>
  <c r="AS125" i="1"/>
  <c r="AR125" i="1"/>
  <c r="AQ125" i="1"/>
  <c r="AP125" i="1"/>
  <c r="AO125" i="1"/>
  <c r="AT124" i="1"/>
  <c r="AS124" i="1"/>
  <c r="AR124" i="1"/>
  <c r="AQ124" i="1"/>
  <c r="AP124" i="1"/>
  <c r="AO124" i="1"/>
  <c r="AT123" i="1"/>
  <c r="AS123" i="1"/>
  <c r="AR123" i="1"/>
  <c r="AQ123" i="1"/>
  <c r="AP123" i="1"/>
  <c r="AO123" i="1"/>
  <c r="AT122" i="1"/>
  <c r="AS122" i="1"/>
  <c r="AR122" i="1"/>
  <c r="AQ122" i="1"/>
  <c r="AP122" i="1"/>
  <c r="AO122" i="1"/>
  <c r="AT121" i="1"/>
  <c r="AS121" i="1"/>
  <c r="AR121" i="1"/>
  <c r="AQ121" i="1"/>
  <c r="AP121" i="1"/>
  <c r="AO121" i="1"/>
  <c r="AT120" i="1"/>
  <c r="AS120" i="1"/>
  <c r="AR120" i="1"/>
  <c r="AQ120" i="1"/>
  <c r="AP120" i="1"/>
  <c r="AO120" i="1"/>
  <c r="AT119" i="1"/>
  <c r="AS119" i="1"/>
  <c r="AR119" i="1"/>
  <c r="AQ119" i="1"/>
  <c r="AP119" i="1"/>
  <c r="AO119" i="1"/>
  <c r="AT118" i="1"/>
  <c r="AS118" i="1"/>
  <c r="AR118" i="1"/>
  <c r="AQ118" i="1"/>
  <c r="AP118" i="1"/>
  <c r="AO118" i="1"/>
  <c r="AT117" i="1"/>
  <c r="AS117" i="1"/>
  <c r="AR117" i="1"/>
  <c r="AQ117" i="1"/>
  <c r="AP117" i="1"/>
  <c r="AO117" i="1"/>
  <c r="AT116" i="1"/>
  <c r="AS116" i="1"/>
  <c r="AR116" i="1"/>
  <c r="AQ116" i="1"/>
  <c r="AP116" i="1"/>
  <c r="AO116" i="1"/>
  <c r="AT115" i="1"/>
  <c r="AS115" i="1"/>
  <c r="AR115" i="1"/>
  <c r="AQ115" i="1"/>
  <c r="AP115" i="1"/>
  <c r="AO115" i="1"/>
  <c r="AT114" i="1"/>
  <c r="AS114" i="1"/>
  <c r="AR114" i="1"/>
  <c r="AQ114" i="1"/>
  <c r="AP114" i="1"/>
  <c r="AO114" i="1"/>
  <c r="AT113" i="1"/>
  <c r="AS113" i="1"/>
  <c r="AR113" i="1"/>
  <c r="AQ113" i="1"/>
  <c r="AP113" i="1"/>
  <c r="AO113" i="1"/>
  <c r="AT112" i="1"/>
  <c r="AS112" i="1"/>
  <c r="AR112" i="1"/>
  <c r="AQ112" i="1"/>
  <c r="AP112" i="1"/>
  <c r="AO112" i="1"/>
  <c r="AT111" i="1"/>
  <c r="AS111" i="1"/>
  <c r="AR111" i="1"/>
  <c r="AQ111" i="1"/>
  <c r="AP111" i="1"/>
  <c r="AO111" i="1"/>
  <c r="AT110" i="1"/>
  <c r="AS110" i="1"/>
  <c r="AR110" i="1"/>
  <c r="AQ110" i="1"/>
  <c r="AP110" i="1"/>
  <c r="AO110" i="1"/>
  <c r="AT109" i="1"/>
  <c r="AS109" i="1"/>
  <c r="AR109" i="1"/>
  <c r="AQ109" i="1"/>
  <c r="AP109" i="1"/>
  <c r="AO109" i="1"/>
  <c r="AT108" i="1"/>
  <c r="AS108" i="1"/>
  <c r="AR108" i="1"/>
  <c r="AQ108" i="1"/>
  <c r="AP108" i="1"/>
  <c r="AO108" i="1"/>
  <c r="AT106" i="1"/>
  <c r="AS106" i="1"/>
  <c r="AR106" i="1"/>
  <c r="AQ106" i="1"/>
  <c r="AP106" i="1"/>
  <c r="AO106" i="1"/>
  <c r="AT104" i="1"/>
  <c r="AS104" i="1"/>
  <c r="AR104" i="1"/>
  <c r="AQ104" i="1"/>
  <c r="AP104" i="1"/>
  <c r="AO104" i="1"/>
  <c r="AT103" i="1"/>
  <c r="AS103" i="1"/>
  <c r="AR103" i="1"/>
  <c r="AQ103" i="1"/>
  <c r="AP103" i="1"/>
  <c r="AO103" i="1"/>
  <c r="AT102" i="1"/>
  <c r="AS102" i="1"/>
  <c r="AR102" i="1"/>
  <c r="AQ102" i="1"/>
  <c r="AP102" i="1"/>
  <c r="AO102" i="1"/>
  <c r="AT101" i="1"/>
  <c r="AS101" i="1"/>
  <c r="AR101" i="1"/>
  <c r="AQ101" i="1"/>
  <c r="AP101" i="1"/>
  <c r="AO101" i="1"/>
  <c r="AT100" i="1"/>
  <c r="AS100" i="1"/>
  <c r="AR100" i="1"/>
  <c r="AQ100" i="1"/>
  <c r="AP100" i="1"/>
  <c r="AO100" i="1"/>
  <c r="AT99" i="1"/>
  <c r="AS99" i="1"/>
  <c r="AR99" i="1"/>
  <c r="AQ99" i="1"/>
  <c r="AP99" i="1"/>
  <c r="AO99" i="1"/>
  <c r="AT98" i="1"/>
  <c r="AS98" i="1"/>
  <c r="AR98" i="1"/>
  <c r="AQ98" i="1"/>
  <c r="AP98" i="1"/>
  <c r="AO98" i="1"/>
  <c r="AT96" i="1"/>
  <c r="AS96" i="1"/>
  <c r="AR96" i="1"/>
  <c r="AQ96" i="1"/>
  <c r="AP96" i="1"/>
  <c r="AO96" i="1"/>
  <c r="AT94" i="1"/>
  <c r="AS94" i="1"/>
  <c r="AR94" i="1"/>
  <c r="AQ94" i="1"/>
  <c r="AP94" i="1"/>
  <c r="AO94" i="1"/>
  <c r="AT93" i="1"/>
  <c r="AS93" i="1"/>
  <c r="AR93" i="1"/>
  <c r="AQ93" i="1"/>
  <c r="AP93" i="1"/>
  <c r="AO93" i="1"/>
  <c r="AT92" i="1"/>
  <c r="AS92" i="1"/>
  <c r="AR92" i="1"/>
  <c r="AQ92" i="1"/>
  <c r="AP92" i="1"/>
  <c r="AO92" i="1"/>
  <c r="AT90" i="1"/>
  <c r="AS90" i="1"/>
  <c r="AR90" i="1"/>
  <c r="AQ90" i="1"/>
  <c r="AP90" i="1"/>
  <c r="AO90" i="1"/>
  <c r="AT88" i="1"/>
  <c r="AS88" i="1"/>
  <c r="AR88" i="1"/>
  <c r="AQ88" i="1"/>
  <c r="AP88" i="1"/>
  <c r="AO88" i="1"/>
  <c r="AT87" i="1"/>
  <c r="AS87" i="1"/>
  <c r="AR87" i="1"/>
  <c r="AQ87" i="1"/>
  <c r="AP87" i="1"/>
  <c r="AO87" i="1"/>
  <c r="AT86" i="1"/>
  <c r="AS86" i="1"/>
  <c r="AR86" i="1"/>
  <c r="AQ86" i="1"/>
  <c r="AP86" i="1"/>
  <c r="AO86" i="1"/>
  <c r="AT85" i="1"/>
  <c r="AS85" i="1"/>
  <c r="AR85" i="1"/>
  <c r="AQ85" i="1"/>
  <c r="AP85" i="1"/>
  <c r="AO85" i="1"/>
  <c r="AT84" i="1"/>
  <c r="AS84" i="1"/>
  <c r="AR84" i="1"/>
  <c r="AQ84" i="1"/>
  <c r="AP84" i="1"/>
  <c r="AO84" i="1"/>
  <c r="AT83" i="1"/>
  <c r="AS83" i="1"/>
  <c r="AR83" i="1"/>
  <c r="AQ83" i="1"/>
  <c r="AP83" i="1"/>
  <c r="AO83" i="1"/>
  <c r="AT82" i="1"/>
  <c r="AS82" i="1"/>
  <c r="AR82" i="1"/>
  <c r="AQ82" i="1"/>
  <c r="AP82" i="1"/>
  <c r="AO82" i="1"/>
  <c r="AT81" i="1"/>
  <c r="AS81" i="1"/>
  <c r="AR81" i="1"/>
  <c r="AQ81" i="1"/>
  <c r="AP81" i="1"/>
  <c r="AO81" i="1"/>
  <c r="AT79" i="1"/>
  <c r="AS79" i="1"/>
  <c r="AR79" i="1"/>
  <c r="AQ79" i="1"/>
  <c r="AP79" i="1"/>
  <c r="AO79" i="1"/>
  <c r="AT77" i="1"/>
  <c r="AS77" i="1"/>
  <c r="AR77" i="1"/>
  <c r="AQ77" i="1"/>
  <c r="AP77" i="1"/>
  <c r="AO77" i="1"/>
  <c r="AT76" i="1"/>
  <c r="AS76" i="1"/>
  <c r="AR76" i="1"/>
  <c r="AQ76" i="1"/>
  <c r="AP76" i="1"/>
  <c r="AO76" i="1"/>
  <c r="AT75" i="1"/>
  <c r="AS75" i="1"/>
  <c r="AR75" i="1"/>
  <c r="AQ75" i="1"/>
  <c r="AP75" i="1"/>
  <c r="AO75" i="1"/>
  <c r="AT74" i="1"/>
  <c r="AS74" i="1"/>
  <c r="AR74" i="1"/>
  <c r="AQ74" i="1"/>
  <c r="AP74" i="1"/>
  <c r="AO74" i="1"/>
  <c r="AT73" i="1"/>
  <c r="AS73" i="1"/>
  <c r="AR73" i="1"/>
  <c r="AQ73" i="1"/>
  <c r="AP73" i="1"/>
  <c r="AO73" i="1"/>
  <c r="AT72" i="1"/>
  <c r="AS72" i="1"/>
  <c r="AR72" i="1"/>
  <c r="AQ72" i="1"/>
  <c r="AP72" i="1"/>
  <c r="AO72" i="1"/>
  <c r="AT71" i="1"/>
  <c r="AS71" i="1"/>
  <c r="AR71" i="1"/>
  <c r="AQ71" i="1"/>
  <c r="AP71" i="1"/>
  <c r="AO71" i="1"/>
  <c r="AT70" i="1"/>
  <c r="AS70" i="1"/>
  <c r="AR70" i="1"/>
  <c r="AQ70" i="1"/>
  <c r="AP70" i="1"/>
  <c r="AO70" i="1"/>
  <c r="AT68" i="1"/>
  <c r="AS68" i="1"/>
  <c r="AR68" i="1"/>
  <c r="AQ68" i="1"/>
  <c r="AP68" i="1"/>
  <c r="AO68" i="1"/>
  <c r="AT66" i="1"/>
  <c r="AS66" i="1"/>
  <c r="AR66" i="1"/>
  <c r="AQ66" i="1"/>
  <c r="AP66" i="1"/>
  <c r="AO66" i="1"/>
  <c r="AT64" i="1"/>
  <c r="AS64" i="1"/>
  <c r="AR64" i="1"/>
  <c r="AQ64" i="1"/>
  <c r="AP64" i="1"/>
  <c r="AO64" i="1"/>
  <c r="AT62" i="1"/>
  <c r="AS62" i="1"/>
  <c r="AR62" i="1"/>
  <c r="AQ62" i="1"/>
  <c r="AP62" i="1"/>
  <c r="AO62" i="1"/>
  <c r="AT61" i="1"/>
  <c r="AS61" i="1"/>
  <c r="AR61" i="1"/>
  <c r="AQ61" i="1"/>
  <c r="AP61" i="1"/>
  <c r="AO61" i="1"/>
  <c r="AT60" i="1"/>
  <c r="AS60" i="1"/>
  <c r="AR60" i="1"/>
  <c r="AQ60" i="1"/>
  <c r="AP60" i="1"/>
  <c r="AO60" i="1"/>
  <c r="AT59" i="1"/>
  <c r="AS59" i="1"/>
  <c r="AR59" i="1"/>
  <c r="AQ59" i="1"/>
  <c r="AP59" i="1"/>
  <c r="AO59" i="1"/>
  <c r="AT58" i="1"/>
  <c r="AS58" i="1"/>
  <c r="AR58" i="1"/>
  <c r="AQ58" i="1"/>
  <c r="AP58" i="1"/>
  <c r="AO58" i="1"/>
  <c r="AT57" i="1"/>
  <c r="AS57" i="1"/>
  <c r="AR57" i="1"/>
  <c r="AQ57" i="1"/>
  <c r="AP57" i="1"/>
  <c r="AO57" i="1"/>
  <c r="AT56" i="1"/>
  <c r="AS56" i="1"/>
  <c r="AR56" i="1"/>
  <c r="AQ56" i="1"/>
  <c r="AP56" i="1"/>
  <c r="AO56" i="1"/>
  <c r="AT55" i="1"/>
  <c r="AS55" i="1"/>
  <c r="AR55" i="1"/>
  <c r="AQ55" i="1"/>
  <c r="AP55" i="1"/>
  <c r="AO55" i="1"/>
  <c r="AT54" i="1"/>
  <c r="AS54" i="1"/>
  <c r="AR54" i="1"/>
  <c r="AQ54" i="1"/>
  <c r="AP54" i="1"/>
  <c r="AO54" i="1"/>
  <c r="AT53" i="1"/>
  <c r="AS53" i="1"/>
  <c r="AR53" i="1"/>
  <c r="AQ53" i="1"/>
  <c r="AP53" i="1"/>
  <c r="AO53" i="1"/>
  <c r="AT52" i="1"/>
  <c r="AS52" i="1"/>
  <c r="AR52" i="1"/>
  <c r="AQ52" i="1"/>
  <c r="AP52" i="1"/>
  <c r="AO52" i="1"/>
  <c r="AT51" i="1"/>
  <c r="AS51" i="1"/>
  <c r="AR51" i="1"/>
  <c r="AQ51" i="1"/>
  <c r="AP51" i="1"/>
  <c r="AO51" i="1"/>
  <c r="AT50" i="1"/>
  <c r="AS50" i="1"/>
  <c r="AR50" i="1"/>
  <c r="AQ50" i="1"/>
  <c r="AP50" i="1"/>
  <c r="AO50" i="1"/>
  <c r="AT49" i="1"/>
  <c r="AS49" i="1"/>
  <c r="AR49" i="1"/>
  <c r="AQ49" i="1"/>
  <c r="AP49" i="1"/>
  <c r="AO49" i="1"/>
  <c r="AT48" i="1"/>
  <c r="AS48" i="1"/>
  <c r="AR48" i="1"/>
  <c r="AQ48" i="1"/>
  <c r="AP48" i="1"/>
  <c r="AO48" i="1"/>
  <c r="AT47" i="1"/>
  <c r="AS47" i="1"/>
  <c r="AR47" i="1"/>
  <c r="AQ47" i="1"/>
  <c r="AP47" i="1"/>
  <c r="AO47" i="1"/>
  <c r="AT46" i="1"/>
  <c r="AS46" i="1"/>
  <c r="AR46" i="1"/>
  <c r="AQ46" i="1"/>
  <c r="AP46" i="1"/>
  <c r="AO46" i="1"/>
  <c r="AT45" i="1"/>
  <c r="AS45" i="1"/>
  <c r="AR45" i="1"/>
  <c r="AQ45" i="1"/>
  <c r="AP45" i="1"/>
  <c r="AO45" i="1"/>
  <c r="AT44" i="1"/>
  <c r="AS44" i="1"/>
  <c r="AR44" i="1"/>
  <c r="AQ44" i="1"/>
  <c r="AP44" i="1"/>
  <c r="AO44" i="1"/>
  <c r="AT42" i="1"/>
  <c r="AS42" i="1"/>
  <c r="AR42" i="1"/>
  <c r="AQ42" i="1"/>
  <c r="AP42" i="1"/>
  <c r="AO42" i="1"/>
  <c r="AT40" i="1"/>
  <c r="AS40" i="1"/>
  <c r="AR40" i="1"/>
  <c r="AQ40" i="1"/>
  <c r="AP40" i="1"/>
  <c r="AO40" i="1"/>
  <c r="AT39" i="1"/>
  <c r="AS39" i="1"/>
  <c r="AR39" i="1"/>
  <c r="AQ39" i="1"/>
  <c r="AP39" i="1"/>
  <c r="AO39" i="1"/>
  <c r="AT37" i="1"/>
  <c r="AS37" i="1"/>
  <c r="AR37" i="1"/>
  <c r="AQ37" i="1"/>
  <c r="AP37" i="1"/>
  <c r="AO37" i="1"/>
  <c r="AT35" i="1"/>
  <c r="AS35" i="1"/>
  <c r="AR35" i="1"/>
  <c r="AQ35" i="1"/>
  <c r="AP35" i="1"/>
  <c r="AO35" i="1"/>
  <c r="AT34" i="1"/>
  <c r="AS34" i="1"/>
  <c r="AR34" i="1"/>
  <c r="AQ34" i="1"/>
  <c r="AP34" i="1"/>
  <c r="AO34" i="1"/>
  <c r="AT32" i="1"/>
  <c r="AS32" i="1"/>
  <c r="AR32" i="1"/>
  <c r="AQ32" i="1"/>
  <c r="AP32" i="1"/>
  <c r="AO32" i="1"/>
  <c r="AT30" i="1"/>
  <c r="AS30" i="1"/>
  <c r="AR30" i="1"/>
  <c r="AQ30" i="1"/>
  <c r="AP30" i="1"/>
  <c r="AO30" i="1"/>
  <c r="AT29" i="1"/>
  <c r="AS29" i="1"/>
  <c r="AR29" i="1"/>
  <c r="AQ29" i="1"/>
  <c r="AP29" i="1"/>
  <c r="AO29" i="1"/>
  <c r="AT27" i="1"/>
  <c r="AS27" i="1"/>
  <c r="AR27" i="1"/>
  <c r="AQ27" i="1"/>
  <c r="AP27" i="1"/>
  <c r="AO27" i="1"/>
  <c r="AT25" i="1"/>
  <c r="AS25" i="1"/>
  <c r="AR25" i="1"/>
  <c r="AQ25" i="1"/>
  <c r="AP25" i="1"/>
  <c r="AO25" i="1"/>
  <c r="AT24" i="1"/>
  <c r="AS24" i="1"/>
  <c r="AR24" i="1"/>
  <c r="AQ24" i="1"/>
  <c r="AP24" i="1"/>
  <c r="AO24" i="1"/>
  <c r="AT23" i="1"/>
  <c r="AS23" i="1"/>
  <c r="AR23" i="1"/>
  <c r="AQ23" i="1"/>
  <c r="AP23" i="1"/>
  <c r="AO23" i="1"/>
  <c r="AT22" i="1"/>
  <c r="AS22" i="1"/>
  <c r="AR22" i="1"/>
  <c r="AQ22" i="1"/>
  <c r="AP22" i="1"/>
  <c r="AO22" i="1"/>
  <c r="AT20" i="1"/>
  <c r="AS20" i="1"/>
  <c r="AR20" i="1"/>
  <c r="AQ20" i="1"/>
  <c r="AP20" i="1"/>
  <c r="AO20" i="1"/>
  <c r="AT17" i="1"/>
  <c r="AS17" i="1"/>
  <c r="AR17" i="1"/>
  <c r="AQ17" i="1"/>
  <c r="AP17" i="1"/>
  <c r="AO17" i="1"/>
  <c r="AT16" i="1"/>
  <c r="AS16" i="1"/>
  <c r="AR16" i="1"/>
  <c r="AQ16" i="1"/>
  <c r="AP16" i="1"/>
  <c r="AO16" i="1"/>
  <c r="AT15" i="1"/>
  <c r="AS15" i="1"/>
  <c r="AR15" i="1"/>
  <c r="AQ15" i="1"/>
  <c r="AP15" i="1"/>
  <c r="AO15" i="1"/>
  <c r="AT14" i="1"/>
  <c r="AS14" i="1"/>
  <c r="AR14" i="1"/>
  <c r="AQ14" i="1"/>
  <c r="AP14" i="1"/>
  <c r="AO14" i="1"/>
  <c r="AT13" i="1"/>
  <c r="AS13" i="1"/>
  <c r="AR13" i="1"/>
  <c r="AQ13" i="1"/>
  <c r="AP13" i="1"/>
  <c r="AO13" i="1"/>
  <c r="AT12" i="1"/>
  <c r="AS12" i="1"/>
  <c r="AR12" i="1"/>
  <c r="AQ12" i="1"/>
  <c r="AP12" i="1"/>
  <c r="AO12" i="1"/>
  <c r="AT11" i="1"/>
  <c r="AS11" i="1"/>
  <c r="AR11" i="1"/>
  <c r="AQ11" i="1"/>
  <c r="AP11" i="1"/>
  <c r="AO11" i="1"/>
  <c r="AT10" i="1"/>
  <c r="AS10" i="1"/>
  <c r="AR10" i="1"/>
  <c r="AQ10" i="1"/>
  <c r="AP10" i="1"/>
  <c r="AO10" i="1"/>
  <c r="AT8" i="1"/>
  <c r="AS8" i="1"/>
  <c r="AR8" i="1"/>
  <c r="AQ8" i="1"/>
  <c r="AP8" i="1"/>
  <c r="AO8" i="1"/>
  <c r="AT6" i="1"/>
  <c r="AS6" i="1"/>
  <c r="AR6" i="1"/>
  <c r="AQ6" i="1"/>
  <c r="AP6" i="1"/>
  <c r="AO6" i="1"/>
  <c r="AT5" i="1"/>
  <c r="AS5" i="1"/>
  <c r="AR5" i="1"/>
  <c r="AQ5" i="1"/>
  <c r="AP5" i="1"/>
  <c r="AO5" i="1"/>
  <c r="AT4" i="1"/>
  <c r="AS4" i="1"/>
  <c r="AR4" i="1"/>
  <c r="AQ4" i="1"/>
  <c r="AP4" i="1"/>
  <c r="AO4" i="1"/>
  <c r="AT3" i="1"/>
  <c r="AS3" i="1"/>
  <c r="AR3" i="1"/>
  <c r="AQ3" i="1"/>
  <c r="AP3" i="1"/>
  <c r="AO3" i="1"/>
  <c r="BO41" i="4" l="1"/>
  <c r="BM41" i="4"/>
  <c r="BL41" i="4"/>
  <c r="BI41" i="4"/>
  <c r="BD41" i="4"/>
  <c r="BA41" i="4"/>
  <c r="BB41" i="4" s="1"/>
  <c r="BO40" i="4"/>
  <c r="BM40" i="4"/>
  <c r="BL40" i="4"/>
  <c r="BI40" i="4"/>
  <c r="BD40" i="4"/>
  <c r="BG40" i="4" s="1"/>
  <c r="BA40" i="4"/>
  <c r="BB40" i="4" s="1"/>
  <c r="BO39" i="4"/>
  <c r="BR39" i="4" s="1"/>
  <c r="BM39" i="4"/>
  <c r="BL39" i="4"/>
  <c r="BI39" i="4"/>
  <c r="BD39" i="4"/>
  <c r="BG39" i="4" s="1"/>
  <c r="BA39" i="4"/>
  <c r="BB39" i="4" s="1"/>
  <c r="BO37" i="4"/>
  <c r="BM37" i="4"/>
  <c r="BL37" i="4"/>
  <c r="BI37" i="4"/>
  <c r="BD37" i="4"/>
  <c r="BG37" i="4" s="1"/>
  <c r="BA37" i="4"/>
  <c r="BB37" i="4" s="1"/>
  <c r="BO35" i="4"/>
  <c r="BR35" i="4" s="1"/>
  <c r="BM35" i="4"/>
  <c r="BL35" i="4"/>
  <c r="BI35" i="4"/>
  <c r="BD35" i="4"/>
  <c r="BG35" i="4" s="1"/>
  <c r="BA35" i="4"/>
  <c r="BO34" i="4"/>
  <c r="BM34" i="4"/>
  <c r="BL34" i="4"/>
  <c r="BI34" i="4"/>
  <c r="BD34" i="4"/>
  <c r="BG34" i="4" s="1"/>
  <c r="BA34" i="4"/>
  <c r="BB34" i="4" s="1"/>
  <c r="BO33" i="4"/>
  <c r="BM33" i="4"/>
  <c r="BL33" i="4"/>
  <c r="BI33" i="4"/>
  <c r="BD33" i="4"/>
  <c r="BA33" i="4"/>
  <c r="BB33" i="4" s="1"/>
  <c r="BO32" i="4"/>
  <c r="BR32" i="4" s="1"/>
  <c r="BM32" i="4"/>
  <c r="BL32" i="4"/>
  <c r="BI32" i="4"/>
  <c r="BD32" i="4"/>
  <c r="BG32" i="4" s="1"/>
  <c r="BA32" i="4"/>
  <c r="BB32" i="4" s="1"/>
  <c r="BO31" i="4"/>
  <c r="BR31" i="4" s="1"/>
  <c r="BM31" i="4"/>
  <c r="BL31" i="4"/>
  <c r="BI31" i="4"/>
  <c r="BD31" i="4"/>
  <c r="BA31" i="4"/>
  <c r="BB31" i="4" s="1"/>
  <c r="BO30" i="4"/>
  <c r="BR30" i="4" s="1"/>
  <c r="BM30" i="4"/>
  <c r="BL30" i="4"/>
  <c r="BI30" i="4"/>
  <c r="BD30" i="4"/>
  <c r="BA30" i="4"/>
  <c r="BB30" i="4" s="1"/>
  <c r="BO29" i="4"/>
  <c r="BM29" i="4"/>
  <c r="BL29" i="4"/>
  <c r="BI29" i="4"/>
  <c r="BD29" i="4"/>
  <c r="BG29" i="4" s="1"/>
  <c r="BA29" i="4"/>
  <c r="BB29" i="4" s="1"/>
  <c r="BO28" i="4"/>
  <c r="BR28" i="4" s="1"/>
  <c r="BM28" i="4"/>
  <c r="BL28" i="4"/>
  <c r="BI28" i="4"/>
  <c r="BD28" i="4"/>
  <c r="BG28" i="4" s="1"/>
  <c r="BA28" i="4"/>
  <c r="BB28" i="4" s="1"/>
  <c r="BO27" i="4"/>
  <c r="BM27" i="4"/>
  <c r="BL27" i="4"/>
  <c r="BI27" i="4"/>
  <c r="BD27" i="4"/>
  <c r="BG27" i="4" s="1"/>
  <c r="BA27" i="4"/>
  <c r="BB27" i="4" s="1"/>
  <c r="BO24" i="4"/>
  <c r="BR24" i="4" s="1"/>
  <c r="BM24" i="4"/>
  <c r="BL24" i="4"/>
  <c r="BI24" i="4"/>
  <c r="BD24" i="4"/>
  <c r="BG24" i="4" s="1"/>
  <c r="BA24" i="4"/>
  <c r="BB24" i="4" s="1"/>
  <c r="BO23" i="4"/>
  <c r="BR23" i="4" s="1"/>
  <c r="BM23" i="4"/>
  <c r="BL23" i="4"/>
  <c r="BI23" i="4"/>
  <c r="BD23" i="4"/>
  <c r="BA23" i="4"/>
  <c r="BB23" i="4" s="1"/>
  <c r="BO22" i="4"/>
  <c r="BR22" i="4" s="1"/>
  <c r="BM22" i="4"/>
  <c r="BL22" i="4"/>
  <c r="BI22" i="4"/>
  <c r="BD22" i="4"/>
  <c r="BG22" i="4" s="1"/>
  <c r="BA22" i="4"/>
  <c r="BB22" i="4" s="1"/>
  <c r="BO21" i="4"/>
  <c r="BR21" i="4" s="1"/>
  <c r="BM21" i="4"/>
  <c r="BL21" i="4"/>
  <c r="BI21" i="4"/>
  <c r="BD21" i="4"/>
  <c r="BG21" i="4" s="1"/>
  <c r="BA21" i="4"/>
  <c r="BB21" i="4" s="1"/>
  <c r="BO20" i="4"/>
  <c r="BR20" i="4" s="1"/>
  <c r="BM20" i="4"/>
  <c r="BL20" i="4"/>
  <c r="BI20" i="4"/>
  <c r="BD20" i="4"/>
  <c r="BG20" i="4" s="1"/>
  <c r="BA20" i="4"/>
  <c r="BO18" i="4"/>
  <c r="BM18" i="4"/>
  <c r="BL18" i="4"/>
  <c r="BI18" i="4"/>
  <c r="BD18" i="4"/>
  <c r="BA18" i="4"/>
  <c r="BO16" i="4"/>
  <c r="BM16" i="4"/>
  <c r="BL16" i="4"/>
  <c r="BI16" i="4"/>
  <c r="BD16" i="4"/>
  <c r="BA16" i="4"/>
  <c r="BB16" i="4" s="1"/>
  <c r="BO14" i="4"/>
  <c r="BM14" i="4"/>
  <c r="BL14" i="4"/>
  <c r="BI14" i="4"/>
  <c r="BD14" i="4"/>
  <c r="BG14" i="4" s="1"/>
  <c r="BA14" i="4"/>
  <c r="BB14" i="4" s="1"/>
  <c r="BO12" i="4"/>
  <c r="BM12" i="4"/>
  <c r="BL12" i="4"/>
  <c r="BI12" i="4"/>
  <c r="BD12" i="4"/>
  <c r="BG12" i="4" s="1"/>
  <c r="BA12" i="4"/>
  <c r="BB12" i="4" s="1"/>
  <c r="BO10" i="4"/>
  <c r="BR10" i="4" s="1"/>
  <c r="BM10" i="4"/>
  <c r="BL10" i="4"/>
  <c r="BI10" i="4"/>
  <c r="BD10" i="4"/>
  <c r="BA10" i="4"/>
  <c r="BO9" i="4"/>
  <c r="BM9" i="4"/>
  <c r="BL9" i="4"/>
  <c r="BI9" i="4"/>
  <c r="BD9" i="4"/>
  <c r="BG9" i="4" s="1"/>
  <c r="BA9" i="4"/>
  <c r="BB9" i="4" s="1"/>
  <c r="BO7" i="4"/>
  <c r="BR7" i="4" s="1"/>
  <c r="BM7" i="4"/>
  <c r="BL7" i="4"/>
  <c r="BI7" i="4"/>
  <c r="BD7" i="4"/>
  <c r="BG7" i="4" s="1"/>
  <c r="BA7" i="4"/>
  <c r="BB7" i="4" s="1"/>
  <c r="BO5" i="4"/>
  <c r="BM5" i="4"/>
  <c r="BL5" i="4"/>
  <c r="BI5" i="4"/>
  <c r="BD5" i="4"/>
  <c r="BG5" i="4" s="1"/>
  <c r="BA5" i="4"/>
  <c r="BB5" i="4" s="1"/>
  <c r="BO4" i="4"/>
  <c r="BR4" i="4" s="1"/>
  <c r="BM4" i="4"/>
  <c r="BL4" i="4"/>
  <c r="BI4" i="4"/>
  <c r="BD4" i="4"/>
  <c r="BA4" i="4"/>
  <c r="BO3" i="4"/>
  <c r="BM3" i="4"/>
  <c r="BL3" i="4"/>
  <c r="BI3" i="4"/>
  <c r="BD3" i="4"/>
  <c r="BG3" i="4" s="1"/>
  <c r="BA3" i="4"/>
  <c r="BB3" i="4" s="1"/>
  <c r="BO3" i="3"/>
  <c r="BM3" i="3"/>
  <c r="BL3" i="3"/>
  <c r="BI3" i="3"/>
  <c r="BD3" i="3"/>
  <c r="BG3" i="3" s="1"/>
  <c r="BA3" i="3"/>
  <c r="BB3" i="3" s="1"/>
  <c r="BR27" i="4" l="1"/>
  <c r="BR16" i="4"/>
  <c r="BR34" i="4"/>
  <c r="BR29" i="4"/>
  <c r="BJ18" i="4"/>
  <c r="BR18" i="4"/>
  <c r="BK3" i="3"/>
  <c r="BP3" i="3"/>
  <c r="BP3" i="4"/>
  <c r="BF7" i="4"/>
  <c r="BP7" i="4"/>
  <c r="BJ33" i="4"/>
  <c r="BK14" i="4"/>
  <c r="BJ35" i="4"/>
  <c r="BE30" i="4"/>
  <c r="BK35" i="4"/>
  <c r="BK4" i="4"/>
  <c r="BF18" i="4"/>
  <c r="BK23" i="4"/>
  <c r="BJ5" i="4"/>
  <c r="BE20" i="4"/>
  <c r="BK20" i="4"/>
  <c r="BJ34" i="4"/>
  <c r="BP14" i="4"/>
  <c r="BK29" i="4"/>
  <c r="BE7" i="4"/>
  <c r="BJ10" i="4"/>
  <c r="BQ40" i="4"/>
  <c r="BE4" i="4"/>
  <c r="BQ14" i="4"/>
  <c r="BK3" i="4"/>
  <c r="BJ28" i="4"/>
  <c r="BP5" i="4"/>
  <c r="BK12" i="4"/>
  <c r="BP27" i="4"/>
  <c r="BQ29" i="4"/>
  <c r="BE31" i="4"/>
  <c r="BF35" i="4"/>
  <c r="BG31" i="4"/>
  <c r="BF29" i="4"/>
  <c r="BK31" i="4"/>
  <c r="BP33" i="4"/>
  <c r="BF39" i="4"/>
  <c r="BP39" i="4"/>
  <c r="BP31" i="4"/>
  <c r="BP41" i="4"/>
  <c r="BP24" i="4"/>
  <c r="BP9" i="4"/>
  <c r="BR14" i="4"/>
  <c r="BF23" i="4"/>
  <c r="BE10" i="4"/>
  <c r="BF14" i="4"/>
  <c r="BK16" i="4"/>
  <c r="BQ24" i="4"/>
  <c r="BQ12" i="4"/>
  <c r="BQ27" i="4"/>
  <c r="BQ5" i="4"/>
  <c r="BR9" i="4"/>
  <c r="BJ20" i="4"/>
  <c r="BK21" i="4"/>
  <c r="BK22" i="4"/>
  <c r="BG23" i="4"/>
  <c r="BF31" i="4"/>
  <c r="BQ31" i="4"/>
  <c r="BK37" i="4"/>
  <c r="BR40" i="4"/>
  <c r="BE3" i="4"/>
  <c r="BF3" i="4"/>
  <c r="BQ3" i="4"/>
  <c r="BB10" i="4"/>
  <c r="BJ14" i="4"/>
  <c r="BE16" i="4"/>
  <c r="BB18" i="4"/>
  <c r="BJ23" i="4"/>
  <c r="BJ29" i="4"/>
  <c r="BQ30" i="4"/>
  <c r="BR41" i="4"/>
  <c r="BJ21" i="4"/>
  <c r="BJ22" i="4"/>
  <c r="BJ37" i="4"/>
  <c r="BF4" i="4"/>
  <c r="BJ7" i="4"/>
  <c r="BQ9" i="4"/>
  <c r="BF10" i="4"/>
  <c r="BR12" i="4"/>
  <c r="BE18" i="4"/>
  <c r="BJ24" i="4"/>
  <c r="BQ28" i="4"/>
  <c r="BF30" i="4"/>
  <c r="BJ31" i="4"/>
  <c r="BR33" i="4"/>
  <c r="BJ39" i="4"/>
  <c r="BP40" i="4"/>
  <c r="BF41" i="4"/>
  <c r="BJ9" i="4"/>
  <c r="BJ16" i="4"/>
  <c r="BG30" i="4"/>
  <c r="BF33" i="4"/>
  <c r="BP35" i="4"/>
  <c r="BQ37" i="4"/>
  <c r="BJ40" i="4"/>
  <c r="BG41" i="4"/>
  <c r="BJ3" i="4"/>
  <c r="BG4" i="4"/>
  <c r="BR5" i="4"/>
  <c r="BG10" i="4"/>
  <c r="BP12" i="4"/>
  <c r="BG18" i="4"/>
  <c r="BB20" i="4"/>
  <c r="BJ27" i="4"/>
  <c r="BP30" i="4"/>
  <c r="BK32" i="4"/>
  <c r="BG33" i="4"/>
  <c r="BR37" i="4"/>
  <c r="BQ41" i="4"/>
  <c r="BQ4" i="4"/>
  <c r="BF5" i="4"/>
  <c r="BQ7" i="4"/>
  <c r="BK10" i="4"/>
  <c r="BJ12" i="4"/>
  <c r="BE14" i="4"/>
  <c r="BQ18" i="4"/>
  <c r="BQ23" i="4"/>
  <c r="BK28" i="4"/>
  <c r="BE29" i="4"/>
  <c r="BP29" i="4"/>
  <c r="BJ30" i="4"/>
  <c r="BJ32" i="4"/>
  <c r="BQ33" i="4"/>
  <c r="BQ39" i="4"/>
  <c r="BJ41" i="4"/>
  <c r="BE3" i="3"/>
  <c r="BF3" i="3"/>
  <c r="BJ3" i="3"/>
  <c r="BQ3" i="3"/>
  <c r="BR3" i="3"/>
  <c r="BK41" i="4"/>
  <c r="BE41" i="4"/>
  <c r="BK40" i="4"/>
  <c r="BE40" i="4"/>
  <c r="BF40" i="4"/>
  <c r="BK39" i="4"/>
  <c r="BE39" i="4"/>
  <c r="BE37" i="4"/>
  <c r="BF37" i="4"/>
  <c r="BP37" i="4"/>
  <c r="BB35" i="4"/>
  <c r="BE35" i="4"/>
  <c r="BQ35" i="4"/>
  <c r="BK34" i="4"/>
  <c r="BE34" i="4"/>
  <c r="BF34" i="4"/>
  <c r="BP34" i="4"/>
  <c r="BQ34" i="4"/>
  <c r="BK33" i="4"/>
  <c r="BE33" i="4"/>
  <c r="BE32" i="4"/>
  <c r="BF32" i="4"/>
  <c r="BP32" i="4"/>
  <c r="BQ32" i="4"/>
  <c r="BK30" i="4"/>
  <c r="BE28" i="4"/>
  <c r="BF28" i="4"/>
  <c r="BP28" i="4"/>
  <c r="BK27" i="4"/>
  <c r="BE27" i="4"/>
  <c r="BF27" i="4"/>
  <c r="BK24" i="4"/>
  <c r="BE24" i="4"/>
  <c r="BF24" i="4"/>
  <c r="BE23" i="4"/>
  <c r="BP23" i="4"/>
  <c r="BE22" i="4"/>
  <c r="BF22" i="4"/>
  <c r="BP22" i="4"/>
  <c r="BQ22" i="4"/>
  <c r="BE21" i="4"/>
  <c r="BF21" i="4"/>
  <c r="BP21" i="4"/>
  <c r="BQ21" i="4"/>
  <c r="BF20" i="4"/>
  <c r="BP20" i="4"/>
  <c r="BQ20" i="4"/>
  <c r="BK18" i="4"/>
  <c r="BP18" i="4"/>
  <c r="BF16" i="4"/>
  <c r="BP16" i="4"/>
  <c r="BG16" i="4"/>
  <c r="BQ16" i="4"/>
  <c r="BE12" i="4"/>
  <c r="BF12" i="4"/>
  <c r="BP10" i="4"/>
  <c r="BQ10" i="4"/>
  <c r="BK9" i="4"/>
  <c r="BE9" i="4"/>
  <c r="BF9" i="4"/>
  <c r="BK7" i="4"/>
  <c r="BR3" i="4"/>
  <c r="BJ4" i="4"/>
  <c r="BK5" i="4"/>
  <c r="BB4" i="4"/>
  <c r="BE5" i="4"/>
  <c r="BP4" i="4"/>
</calcChain>
</file>

<file path=xl/sharedStrings.xml><?xml version="1.0" encoding="utf-8"?>
<sst xmlns="http://schemas.openxmlformats.org/spreadsheetml/2006/main" count="2915" uniqueCount="1281">
  <si>
    <t>History</t>
  </si>
  <si>
    <t>Projected</t>
  </si>
  <si>
    <t>G/L Account</t>
  </si>
  <si>
    <t>$</t>
  </si>
  <si>
    <t>%</t>
  </si>
  <si>
    <t>CASH</t>
  </si>
  <si>
    <t>700005-55</t>
  </si>
  <si>
    <t>MERGER BRANCH CASH</t>
  </si>
  <si>
    <t>CASH OTHER FINANCES</t>
  </si>
  <si>
    <t>700100-127</t>
  </si>
  <si>
    <t>MERGER OTHER FINANCES</t>
  </si>
  <si>
    <t>-----------------------</t>
  </si>
  <si>
    <t>----------</t>
  </si>
  <si>
    <t>CASH/CASH EQIUVALENTS</t>
  </si>
  <si>
    <t>FEDERAL RESERVE BANK</t>
  </si>
  <si>
    <t>FHLB DES MOINES - DDA</t>
  </si>
  <si>
    <t>MERGER CATALYST DAILY ACCOUNT</t>
  </si>
  <si>
    <t>TRUST FOR  CU-R</t>
  </si>
  <si>
    <t>NIFCU$-R</t>
  </si>
  <si>
    <t>WESTERN BRIDGE  FCU Dly 25</t>
  </si>
  <si>
    <t>WESTERN BRIDGE CFCU LATE WIRE</t>
  </si>
  <si>
    <t>WESTERN BRIDGE UNSCANNED ITEMS</t>
  </si>
  <si>
    <t>OVERNIGHT FUNDS</t>
  </si>
  <si>
    <t>FEDERAL AGENCY SECURITIES</t>
  </si>
  <si>
    <t>IMPAIRMENT ON INVESTMENT</t>
  </si>
  <si>
    <t>PREMIUM FEDERAL AGENCY</t>
  </si>
  <si>
    <t>DISCOUNT FEDERAL AGENCY</t>
  </si>
  <si>
    <t>CMOs FIXED</t>
  </si>
  <si>
    <t>CMOs VARIABLE</t>
  </si>
  <si>
    <t>TOTAL CMOs</t>
  </si>
  <si>
    <t>MBS FIXED</t>
  </si>
  <si>
    <t>MBS VARIABLE</t>
  </si>
  <si>
    <t>TOTAL MBS</t>
  </si>
  <si>
    <t>SBA FIXED</t>
  </si>
  <si>
    <t>SBA VARIABLE</t>
  </si>
  <si>
    <t xml:space="preserve">TOTAL SBA </t>
  </si>
  <si>
    <t>NCUSIF DEPOSIT</t>
  </si>
  <si>
    <t>FHLB STOCK</t>
  </si>
  <si>
    <t>VISA STOCK</t>
  </si>
  <si>
    <t>MERGER BANK &amp; CREDIT UNION CDs</t>
  </si>
  <si>
    <t>2 YR TREASURY</t>
  </si>
  <si>
    <t>PARTICIPATION/LENDING EXPANSION</t>
  </si>
  <si>
    <t>MERGER CATALYST CCORP PERF TIER</t>
  </si>
  <si>
    <t>MERGER NCUSIF</t>
  </si>
  <si>
    <t>CATALYST FCU PCC FUND</t>
  </si>
  <si>
    <t>MERGER INV FAIR MARKET VALUE</t>
  </si>
  <si>
    <t>PENINSULA CU SHARE ACCOUNT</t>
  </si>
  <si>
    <t>HAPO CU SHARE ACCOUNT</t>
  </si>
  <si>
    <t>PSCU PATRONAGE EQUITY</t>
  </si>
  <si>
    <t>GUARANTEED INVESTMENT CONTRACT</t>
  </si>
  <si>
    <t>D8TA OPS EQUITY INVESTMENT</t>
  </si>
  <si>
    <t>KFS INV INCOME-R</t>
  </si>
  <si>
    <t>WESTERN BRIDGE CFCU MEMBER CAP</t>
  </si>
  <si>
    <t>WESTERN BRIDGE CIF-R</t>
  </si>
  <si>
    <t>MONEYGRAM DEPOSIT-R</t>
  </si>
  <si>
    <t>LONG TERM INVESTMENTS</t>
  </si>
  <si>
    <t>UNREALIZED G/L INVESTMENT</t>
  </si>
  <si>
    <t>INVESTMENTS</t>
  </si>
  <si>
    <t>DEALER FINANCE LOANS NEW</t>
  </si>
  <si>
    <t>DLR RESERVES NEW</t>
  </si>
  <si>
    <t>DEALER FINANCE LOANS USED</t>
  </si>
  <si>
    <t>DLR RESERVES USED</t>
  </si>
  <si>
    <t>DEALER FINANCE NEW RV</t>
  </si>
  <si>
    <t>DEFERRED RV DEALER FEES NEW</t>
  </si>
  <si>
    <t>DEALER FINANCE USED RV</t>
  </si>
  <si>
    <t>DEFERRED RV DEALER FEES USED</t>
  </si>
  <si>
    <t>DEALER FINANCE</t>
  </si>
  <si>
    <t>LOAN PARTICIPATION NEW</t>
  </si>
  <si>
    <t>LOAN PARTICIPATION - 90% NEW</t>
  </si>
  <si>
    <t>DEFERRED DLR FEES LP NEW</t>
  </si>
  <si>
    <t>DEFERRED DLR FEES LP 90% NEW</t>
  </si>
  <si>
    <t>LOAN PARTICIPATION - USED</t>
  </si>
  <si>
    <t>LOAN PARTICIPATION - 90% USED</t>
  </si>
  <si>
    <t>DEFERRED DLR FEES LP USED</t>
  </si>
  <si>
    <t>DEFERRED DLR FEES LP 90% USED</t>
  </si>
  <si>
    <t>LOAN PARTICIPATION DEALER</t>
  </si>
  <si>
    <t>SUNLIGHT 100%</t>
  </si>
  <si>
    <t>SUNLIGHT 10%</t>
  </si>
  <si>
    <t>DEF FEES SUNLIGHT</t>
  </si>
  <si>
    <t>SUNLIGHT LOANS</t>
  </si>
  <si>
    <t>CAR/TRUCK NEW</t>
  </si>
  <si>
    <t>CAR/TRUCK USED</t>
  </si>
  <si>
    <t>MOTORCYCLE NEW</t>
  </si>
  <si>
    <t>MOTORCYCLE USED</t>
  </si>
  <si>
    <t>MOTORHOME NEW</t>
  </si>
  <si>
    <t>MOTORHOME USED</t>
  </si>
  <si>
    <t>OTHER VEHICLES</t>
  </si>
  <si>
    <t>VEHICLES</t>
  </si>
  <si>
    <t>MTG 10 YR</t>
  </si>
  <si>
    <t>MTG 10YR CU MBRS</t>
  </si>
  <si>
    <t>MTG 10YR 1ST MFM</t>
  </si>
  <si>
    <t>DEF MTG FEES/COSTS - MFM 10YR</t>
  </si>
  <si>
    <t>MTG 10 YR BW-RESTRICTED</t>
  </si>
  <si>
    <t>MTG 10 YR INT ONLY RESTRICTED</t>
  </si>
  <si>
    <t>MTG 12 YR</t>
  </si>
  <si>
    <t>MTG 15 YR</t>
  </si>
  <si>
    <t>MTG 15 YR BW-RESTRICTED</t>
  </si>
  <si>
    <t>MTG 15YR CU MBR</t>
  </si>
  <si>
    <t>MTG 15YR 1ST MFM</t>
  </si>
  <si>
    <t>DEF MTG FEES/COSTS - MFM 15YR</t>
  </si>
  <si>
    <t>MTG DEF ORG FEE 15YR CU MBRS</t>
  </si>
  <si>
    <t>MTG 20 YR</t>
  </si>
  <si>
    <t>MTG 20 YR BW-RESTRICTED</t>
  </si>
  <si>
    <t>MTG 1ST/20YR CU MBRS</t>
  </si>
  <si>
    <t>MTG 20YR 1ST MFM</t>
  </si>
  <si>
    <t>DEF MTG FEES/COSTS - MFM 20YR</t>
  </si>
  <si>
    <t>MTG 25 YR</t>
  </si>
  <si>
    <t>MTG 30 YR</t>
  </si>
  <si>
    <t>MTG 1ST/30YR CU MBRS</t>
  </si>
  <si>
    <t>MTG 30YR 1ST MFM</t>
  </si>
  <si>
    <t>DEF MTG FEES/COSTS - MFM 30YR</t>
  </si>
  <si>
    <t>MTG 1ST/30 YR 12 YR CALL</t>
  </si>
  <si>
    <t>MTG 30 YR BW-RESTRICTED</t>
  </si>
  <si>
    <t>MTG 40 YR</t>
  </si>
  <si>
    <t>MTG 12 YR JUMBO</t>
  </si>
  <si>
    <t>MTG 15 YR JUMBO</t>
  </si>
  <si>
    <t>MTG 20 YR JUMBO</t>
  </si>
  <si>
    <t>MTG 1ST/30 YR MBR FIRST IMPP</t>
  </si>
  <si>
    <t>MTG 30 YR JUMBO</t>
  </si>
  <si>
    <t>PREM 1ST/30 YR MBR FIRST IMPP</t>
  </si>
  <si>
    <t>MTG 1ST/30 YR 3 YR CALL</t>
  </si>
  <si>
    <t>MTG 1ST/15 YR MBR FIRST IMPP</t>
  </si>
  <si>
    <t>MTG 1ST/30 YR 5 YR CALL</t>
  </si>
  <si>
    <t>PREM 1ST/15 YR MBR FIRST IMPP</t>
  </si>
  <si>
    <t>MTG 1ST/30 YR 7 YR CALL</t>
  </si>
  <si>
    <t>MTG 1ST/30 YR 10 YR CALL</t>
  </si>
  <si>
    <t>MTG 7 YR JUMBO CALL</t>
  </si>
  <si>
    <t>MTG 40YR 1ST MFM</t>
  </si>
  <si>
    <t>MTG LAND</t>
  </si>
  <si>
    <t>DEF MTG FEES/COSTS - MFM 40YR</t>
  </si>
  <si>
    <t>MTG DEFICIENCY REPAYMENTS-R</t>
  </si>
  <si>
    <t>WINSLOW SH LN-RESTRICTED</t>
  </si>
  <si>
    <t>MTG LOANS FIXED</t>
  </si>
  <si>
    <t>MTG 30 YR ARM1.1</t>
  </si>
  <si>
    <t>MORTGAGE - 30 YR MFM ARM 7.6</t>
  </si>
  <si>
    <t>DEF MTG FEES/COSTS - MFM ARM 7.6</t>
  </si>
  <si>
    <t>MTG 30 YR ARM 3.1</t>
  </si>
  <si>
    <t>MTG 2ND ARM 3.1</t>
  </si>
  <si>
    <t>MTG 30 YR ARM 3.3</t>
  </si>
  <si>
    <t>MTG 30 YR ARM 5.1</t>
  </si>
  <si>
    <t>MORTGAGE - 30 YR MFM ARM 10.6</t>
  </si>
  <si>
    <t>DEF MTG FEES/COSTS- MFM ARM 10.6</t>
  </si>
  <si>
    <t>MTG 30 YR ARM 7.1</t>
  </si>
  <si>
    <t>MTG 30 YR ARM 10.1 CU MBRS</t>
  </si>
  <si>
    <t>MTG 30 YR ARM 5.1 NO FEE</t>
  </si>
  <si>
    <t>MTG MFM 30YR ARM 5/6 IMPP</t>
  </si>
  <si>
    <t>PREM 30YR ARM 5/6 MFM IMPP</t>
  </si>
  <si>
    <t>MTG MFM 30YR ARM 7/6 IMPP</t>
  </si>
  <si>
    <t>PREM 30YR ARM 7/6 MFM IMPP</t>
  </si>
  <si>
    <t>MTG 30YR JUMBO ARM 5.1</t>
  </si>
  <si>
    <t>MTG MFM 30YR ARM 10/6 IMPP</t>
  </si>
  <si>
    <t>PREM 30YR ARM 10/6 MFM IMPP</t>
  </si>
  <si>
    <t>MTG 30YR ARM 3/1 INTEREST ONLY</t>
  </si>
  <si>
    <t>MTG 30YR ARM 5/1 INTEREST ONLY</t>
  </si>
  <si>
    <t>MTG 30YR ARM 7/1 INTEREST ONLY</t>
  </si>
  <si>
    <t>MTG LAND ARM 3/1</t>
  </si>
  <si>
    <t>MORTGAGE - 30 YR MFM ARM 5.6</t>
  </si>
  <si>
    <t>DEF MTG FEES/COSTS - MFM ARM 5.6</t>
  </si>
  <si>
    <t>MTG LOANS VAR</t>
  </si>
  <si>
    <t>MFM MTG CONSTRUCTION</t>
  </si>
  <si>
    <t>DEF MTG FEES/COSTS - MFM CONSTR</t>
  </si>
  <si>
    <t>MTG CONSTRUCTION</t>
  </si>
  <si>
    <t>MORTGAGE LOANS</t>
  </si>
  <si>
    <t>LP - BAXTER MTG ARM</t>
  </si>
  <si>
    <t>PREMIUM-BAXTER LOAN PART</t>
  </si>
  <si>
    <t>LOAN PART MTG ARM</t>
  </si>
  <si>
    <t>LP-SHARONVIEW MTG FIXED</t>
  </si>
  <si>
    <t>PREM-SHARONVIEW LN PART</t>
  </si>
  <si>
    <t>LP-PENFED MTG FIXED-A</t>
  </si>
  <si>
    <t>PREM-PENFED LN PART-A</t>
  </si>
  <si>
    <t>LP-PENFED MTG FIXED-B</t>
  </si>
  <si>
    <t>PREM-PENFED LN PART-B</t>
  </si>
  <si>
    <t>LP-PENFED MTG FIXED-C</t>
  </si>
  <si>
    <t>PREM-PENFED LN PART-C</t>
  </si>
  <si>
    <t>LP-PENFED MTG FIXED-D</t>
  </si>
  <si>
    <t>DISCOUNT-PENFED LN PART-D</t>
  </si>
  <si>
    <t>LOAN PART-MTG FX</t>
  </si>
  <si>
    <t>HOME EQUITY 1ST 12 YR FIXED</t>
  </si>
  <si>
    <t>HOME EQUITY 1ST</t>
  </si>
  <si>
    <t>HOME EQUITY 2ND</t>
  </si>
  <si>
    <t>HE 1ST 12YR CALL</t>
  </si>
  <si>
    <t>HE 2ND 12YR CALL</t>
  </si>
  <si>
    <t>HE 5YR CALL FIXED</t>
  </si>
  <si>
    <t>HOME EQUITY</t>
  </si>
  <si>
    <t>HELOC 1ST FIXED MERGER</t>
  </si>
  <si>
    <t>HELOC 2ND FIXED MERGER</t>
  </si>
  <si>
    <t>HELOC VARIABLE</t>
  </si>
  <si>
    <t>HELOC VAR FLOOR</t>
  </si>
  <si>
    <t>HELOC</t>
  </si>
  <si>
    <t>LP - AMPLIFY HE 2ND 15YR</t>
  </si>
  <si>
    <t>PREMIUM-AMPLIFY LOAN PART HE</t>
  </si>
  <si>
    <t>LP-QUOROM HOME EQUITY</t>
  </si>
  <si>
    <t>PREM-QUOROM HOME EQUITY</t>
  </si>
  <si>
    <t>LOAN PART HOME EQUITY</t>
  </si>
  <si>
    <t>LP - PENFED HELOC-E</t>
  </si>
  <si>
    <t>DISCOUNT-PENFED LOAN PART E HLOC</t>
  </si>
  <si>
    <t>LP - HOMTRUST BANK HELOC</t>
  </si>
  <si>
    <t>PREMIUM-HOMETRUST BANK HELOC</t>
  </si>
  <si>
    <t>LP-QUOROM HELOC</t>
  </si>
  <si>
    <t>PREMIUM- QUOROM HELOC</t>
  </si>
  <si>
    <t>LP- GEORGIAS OWN HELOC</t>
  </si>
  <si>
    <t>PREMIUM- GEORGIAS OWN HELOC</t>
  </si>
  <si>
    <t>LP- CLIMB HELOC</t>
  </si>
  <si>
    <t>PREMIUM- CLIMB HELOC</t>
  </si>
  <si>
    <t>LOAN PART HELOC</t>
  </si>
  <si>
    <t>HOME EQUITY LOAN RENTALS</t>
  </si>
  <si>
    <t>MTG LOAN RENTALS FIXED</t>
  </si>
  <si>
    <t>MBL RE FIXED</t>
  </si>
  <si>
    <t>MBL BUSINESS SHARE SECURED FIXED</t>
  </si>
  <si>
    <t>MBL NON RE FIXED</t>
  </si>
  <si>
    <t>SBA PAYCHECK PROTECTION</t>
  </si>
  <si>
    <t>MBL 2ND DOT FIXED</t>
  </si>
  <si>
    <t>MBL DRAWABLE FIX</t>
  </si>
  <si>
    <t>MBL CONSTRUCTION FIXED</t>
  </si>
  <si>
    <t>MBL SPEC CONSTRUCTION FIXED</t>
  </si>
  <si>
    <t>MBL LAND FIXED</t>
  </si>
  <si>
    <t>CONTRA NON PERFORMING</t>
  </si>
  <si>
    <t>BUS LN WINSLOW-RESTRICTED</t>
  </si>
  <si>
    <t>MBL FIXED</t>
  </si>
  <si>
    <t>MTG LOAN RENTALS VARIABLE</t>
  </si>
  <si>
    <t>MBL LAND VARIABLE</t>
  </si>
  <si>
    <t>MBL VAR 1YR CMT</t>
  </si>
  <si>
    <t>MBL VAR 2YR CMT</t>
  </si>
  <si>
    <t>MBL VAR 3YR CMT</t>
  </si>
  <si>
    <t>MBL VAR 5YR CMT</t>
  </si>
  <si>
    <t>MBL VARIABLE PRIME</t>
  </si>
  <si>
    <t>MBL CONSTRUCTION VARIABLE</t>
  </si>
  <si>
    <t>MBL RLOC VARIABLE</t>
  </si>
  <si>
    <t>MBL 2ND DOT VARIABLE</t>
  </si>
  <si>
    <t>MBL VARIABLE</t>
  </si>
  <si>
    <t>MBL LOAN PARTICIPATION</t>
  </si>
  <si>
    <t>SUB MBL LOAN PARTICIPATION</t>
  </si>
  <si>
    <t>MEMBER BUSINESS</t>
  </si>
  <si>
    <t>VISA STANDARD 501</t>
  </si>
  <si>
    <t>VISA STANDARD 503</t>
  </si>
  <si>
    <t>VISA</t>
  </si>
  <si>
    <t>VISA REWARDS</t>
  </si>
  <si>
    <t>VISA SIG CASH BACK</t>
  </si>
  <si>
    <t>VISA CORPORATE</t>
  </si>
  <si>
    <t>VISA BUS REWARDS</t>
  </si>
  <si>
    <t>BUSINESS NEW VEHICLE FIXED</t>
  </si>
  <si>
    <t>BUSINESS USED VEHICLE FIXED</t>
  </si>
  <si>
    <t>SMALL BUS VEHICLE LOANS</t>
  </si>
  <si>
    <t>SMALL BUSINESS ADMIN LOANS</t>
  </si>
  <si>
    <t>SIGNATURE</t>
  </si>
  <si>
    <t>OVERDRAFT LOC</t>
  </si>
  <si>
    <t>PERSONAL LOC</t>
  </si>
  <si>
    <t>SIGNATURE/LOC</t>
  </si>
  <si>
    <t>ALL OTHER LOANS</t>
  </si>
  <si>
    <t>STUDENT LOANS</t>
  </si>
  <si>
    <t>SHARE SECURED LOANS</t>
  </si>
  <si>
    <t>REEDS MEADOW COOP</t>
  </si>
  <si>
    <t>MERGER LOANS</t>
  </si>
  <si>
    <t>MERGER LOANS FMV</t>
  </si>
  <si>
    <t>MERGER PCI LOANS FMV</t>
  </si>
  <si>
    <t>AIPOL LOANS-R</t>
  </si>
  <si>
    <t>AIPOL LOAN PARTICIPATIONS-R</t>
  </si>
  <si>
    <t>AIPOL 90% LOAN PARTICIPATION-R</t>
  </si>
  <si>
    <t>AIPOL MTG-RESTRICTED</t>
  </si>
  <si>
    <t>AIPOL LOANS</t>
  </si>
  <si>
    <t>TOTAL LOANS</t>
  </si>
  <si>
    <t>HFS MTG LOANS GUILD</t>
  </si>
  <si>
    <t>HFS MTG LOANS CHASE</t>
  </si>
  <si>
    <t>HFS MTG LOANS PHH</t>
  </si>
  <si>
    <t>HFS MTG LOANS SUNTRUST</t>
  </si>
  <si>
    <t>HFS MTG LOANS QR LENDING</t>
  </si>
  <si>
    <t>HFS MTG LOANS INDYMAC</t>
  </si>
  <si>
    <t>HFS MTG LOANS BB&amp;T</t>
  </si>
  <si>
    <t>HFS MTG LOANS BOA</t>
  </si>
  <si>
    <t>HFS MTG LOANS CU MEMBERS</t>
  </si>
  <si>
    <t>HFS MTG LOANS MFM</t>
  </si>
  <si>
    <t>HFS SUNLIGHT</t>
  </si>
  <si>
    <t>TOTAL HFS</t>
  </si>
  <si>
    <t>ALLOWANCE FOR CREDIT LOSSES</t>
  </si>
  <si>
    <t>720005-15</t>
  </si>
  <si>
    <t>ALLOWANCE - COVID</t>
  </si>
  <si>
    <t>ALLOWANCE FOR LOAN LOSS CP</t>
  </si>
  <si>
    <t>720025-30</t>
  </si>
  <si>
    <t>ALLOWANCE ENERGY EFF LOANS</t>
  </si>
  <si>
    <t>720035-50</t>
  </si>
  <si>
    <t>TOTAL ALLOWANCE  CREDIT LOSSES</t>
  </si>
  <si>
    <t>NET LOANS</t>
  </si>
  <si>
    <t>ACCRUED INTEREST</t>
  </si>
  <si>
    <t>740005-800</t>
  </si>
  <si>
    <t>MERGER ACCRUED INCOME</t>
  </si>
  <si>
    <t>ACCRUED INTEREST RECEIVABLE</t>
  </si>
  <si>
    <t>ASSETS IN PROCESS OF LIQUIDATION</t>
  </si>
  <si>
    <t>AIPOL PARTICIPATIONS</t>
  </si>
  <si>
    <t>AIPOL 90% PARTICIPATION</t>
  </si>
  <si>
    <t>FORECLOSED ASSETS</t>
  </si>
  <si>
    <t>MERGER OTHER ASSETS</t>
  </si>
  <si>
    <t>FORECLOSED/LIQUIDATED ASSETS</t>
  </si>
  <si>
    <t>LAND</t>
  </si>
  <si>
    <t>MERGER LAND NET FMV</t>
  </si>
  <si>
    <t>BUILDINGS</t>
  </si>
  <si>
    <t>BUILDING IMPROVEMENT</t>
  </si>
  <si>
    <t>WORK IN PROCESS</t>
  </si>
  <si>
    <t>ACCUM DEPR BUILDING</t>
  </si>
  <si>
    <t>MERGER BUILDING NET FMV</t>
  </si>
  <si>
    <t>MERGER ACCUM DEPR BUILDING</t>
  </si>
  <si>
    <t>LEASEHOLD IMPROVEMENTS</t>
  </si>
  <si>
    <t>ACCUM AMORT LEASEHOLDS</t>
  </si>
  <si>
    <t>FURNITURE/EQUIPMENT</t>
  </si>
  <si>
    <t>76-40/70/100</t>
  </si>
  <si>
    <t>DATA PROCESSING EQUIPMENT</t>
  </si>
  <si>
    <t>ATM EQUIPMENT</t>
  </si>
  <si>
    <t>WIP-CORP HQ PARKING RENOVATION</t>
  </si>
  <si>
    <t>WIP FURNITURE/EQUIPMENT</t>
  </si>
  <si>
    <t>WIP DP EQUIPMENT</t>
  </si>
  <si>
    <t>MERGER FURN/EQUIP NBV</t>
  </si>
  <si>
    <t>ACCUM DEPR EQUIPMENT</t>
  </si>
  <si>
    <t>760045-125</t>
  </si>
  <si>
    <t>EQUIPMENT CAPITAL LEASES</t>
  </si>
  <si>
    <t>ALLOWANCE CAPITAL LEASES</t>
  </si>
  <si>
    <t>PROPERTY/EQUIPMENT NET</t>
  </si>
  <si>
    <t>DEFERRED COMPENSATION</t>
  </si>
  <si>
    <t>ACCOUNTS RECEIVABLE</t>
  </si>
  <si>
    <t>790005-67</t>
  </si>
  <si>
    <t>MERGER MBR SHARE DRAFT CLEARING</t>
  </si>
  <si>
    <t>PREPAIDS</t>
  </si>
  <si>
    <t>790075-135</t>
  </si>
  <si>
    <t>MERGER PREPAIDS</t>
  </si>
  <si>
    <t>OTHER ASSETS</t>
  </si>
  <si>
    <t>TOTAL OTHER ASSETS</t>
  </si>
  <si>
    <t>MERGER CORE DEPOSITS</t>
  </si>
  <si>
    <t>MERGER GOODWILL</t>
  </si>
  <si>
    <t>INTANGIBLE ASSETS</t>
  </si>
  <si>
    <t>BENEFIT ASSET</t>
  </si>
  <si>
    <t>CORP OWNED LIFE INSURANCE</t>
  </si>
  <si>
    <t>ROU ASSET BUILDING</t>
  </si>
  <si>
    <t>ROU ASSET EQUIPMENT</t>
  </si>
  <si>
    <t>MISC OTHER ASSETS</t>
  </si>
  <si>
    <t>TOTAL ASSETS</t>
  </si>
  <si>
    <t>===================</t>
  </si>
  <si>
    <t>========</t>
  </si>
  <si>
    <t>REGULAR SHARES</t>
  </si>
  <si>
    <t>BUSINESS SAVINGS</t>
  </si>
  <si>
    <t>TOTAL REGULAR SHARES</t>
  </si>
  <si>
    <t>ESSENTIAL ACCOUNT</t>
  </si>
  <si>
    <t>PEAK ACCOUNT 0&lt;15K</t>
  </si>
  <si>
    <t>PEAK ACCOUNT &gt;15K</t>
  </si>
  <si>
    <t>TOTAL PEAK ACCOUNT</t>
  </si>
  <si>
    <t>GENERATION YOU CHECKING</t>
  </si>
  <si>
    <t>BUSINESS CHECKING</t>
  </si>
  <si>
    <t>T1 ELITE BUSINESS CHECKING</t>
  </si>
  <si>
    <t>T2 ELITE BUSINESS CHECKING</t>
  </si>
  <si>
    <t>T3 ELITE BUSINESS CHECKING</t>
  </si>
  <si>
    <t>T4 ELITE BUSINESS CHECKING</t>
  </si>
  <si>
    <t>T5 ELITE BUSINESS CHECKING</t>
  </si>
  <si>
    <t>ELITE BUSINESS CHECKING</t>
  </si>
  <si>
    <t>T1 BUSINESS PERFORMANCE CHECKING</t>
  </si>
  <si>
    <t>T2 BUSINESS PERFORMANCE CHECKING</t>
  </si>
  <si>
    <t>T3 BUSINESS PERFORMANCE CHECKING</t>
  </si>
  <si>
    <t>T4 BUSINESS PERFORMANCE CHECKING</t>
  </si>
  <si>
    <t>T5 BUSINESS PERFORMANCE CHECKING</t>
  </si>
  <si>
    <t>T6 BUSINESS PERFORMANCE CHECKING</t>
  </si>
  <si>
    <t>T7 BUSINESS PERFORMANCE CHECKING</t>
  </si>
  <si>
    <t>BUSINESS PERFORMANCE CHECKING</t>
  </si>
  <si>
    <t>GOLD CHECKING-RESTRICTED</t>
  </si>
  <si>
    <t>BUS CHECKING GOLD-RESTRICTED</t>
  </si>
  <si>
    <t>HOME EQUITY CHECKING-RESTRICTED</t>
  </si>
  <si>
    <t>MEMBER CHECKING</t>
  </si>
  <si>
    <t>ESCROW SHARES KCU</t>
  </si>
  <si>
    <t>ESCROW SHARES</t>
  </si>
  <si>
    <t>ESCROW SHARES EE</t>
  </si>
  <si>
    <t>IRA SHARES</t>
  </si>
  <si>
    <t>MEMBER IRA SHARES</t>
  </si>
  <si>
    <t>03 MONTH CERT</t>
  </si>
  <si>
    <t>04 MONTH CERT</t>
  </si>
  <si>
    <t>05 MONTH CERT</t>
  </si>
  <si>
    <t>06 MONTH CERT</t>
  </si>
  <si>
    <t>07 MONTH CERT</t>
  </si>
  <si>
    <t>08 MONTH CERT</t>
  </si>
  <si>
    <t>09 MONTH CERT</t>
  </si>
  <si>
    <t>10 MONTH CERT</t>
  </si>
  <si>
    <t>11 MONTH CERT</t>
  </si>
  <si>
    <t>12 MONTH CERT</t>
  </si>
  <si>
    <t>13 MONTH CERT</t>
  </si>
  <si>
    <t>15 MONTH CERT</t>
  </si>
  <si>
    <t>16 MONTH CERT</t>
  </si>
  <si>
    <t>17 MONTH CERT</t>
  </si>
  <si>
    <t>18 MONTH CERT</t>
  </si>
  <si>
    <t>18 MONTH CERT YOUTH</t>
  </si>
  <si>
    <t>18 MONTH CERT ADD-ON</t>
  </si>
  <si>
    <t>24 MONTH CERT</t>
  </si>
  <si>
    <t>27 MONTH CERT</t>
  </si>
  <si>
    <t>36 MONTH CERT</t>
  </si>
  <si>
    <t>41 MONTH CERT</t>
  </si>
  <si>
    <t>48 MONTH CERT</t>
  </si>
  <si>
    <t>60 MONTH CERT</t>
  </si>
  <si>
    <t>06 MONTH CERT JUMBO</t>
  </si>
  <si>
    <t>12 MONTH CERT JUMBO</t>
  </si>
  <si>
    <t>13 MONTH CERT JUMBO</t>
  </si>
  <si>
    <t>06 MONTH CERT YOUTH ADD-ON</t>
  </si>
  <si>
    <t>12 MONTH CERT YOUTH ADD-ON</t>
  </si>
  <si>
    <t>12 MONTH CERT BUMP</t>
  </si>
  <si>
    <t>24 MONTH CERT BUMP</t>
  </si>
  <si>
    <t>36 MONTH CERT BUMP</t>
  </si>
  <si>
    <t>48 MONTH CERT BUMP</t>
  </si>
  <si>
    <t>60 MONTH CERT BUMP</t>
  </si>
  <si>
    <t>12 MONTH CERT ADD-ON</t>
  </si>
  <si>
    <t>24 MONTH CERT ADD-ON</t>
  </si>
  <si>
    <t>07 MONTH CERT ADD-ON</t>
  </si>
  <si>
    <t>20 MONTH CERT</t>
  </si>
  <si>
    <t>21 MONTH CERT</t>
  </si>
  <si>
    <t>28 MONTH CERT</t>
  </si>
  <si>
    <t>03 MONTH CERT BUS</t>
  </si>
  <si>
    <t>04 MONTH CERT BUS</t>
  </si>
  <si>
    <t>05 MONTH CERT BUS</t>
  </si>
  <si>
    <t>06 MONTH CERT BUS</t>
  </si>
  <si>
    <t>07 MONTH CERT BUS</t>
  </si>
  <si>
    <t>08 MONTH CERT BUS</t>
  </si>
  <si>
    <t>09 MONTH CERT BUS</t>
  </si>
  <si>
    <t>10 MONTH CERT BUS</t>
  </si>
  <si>
    <t>11 MONTH CERT BUS</t>
  </si>
  <si>
    <t>12 MONTH CERT BUS</t>
  </si>
  <si>
    <t>13 MONTH CERT BUS</t>
  </si>
  <si>
    <t>15 MONTH CERT BUS</t>
  </si>
  <si>
    <t>17 MONTH CERT BUS</t>
  </si>
  <si>
    <t>18 MONTH CERT ADD-ON BUS</t>
  </si>
  <si>
    <t>24 MONTH CERT BUS</t>
  </si>
  <si>
    <t>27 MONTH CERT BUS</t>
  </si>
  <si>
    <t>24 MONTH CERT ADD-ON BUS</t>
  </si>
  <si>
    <t>36 MONTH CERT BUS</t>
  </si>
  <si>
    <t>48 MONTH CERT BUS</t>
  </si>
  <si>
    <t>60 MONTH CERT BUS</t>
  </si>
  <si>
    <t>12 MONTH CERT BUMP BUS</t>
  </si>
  <si>
    <t>24 MONTH CERT BUMP BUS</t>
  </si>
  <si>
    <t>36 MONTH CERT BUMP BUS</t>
  </si>
  <si>
    <t>48 MONTH CERT BUMP BUS</t>
  </si>
  <si>
    <t>60 MONTH CERT BUMP BUS</t>
  </si>
  <si>
    <t>06 MONTH CERT JUMBO BUS</t>
  </si>
  <si>
    <t>12 MONTH CERT JUMBO BUS</t>
  </si>
  <si>
    <t>01 MONTH  OMWBE CERT</t>
  </si>
  <si>
    <t>181-DAY OST SURPLUS FUNDS CERT</t>
  </si>
  <si>
    <t>MEMBER CERTIFICATES</t>
  </si>
  <si>
    <t>03 MONTH CERT IRA</t>
  </si>
  <si>
    <t>04 MONTH CERT IRA</t>
  </si>
  <si>
    <t>05 MONTH CERT IRA</t>
  </si>
  <si>
    <t>06 MONTH CERT IRA</t>
  </si>
  <si>
    <t>07 MONTH CERT IRA</t>
  </si>
  <si>
    <t>08 MONTH CERT IRA</t>
  </si>
  <si>
    <t>09 MONTH CERT IRA</t>
  </si>
  <si>
    <t>10 MONTH CERT IRA</t>
  </si>
  <si>
    <t>11 MONTH CERT IRA</t>
  </si>
  <si>
    <t>12 MONTH CERT IRA</t>
  </si>
  <si>
    <t>13 MONTH CERT IRA</t>
  </si>
  <si>
    <t>15 MONTH CERT IRA</t>
  </si>
  <si>
    <t>16 MONTH CERT IRA</t>
  </si>
  <si>
    <t>17 MONTH CERT IRA</t>
  </si>
  <si>
    <t>18 MONTH CERT IRA</t>
  </si>
  <si>
    <t>18 MONTH CERT ADD-ON IRA</t>
  </si>
  <si>
    <t>24 MONTH CERT IRA</t>
  </si>
  <si>
    <t>27 MONTH CERT IRA</t>
  </si>
  <si>
    <t>36 MONTH CERT IRA</t>
  </si>
  <si>
    <t>41 MONTH CERT IRA</t>
  </si>
  <si>
    <t>48 MONTH CERT IRA</t>
  </si>
  <si>
    <t>60 MONTH CERT IRA</t>
  </si>
  <si>
    <t>12 MONTH CERT BUMP IRA</t>
  </si>
  <si>
    <t>24 MONTH CERT BUMP IRA</t>
  </si>
  <si>
    <t>36 MONTH CERT BUMP IRA</t>
  </si>
  <si>
    <t>48 MONTH CERT BUMP IRA</t>
  </si>
  <si>
    <t>60 MONTH CERT BUMP IRA</t>
  </si>
  <si>
    <t>12 MONTH CERT ADD-ON IRA</t>
  </si>
  <si>
    <t>24 MONTH CERT ADD-ON IRA</t>
  </si>
  <si>
    <t>06 MONTH CERT JUMBO IRA</t>
  </si>
  <si>
    <t>12 MONTH CERT JUMBO IRA</t>
  </si>
  <si>
    <t>13 MONTH CERT JUMBO IRA</t>
  </si>
  <si>
    <t>MEMBER IRA CERTIFICATES</t>
  </si>
  <si>
    <t>T0 MONEY MARKET</t>
  </si>
  <si>
    <t>T1 MONEY MARKET</t>
  </si>
  <si>
    <t>T2 MONEY MARKET</t>
  </si>
  <si>
    <t>T3 MONEY MARKET</t>
  </si>
  <si>
    <t>T4 MONEY MARKET</t>
  </si>
  <si>
    <t>T5 MONEY MARKET</t>
  </si>
  <si>
    <t>T6 MONEY MARKET</t>
  </si>
  <si>
    <t>T7 MONEY MARKET</t>
  </si>
  <si>
    <t>MONEY MARKET</t>
  </si>
  <si>
    <t>PREMIUM MONEY MARKET</t>
  </si>
  <si>
    <t>T0 DIAMOND MONEY MARKET</t>
  </si>
  <si>
    <t>T1 DIAMOND MONEY MARKET</t>
  </si>
  <si>
    <t>T2 DIAMOND MONEY MARKET</t>
  </si>
  <si>
    <t>T3 DIAMOND MONEY MARKET</t>
  </si>
  <si>
    <t>T4 DIAMOND MONEY MARKET</t>
  </si>
  <si>
    <t>T5 DIAMOND MONEY MARKET</t>
  </si>
  <si>
    <t>T6 DIAMOND MONEY MARKET</t>
  </si>
  <si>
    <t>T7 DIAMOND MONEY MARKET</t>
  </si>
  <si>
    <t>DIAMOND MONEY MARKET</t>
  </si>
  <si>
    <t>T0 BUSINESS MONEY MARKET</t>
  </si>
  <si>
    <t>T1 BUSINESS MONEY MARKET</t>
  </si>
  <si>
    <t>T2 BUSINESS MONEY MARKET</t>
  </si>
  <si>
    <t>T3 BUSINESS MONEY MARKET</t>
  </si>
  <si>
    <t>T4 BUSINESS MONEY MARKET</t>
  </si>
  <si>
    <t>T5 BUSINESS MONEY MARKET</t>
  </si>
  <si>
    <t>T6 BUSINESS MONEY MARKET</t>
  </si>
  <si>
    <t>T7 BUSINESS MONEY MARKET</t>
  </si>
  <si>
    <t>BUSINESS MONEY MARKET</t>
  </si>
  <si>
    <t>BUSINESS PREMIUM MONEY MARKET</t>
  </si>
  <si>
    <t>T0 BUSINESS DIAMOND MONEY MARKET</t>
  </si>
  <si>
    <t>T1 BUSINESS DIAMOND MONEY MARKET</t>
  </si>
  <si>
    <t>T2 BUSINESS DIAMOND MONEY MARKET</t>
  </si>
  <si>
    <t>T3 BUSINESS DIAMOND MONEY MARKET</t>
  </si>
  <si>
    <t>T4 BUSINESS DIAMOND MONEY MARKET</t>
  </si>
  <si>
    <t>T5 BUSINESS DIAMOND MONEY MARKET</t>
  </si>
  <si>
    <t>T6 BUSINESS DIAMOND MONEY MARKET</t>
  </si>
  <si>
    <t>T7 BUSINESS DIAMOND MONEY MARKET</t>
  </si>
  <si>
    <t>BUSINESS DIAMOND MONEY MARKET</t>
  </si>
  <si>
    <t>MEMBER MONEY MARKET ACCOUNT</t>
  </si>
  <si>
    <t>MERGER SHARE CERTIFICATES</t>
  </si>
  <si>
    <t>MERGER SHARE CERTIFICATE DISC</t>
  </si>
  <si>
    <t>TOTAL MERGER SHARES</t>
  </si>
  <si>
    <t>TOTAL MEMBER SHARES</t>
  </si>
  <si>
    <t>SHARE DIVIDEND ALLOCATION-R</t>
  </si>
  <si>
    <t>DIVIDEND ALLOCATION</t>
  </si>
  <si>
    <t>FHLB BORROWING-OVERNIGHT</t>
  </si>
  <si>
    <t>FRB BORROWINGS-OVERNIGHT</t>
  </si>
  <si>
    <t>FRB BORROWING-FIXED</t>
  </si>
  <si>
    <t>FHLB BORROWINGS PUTABLE</t>
  </si>
  <si>
    <t>FHLB BORROWINGS FIXED</t>
  </si>
  <si>
    <t>FHLB BORROWINGS AMORTIZED</t>
  </si>
  <si>
    <t>BORROWED FUNDS</t>
  </si>
  <si>
    <t>ACCOUNTS PAYABLE</t>
  </si>
  <si>
    <t>830010-98</t>
  </si>
  <si>
    <t>TAXES PAYABLE</t>
  </si>
  <si>
    <t>830120-141</t>
  </si>
  <si>
    <t>BORROWING INTEREST</t>
  </si>
  <si>
    <t>COMPENSATION/BENEFITS</t>
  </si>
  <si>
    <t>830145-225</t>
  </si>
  <si>
    <t>OTHER LIABILITIES</t>
  </si>
  <si>
    <t>830226-512</t>
  </si>
  <si>
    <t>MERGER LIABILITIES</t>
  </si>
  <si>
    <t>DEFERRED INCOME</t>
  </si>
  <si>
    <t>830395-410</t>
  </si>
  <si>
    <t>ACCRUED EXPENSE/PAYABLE</t>
  </si>
  <si>
    <t>TOTAL LIABILITIES</t>
  </si>
  <si>
    <t>REGULAR RESERVES</t>
  </si>
  <si>
    <t>UNREALIZED G/L INVESTMENTS</t>
  </si>
  <si>
    <t>UNDIVIDED EARNINGS</t>
  </si>
  <si>
    <t>MERGER ACQUIRED EQUITY</t>
  </si>
  <si>
    <t>NET INCOME</t>
  </si>
  <si>
    <t>ALLOCATED EQUITY</t>
  </si>
  <si>
    <t>TOTAL EQUITY</t>
  </si>
  <si>
    <t>TOTAL LIABILITIES/EQUITY</t>
  </si>
  <si>
    <t>TTL</t>
  </si>
  <si>
    <t>Run Rate</t>
  </si>
  <si>
    <t>RunRate</t>
  </si>
  <si>
    <t>Act RR</t>
  </si>
  <si>
    <t>Proj RR</t>
  </si>
  <si>
    <t>INVESTMENT INCOME-OVERNIGHT</t>
  </si>
  <si>
    <t>NET INV INT INC</t>
  </si>
  <si>
    <t>INVESTMENT INCOME-FEDERAL AGENCY</t>
  </si>
  <si>
    <t>PSCU PATRONAGE DIV INC</t>
  </si>
  <si>
    <t>INVESTMENT INCOME-LONG TERM INV</t>
  </si>
  <si>
    <t>INVESTMENT INCOME ALLOCATION</t>
  </si>
  <si>
    <t>INVESTMENT ALLOCATION</t>
  </si>
  <si>
    <t>INT INC INVESTMENTS</t>
  </si>
  <si>
    <t>DEALER FINANCE RV NEW</t>
  </si>
  <si>
    <t>AMORT DLR RSRVS RV NEW</t>
  </si>
  <si>
    <t>DEALER FINANCE RV USED</t>
  </si>
  <si>
    <t>AMORT DLR RSRVS RV USED</t>
  </si>
  <si>
    <t>INT INC DEALER FINANCE</t>
  </si>
  <si>
    <t>INTEREST INCOME-LN PARTICIPATION</t>
  </si>
  <si>
    <t>INT INC SUNLIGHT</t>
  </si>
  <si>
    <t>AMORT SUNLIGHT FEE INCOME</t>
  </si>
  <si>
    <t>INT INC SUNLIGHT LOANS</t>
  </si>
  <si>
    <t>INT INC VEHICLE</t>
  </si>
  <si>
    <t>AMORT - MFM 15YR</t>
  </si>
  <si>
    <t>AMORT - MFM 20YR</t>
  </si>
  <si>
    <t>AMORT - MFM 30YR</t>
  </si>
  <si>
    <t>INT INC MTG FIXED</t>
  </si>
  <si>
    <t>AMORT - MFM 30 YR ARM 7.6</t>
  </si>
  <si>
    <t>AMORT - MFM 30 YR ARM 10.6</t>
  </si>
  <si>
    <t>INT INC MTG 5/6 ARM MFM IMPP</t>
  </si>
  <si>
    <t>INT INC MTG 7/6 ARM MFM IMPP</t>
  </si>
  <si>
    <t>INT INC MTG 10/6 ARM MFM IMPP</t>
  </si>
  <si>
    <t>MTG 30YR JUMBO ARM 7.1</t>
  </si>
  <si>
    <t>AMORT - MFM 30 YR ARM 5.6</t>
  </si>
  <si>
    <t>INT INC MTG VAR</t>
  </si>
  <si>
    <t>INT INC MTG CONSTRUCTION</t>
  </si>
  <si>
    <t>INT INC MORTGAGE</t>
  </si>
  <si>
    <t>INT INC LOAN PART MTG ARM</t>
  </si>
  <si>
    <t>INT INC LOAN PART-MTG FX</t>
  </si>
  <si>
    <t>HOME EQUITY 1ST 12YR FIXED</t>
  </si>
  <si>
    <t>INT INC HOME EQUITY FIXED</t>
  </si>
  <si>
    <t>INT INC HELOC</t>
  </si>
  <si>
    <t>INT INC LOAN PART HOME EQUITY</t>
  </si>
  <si>
    <t>INT INC LOAN PART-HELOC</t>
  </si>
  <si>
    <t>INT INC MBL FIXED</t>
  </si>
  <si>
    <t>INT INC MBL VARIABLE</t>
  </si>
  <si>
    <t>INT INC MBL</t>
  </si>
  <si>
    <t>INT INC VISA</t>
  </si>
  <si>
    <t>INT INC SMALL BUS VEHICLE LOANS</t>
  </si>
  <si>
    <t>INT INC SIGNATURE/LOC</t>
  </si>
  <si>
    <t>INT INC ALL OTHER LOANS</t>
  </si>
  <si>
    <t>INT INC MFM HFS</t>
  </si>
  <si>
    <t>INT INC HFS LOANS</t>
  </si>
  <si>
    <t>TOTAL LOAN INTEREST</t>
  </si>
  <si>
    <t>TOTAL INTEREST INCOME</t>
  </si>
  <si>
    <t>INT EXP SHARES</t>
  </si>
  <si>
    <t>PEAK ACCOUNT</t>
  </si>
  <si>
    <t>INT EXP CHECKING</t>
  </si>
  <si>
    <t>INT EXP IRA SHARES</t>
  </si>
  <si>
    <t>INT EXP MEMBER CERTIFICATES</t>
  </si>
  <si>
    <t>INT EXP IRA CERTIFICATES</t>
  </si>
  <si>
    <t>INT EXP MONEY MARKET ACCOUNTS</t>
  </si>
  <si>
    <t>INT EXP DEPOSITS</t>
  </si>
  <si>
    <t>INTEREST ON OVERNIGHT BORROWINGS</t>
  </si>
  <si>
    <t>INT FRB BORR-FIXED</t>
  </si>
  <si>
    <t>PART/LEND EXPAN</t>
  </si>
  <si>
    <t>INT EXP BORROWED FUNDS</t>
  </si>
  <si>
    <t>SUB TOTAL INTEREST EXPENSE</t>
  </si>
  <si>
    <t>TOTAL INTEREST EXPENSE</t>
  </si>
  <si>
    <t>NET INTEREST INCOME</t>
  </si>
  <si>
    <t>PROVISION FOR LOAN LOSS</t>
  </si>
  <si>
    <t>PROVISION - COVID</t>
  </si>
  <si>
    <t>PROVISION COURTESY PAY</t>
  </si>
  <si>
    <t>TOTAL PROVISION FOR LOAN LOSS</t>
  </si>
  <si>
    <t>LOAN SERVICE FEE INCOME</t>
  </si>
  <si>
    <t>LOAN PARTICIPATION SERVICE FEE</t>
  </si>
  <si>
    <t>INCOME LOANS SOLD</t>
  </si>
  <si>
    <t>MISCELLANEOUS FEE</t>
  </si>
  <si>
    <t>NSF FEES</t>
  </si>
  <si>
    <t>NSF FEE REFUNDED/WAIVED</t>
  </si>
  <si>
    <t>COURTESY PAY FEES</t>
  </si>
  <si>
    <t>CP FEE REFUNDED/WAIVED</t>
  </si>
  <si>
    <t>RETURN DEPOSITED ITEM</t>
  </si>
  <si>
    <t>STOP PYMT FEE</t>
  </si>
  <si>
    <t>FUNDS TRANSFER FEE</t>
  </si>
  <si>
    <t>VISA INTERNATIONAL FEE</t>
  </si>
  <si>
    <t>ATM W/D FEE-KCU CRD NON KCU ATMS</t>
  </si>
  <si>
    <t>SAFE DEPOSIT BOX KEY FEES</t>
  </si>
  <si>
    <t>BAD ADDRESS FEE</t>
  </si>
  <si>
    <t>INACTIVE FEE</t>
  </si>
  <si>
    <t>LEGAL RESEARCH FEE</t>
  </si>
  <si>
    <t>ACCOUNT RESEARCH FEE</t>
  </si>
  <si>
    <t>LEGAL PROCESSING FEE</t>
  </si>
  <si>
    <t>STATEMENT COPY FEE</t>
  </si>
  <si>
    <t>SIGNATURE GUARANTEE FEE</t>
  </si>
  <si>
    <t>MONEY ORDER FEE</t>
  </si>
  <si>
    <t>CORPORATE CHECK FEE</t>
  </si>
  <si>
    <t>CHECK COPY FEE</t>
  </si>
  <si>
    <t>MONEY MARKET FEE</t>
  </si>
  <si>
    <t>WIRE INCOMING/RETURNED FEE</t>
  </si>
  <si>
    <t>CARD ORDER FEE</t>
  </si>
  <si>
    <t>PREMIER CLUB RENEWAL FEE</t>
  </si>
  <si>
    <t>BUSINESS ACH FEE</t>
  </si>
  <si>
    <t>DEPOSIT ACCOUNT TRANSFER FEE</t>
  </si>
  <si>
    <t>INDIRECT LENDING PROCESSING FEE</t>
  </si>
  <si>
    <t>TEMPORARY CHECK FEE</t>
  </si>
  <si>
    <t>PERSONAL LOC ANNUAL FEE</t>
  </si>
  <si>
    <t>LOAN SKIP A PAYMENT FEE</t>
  </si>
  <si>
    <t>MBL ORIGINATION FEE</t>
  </si>
  <si>
    <t>MBL PROCESSING FEE</t>
  </si>
  <si>
    <t>MBL PAYOFF REQUEST FEE</t>
  </si>
  <si>
    <t>MBL CLOSING FEE</t>
  </si>
  <si>
    <t>VISA LATE FEE</t>
  </si>
  <si>
    <t>SBL LATE FEE</t>
  </si>
  <si>
    <t>O/D LOC LATE FEE</t>
  </si>
  <si>
    <t>CONSUMER LOAN LATE FEE</t>
  </si>
  <si>
    <t>MTG LATE FEE</t>
  </si>
  <si>
    <t>MFM ORIGINATION FEE</t>
  </si>
  <si>
    <t>MBL LATE FEE</t>
  </si>
  <si>
    <t>HELOC TERMINATION/ACTIVATION FEE</t>
  </si>
  <si>
    <t>LOAN SUBORDINATION FEE</t>
  </si>
  <si>
    <t>VISA BALANCE PROMO FEE</t>
  </si>
  <si>
    <t>VISA REWARDS BALANCE PROMO FEE</t>
  </si>
  <si>
    <t>VISA CASH BACK BALANCE PROMO FEE</t>
  </si>
  <si>
    <t>BUSINESS CHECKING FEES</t>
  </si>
  <si>
    <t>BUSINESS POSITIVE PAY FEE</t>
  </si>
  <si>
    <t>BUSINESS WIRE FEE</t>
  </si>
  <si>
    <t>BUSINESS DESKTOP RDC FEE</t>
  </si>
  <si>
    <t>PAY BY PHONE FEE</t>
  </si>
  <si>
    <t>RETURNED LOAN PAYMENT FEE</t>
  </si>
  <si>
    <t>FEE INCOME</t>
  </si>
  <si>
    <t>CORPORATE OWNED LIFE INSURANCE</t>
  </si>
  <si>
    <t>MISCELLANEOUS INCOME</t>
  </si>
  <si>
    <t>CU LPL COMMISSION</t>
  </si>
  <si>
    <t>TGA SERVICE INCOME</t>
  </si>
  <si>
    <t>NON MBR CHECK CASHING FEE</t>
  </si>
  <si>
    <t>CHECK PRINTING INCOME</t>
  </si>
  <si>
    <t>ATM SURCHG-NON KCU CRD KCU ATM</t>
  </si>
  <si>
    <t>ATM FOREIGN DEP FEE</t>
  </si>
  <si>
    <t>ATM INTERCHANGE FRM NON KCU MBRS</t>
  </si>
  <si>
    <t>RTP MISC INCOME</t>
  </si>
  <si>
    <t>LEASE INCOME</t>
  </si>
  <si>
    <t>DEBT PROTECTION INC</t>
  </si>
  <si>
    <t>GAP INSURANCE</t>
  </si>
  <si>
    <t>GAP PROFIT SHARING INC</t>
  </si>
  <si>
    <t>AD&amp;D INSURANCE</t>
  </si>
  <si>
    <t>TRUSTAGE INSURANCE HOME/AUTO</t>
  </si>
  <si>
    <t>TRUSTAGE INSURANCE LIFE</t>
  </si>
  <si>
    <t>CROSS COUNTRY WARR COMMISSION</t>
  </si>
  <si>
    <t>GEN YOU DEB CARD INTERCHG INC</t>
  </si>
  <si>
    <t>DEBIT CARD INTERCHANGE INC</t>
  </si>
  <si>
    <t>BUSINESS DB CARD INTERCHANGE INC</t>
  </si>
  <si>
    <t>VISA INTERCHNG INC</t>
  </si>
  <si>
    <t>VISA REWARDS INTERCHNG INC</t>
  </si>
  <si>
    <t>VISA CASHBACK INTERCHNG INC</t>
  </si>
  <si>
    <t>VISA BUS REWARDS INTERCHNG INC</t>
  </si>
  <si>
    <t>GRANT INCOME</t>
  </si>
  <si>
    <t>CASH ADV</t>
  </si>
  <si>
    <t>MERCHANT SERVICES</t>
  </si>
  <si>
    <t>GAIN/LOSS ON SALE OF INVESTMENTS</t>
  </si>
  <si>
    <t>GAIN/LOSS ON DISPOSABLE ASSETS</t>
  </si>
  <si>
    <t>GAIN/LOSS LOANS SOLD</t>
  </si>
  <si>
    <t>GAIN/LOSS</t>
  </si>
  <si>
    <t>NON INTEREST INCOME</t>
  </si>
  <si>
    <t>SALARY REGULAR</t>
  </si>
  <si>
    <t>VARIABLE/BONUS COMP</t>
  </si>
  <si>
    <t>BRANCH OPS INCENTIVE PLAN</t>
  </si>
  <si>
    <t>INCENTIVE PROGRAMS</t>
  </si>
  <si>
    <t>SALARY OVERTIME</t>
  </si>
  <si>
    <t>EMPLOYEE VOLUNTEER HOURS</t>
  </si>
  <si>
    <t>VACATION LEAVE</t>
  </si>
  <si>
    <t>VACATION PAYOUT</t>
  </si>
  <si>
    <t>SICK LEAVE</t>
  </si>
  <si>
    <t>TAXABLE FRINGE BENEFITS</t>
  </si>
  <si>
    <t>COMMISSIONS</t>
  </si>
  <si>
    <t>COMPENSATION</t>
  </si>
  <si>
    <t>PENSION ADMIN COSTS &amp; FEES</t>
  </si>
  <si>
    <t>SELF FUNDED MEDICAL LIABILITY</t>
  </si>
  <si>
    <t>401K ADMINISTRATION COSTS</t>
  </si>
  <si>
    <t>401K KCU MATCHING FUNDS</t>
  </si>
  <si>
    <t>401K SAFE HARBOR NON ELECTIVE</t>
  </si>
  <si>
    <t>SOCIAL SECURITY TAX</t>
  </si>
  <si>
    <t>WA STATE UNEMPLOYMENT COMP</t>
  </si>
  <si>
    <t>OUTSOURCHED MEDICAL</t>
  </si>
  <si>
    <t>EMPLOYEES ASSIST PROGRAM</t>
  </si>
  <si>
    <t>WHIL DIGITAL WELLNESS</t>
  </si>
  <si>
    <t>CARE.COM</t>
  </si>
  <si>
    <t>SELF FUNDED MEDICAL/DENTAL</t>
  </si>
  <si>
    <t>HEALTH SAVINGS ACCOUNTS</t>
  </si>
  <si>
    <t>LABOR/INDUSTRIES TAX</t>
  </si>
  <si>
    <t>PFML TAX</t>
  </si>
  <si>
    <t>FUTA TAX</t>
  </si>
  <si>
    <t>MEDICAL ADMIN FEES</t>
  </si>
  <si>
    <t>EMPLOYEE LIFE INSURANCE</t>
  </si>
  <si>
    <t>EMPLOYEE DISABILITY INSURANCE</t>
  </si>
  <si>
    <t>CORPORATE MERCHANDISE</t>
  </si>
  <si>
    <t>KCU ACTIVITIES</t>
  </si>
  <si>
    <t>EMPLOYEE RECOGNITION</t>
  </si>
  <si>
    <t>EMPLOYEE WELLNESS PROGRAMS</t>
  </si>
  <si>
    <t>EMPLOYEE ACTIVITIES</t>
  </si>
  <si>
    <t>COLLEGE REIMBURSEMENT</t>
  </si>
  <si>
    <t>BENEFITS</t>
  </si>
  <si>
    <t>RENT</t>
  </si>
  <si>
    <t>BUILDING/FACILITIES MAINTENANCE</t>
  </si>
  <si>
    <t>JANITORIAL</t>
  </si>
  <si>
    <t>UTILITIES</t>
  </si>
  <si>
    <t>DEPREC BUILDINGS</t>
  </si>
  <si>
    <t>AMORTIZATION LEASEHOLD IMPROV</t>
  </si>
  <si>
    <t>REAL ESTATE TAXES</t>
  </si>
  <si>
    <t>BUILDING LEASE EXPENSE</t>
  </si>
  <si>
    <t>OFFICE OCCUPANCY</t>
  </si>
  <si>
    <t>PERSONAL PROPERTY TAXES</t>
  </si>
  <si>
    <t>TELECOMMUNICATIONS</t>
  </si>
  <si>
    <t>DATA LINES</t>
  </si>
  <si>
    <t>ATM DATA LINES-NLU</t>
  </si>
  <si>
    <t>CABLE</t>
  </si>
  <si>
    <t>STATEMENT PROCESSING/POSTAGE</t>
  </si>
  <si>
    <t>E-STATEMENTS</t>
  </si>
  <si>
    <t>IRA STMT PROCESSING/POSTAGE</t>
  </si>
  <si>
    <t>VISA STATEMENT PROCESSING/POSTAG</t>
  </si>
  <si>
    <t>HELOC STATEMENT PROCESSNG/PSTAGE</t>
  </si>
  <si>
    <t>STATEMENT POSTAGE</t>
  </si>
  <si>
    <t>POSTAGE</t>
  </si>
  <si>
    <t>FREIGHT/DELIVERY</t>
  </si>
  <si>
    <t>CASH RECYCLER MAINTENANCE</t>
  </si>
  <si>
    <t>ATM SPACE RENTAL</t>
  </si>
  <si>
    <t>F&amp;E/ATM MAINTENANCE</t>
  </si>
  <si>
    <t>PHYSICAL SECURITY</t>
  </si>
  <si>
    <t>ATM EQUIPMENT MAINTENANCE</t>
  </si>
  <si>
    <t>DP EQUIPMENT MAINTENANCE</t>
  </si>
  <si>
    <t>SOFTWARE/MAINTENANCE-RESTRICTED</t>
  </si>
  <si>
    <t>SFTWR/MAINT/WEB SVC EXPENSE</t>
  </si>
  <si>
    <t>EQUIPMENT LEASE EXPENSE</t>
  </si>
  <si>
    <t>KCU WEBSITE EXPENSES</t>
  </si>
  <si>
    <t>WEB BASED SERVICES</t>
  </si>
  <si>
    <t>IRA SERVICES</t>
  </si>
  <si>
    <t>HOME BANKING</t>
  </si>
  <si>
    <t>DIGITAL PRODUCT DELIVERY CHANNEL</t>
  </si>
  <si>
    <t>STATIONARY/SUPPLIES</t>
  </si>
  <si>
    <t>JANITORIAL SUPPLIES</t>
  </si>
  <si>
    <t>DUES/SUBSCRIPTIONS</t>
  </si>
  <si>
    <t>GENERATION YOU DEBIT CARD</t>
  </si>
  <si>
    <t>DEBIT CARD</t>
  </si>
  <si>
    <t>BUSINESS DEBIT CARD</t>
  </si>
  <si>
    <t>ATM SUPPLIES/PLASTIC</t>
  </si>
  <si>
    <t>ATM PLASTICS-RESTRICTED</t>
  </si>
  <si>
    <t>ATM CASH SERVICING</t>
  </si>
  <si>
    <t>ATM MONTHLY NETWORK FEE</t>
  </si>
  <si>
    <t>ATM FOREIGN TRANSACTIONS CR</t>
  </si>
  <si>
    <t>ATM FOREIGN TRANSACTIONS DR</t>
  </si>
  <si>
    <t>ATM ANNUAL MEMBERSHIP</t>
  </si>
  <si>
    <t>OTHER ATM OPERATING EXPENSES</t>
  </si>
  <si>
    <t>INVESTMENT REFERRALS</t>
  </si>
  <si>
    <t>KCU INSURANCE</t>
  </si>
  <si>
    <t>CEO BUSINESS DEVELOPMENT</t>
  </si>
  <si>
    <t>SET BUSINESS DEVELOPMENT</t>
  </si>
  <si>
    <t>LUNCHEON/SERVICE ORGANIZATIONS</t>
  </si>
  <si>
    <t>JET LUNCHES</t>
  </si>
  <si>
    <t>REGIONAL BRANCH MGS BUS DEV-R</t>
  </si>
  <si>
    <t>DEPRECIATION</t>
  </si>
  <si>
    <t>420200/220</t>
  </si>
  <si>
    <t>DEPR DP EQUIP EXPENSE</t>
  </si>
  <si>
    <t>DEPR TELECOMMUNICATIONS</t>
  </si>
  <si>
    <t>DEPR LEASED EQUIPMENT</t>
  </si>
  <si>
    <t>DEPR AUTOMOBILE</t>
  </si>
  <si>
    <t>CASH SERVICING</t>
  </si>
  <si>
    <t>SECURITY GUARD SERVICE</t>
  </si>
  <si>
    <t>FALSE ALARMS</t>
  </si>
  <si>
    <t>MILEAGE REIMBURSEMENT</t>
  </si>
  <si>
    <t>CU CAR FLEET</t>
  </si>
  <si>
    <t>F &amp; E SMALL ITEM</t>
  </si>
  <si>
    <t>COMPUTER HD SMALL ITEM</t>
  </si>
  <si>
    <t>CHECK PROCESSING CHARGES</t>
  </si>
  <si>
    <t>FEDERAL RESERVE SERVICE CHARGES</t>
  </si>
  <si>
    <t>FHLB SERVICE CHARGES</t>
  </si>
  <si>
    <t>MONEYGRAM SERVICE FEE</t>
  </si>
  <si>
    <t>NEW ACCOUNT CREDIT REVIEW</t>
  </si>
  <si>
    <t>OFFSITE STORAGE</t>
  </si>
  <si>
    <t>UBI TAX</t>
  </si>
  <si>
    <t>MICROGRAPH SUPPLIES-RESTRICTED</t>
  </si>
  <si>
    <t>WEST BRDG CHGS-RESTRICTED</t>
  </si>
  <si>
    <t>WEST BRDG SD-RESTRICTED</t>
  </si>
  <si>
    <t>MICROGRAPHIC-RESTRICTED</t>
  </si>
  <si>
    <t>E&amp;O INSURANCE-RESTRICTED</t>
  </si>
  <si>
    <t>OPERATIONAL EXCELLENCE</t>
  </si>
  <si>
    <t>MERGER BANK/CORP SERVICE CHARGES</t>
  </si>
  <si>
    <t>OFFICE OPERATIONS</t>
  </si>
  <si>
    <t>ATTORNEY FEES</t>
  </si>
  <si>
    <t>AUDIT EXPENSE</t>
  </si>
  <si>
    <t>OUTSOURCED AUDIT-RESTRICTED</t>
  </si>
  <si>
    <t>PAYROLL SERVICES</t>
  </si>
  <si>
    <t>EMPLOYEE RECRUITMENT</t>
  </si>
  <si>
    <t>MCIF SERVICES</t>
  </si>
  <si>
    <t>PORTFOLIO REVIEW</t>
  </si>
  <si>
    <t>CONSULTING/PROFESSIONAL SERVICE</t>
  </si>
  <si>
    <t>ATTORNEY FEES PROJECTS</t>
  </si>
  <si>
    <t>CONSULTING BRANCH OPS</t>
  </si>
  <si>
    <t>CONSULTING PROJECTS</t>
  </si>
  <si>
    <t>MGMT CONSULTING-RESTRICTED</t>
  </si>
  <si>
    <t>DP CONSULTING-RESTRICTED</t>
  </si>
  <si>
    <t>CONSULTING-RESTRICTED</t>
  </si>
  <si>
    <t>NEW ACCOUNT CREDIT REVIEW-NLU</t>
  </si>
  <si>
    <t>IT DATA STORAGE-RESTRICTED</t>
  </si>
  <si>
    <t>VISA GIFT CARD EXPENSE</t>
  </si>
  <si>
    <t>ATM EXP/FEES-RESTRICTED</t>
  </si>
  <si>
    <t>ATM SERVICE CASH-RESTRICTED</t>
  </si>
  <si>
    <t>ATM NETWORK-RESTRICTED</t>
  </si>
  <si>
    <t>ATM FOREIGN CREDIT-RESTRICTED</t>
  </si>
  <si>
    <t>ATM FOREIGN DEBIT-RESTRICTED</t>
  </si>
  <si>
    <t>ATM MEMBERSHIP-RESTRICTED</t>
  </si>
  <si>
    <t>ATM DATA LINE-RESTRICTED</t>
  </si>
  <si>
    <t>STATEMENT PROC-RESTRICTED</t>
  </si>
  <si>
    <t>DB CARD PROC-RESTRICTED</t>
  </si>
  <si>
    <t>PROFESSIONAL SERVICE</t>
  </si>
  <si>
    <t>MASS MEDIA</t>
  </si>
  <si>
    <t>PUBLIC RELATIONS</t>
  </si>
  <si>
    <t>MEMBER COMMUNICATIONS</t>
  </si>
  <si>
    <t>ADDRESSABLE MARKETING</t>
  </si>
  <si>
    <t>OUTREACH</t>
  </si>
  <si>
    <t>INVESTMENT SERVICES</t>
  </si>
  <si>
    <t>MISCELLANEOUS ADVERTISING</t>
  </si>
  <si>
    <t>PROMOTIONAL INCENTIVE</t>
  </si>
  <si>
    <t>MARKETING EXPENSE</t>
  </si>
  <si>
    <t>BORROWERS INSURANCE</t>
  </si>
  <si>
    <t>MEMBERS INSURANCE</t>
  </si>
  <si>
    <t>APRSL/TITLE/FLOOD</t>
  </si>
  <si>
    <t>RECONVEYANCES</t>
  </si>
  <si>
    <t>COLLECTION EXPENSE</t>
  </si>
  <si>
    <t>IMPAIRED LOAN EXPENSE</t>
  </si>
  <si>
    <t>DOC FEE</t>
  </si>
  <si>
    <t>MBL PROCUREMENT EXPENSE</t>
  </si>
  <si>
    <t>MISCELLANEOUS LOAN EXPENSE</t>
  </si>
  <si>
    <t>CREDIT REPORTS</t>
  </si>
  <si>
    <t>PHONE LOANS</t>
  </si>
  <si>
    <t>PAY BY PHONE</t>
  </si>
  <si>
    <t>MFM ORIGINATION FEES</t>
  </si>
  <si>
    <t>SUNLIGHT SERVICE FEE EXPENSE</t>
  </si>
  <si>
    <t>SBA SVC FEE EXPENSE</t>
  </si>
  <si>
    <t>SUNLIGHT MISC RESOLUTION EXP</t>
  </si>
  <si>
    <t>VISA STANDARD</t>
  </si>
  <si>
    <t>REWARDS EXP - VISA BUSINESS</t>
  </si>
  <si>
    <t>REWARDS EXP - CONSUMER</t>
  </si>
  <si>
    <t>REWARDS EXP - VISA SIG CSHBCK</t>
  </si>
  <si>
    <t>LENDING BUSINESS DEVELOPMENT</t>
  </si>
  <si>
    <t>LOAN SERVICING</t>
  </si>
  <si>
    <t>DFI OPERATING FEE</t>
  </si>
  <si>
    <t>OPERATING FEE</t>
  </si>
  <si>
    <t>CASH OVER/SHORT</t>
  </si>
  <si>
    <t>ATM OVER/SHORT</t>
  </si>
  <si>
    <t>MEMBER DISPUTES</t>
  </si>
  <si>
    <t>FEE REVERSAL NBA (NEG BAL ACCTS)</t>
  </si>
  <si>
    <t>UNRECOVERABLE LOSSES</t>
  </si>
  <si>
    <t>CREDIT FRAUD</t>
  </si>
  <si>
    <t>DEBIT FRAUD</t>
  </si>
  <si>
    <t>FRAUD CHARGE OFFS</t>
  </si>
  <si>
    <t>SHARE ACCOUNT FRAUD</t>
  </si>
  <si>
    <t>NEG BALANCE WRITEOFF</t>
  </si>
  <si>
    <t>COURTESY PAY WRITE OFFS/RECOVERY</t>
  </si>
  <si>
    <t>UNFUNDED LOC EXPENSE</t>
  </si>
  <si>
    <t>ANNUAL MEETING</t>
  </si>
  <si>
    <t>PREMIER CLUB CHECKS</t>
  </si>
  <si>
    <t>PEAK ACCOUNT ATM REFUND</t>
  </si>
  <si>
    <t>MISCELLANEOUS MAINT SUPPLIES</t>
  </si>
  <si>
    <t>DATA DESTRUCTION</t>
  </si>
  <si>
    <t>BEVERAGE/KITCHEN SUPPLIES</t>
  </si>
  <si>
    <t>HARLAND CHECK ORDERS</t>
  </si>
  <si>
    <t>SOCIAL RESPONSIBILITY</t>
  </si>
  <si>
    <t>MISCELLANEOUS OPERATING EXPENSES</t>
  </si>
  <si>
    <t>CU ASSOCIATION DUES</t>
  </si>
  <si>
    <t>MISCELLANEOUS EXPENSE</t>
  </si>
  <si>
    <t>BOARD/SC MEETINGS &amp; MEALS</t>
  </si>
  <si>
    <t>T/C PROJECT TRAINING</t>
  </si>
  <si>
    <t>T/C BRANCHES/DEPTS</t>
  </si>
  <si>
    <t>CORPORATE EDUCATION</t>
  </si>
  <si>
    <t>DEIB</t>
  </si>
  <si>
    <t>STRATEGIC PLANNING</t>
  </si>
  <si>
    <t>TRAVEL &amp; CONFERENCE</t>
  </si>
  <si>
    <t>TOTAL OTHER EXPENSES</t>
  </si>
  <si>
    <t>NON-INTEREST EXPENSE</t>
  </si>
  <si>
    <t>EXPENSE BEFORE OVERHEAD</t>
  </si>
  <si>
    <t>TOTAL EXPENSES</t>
  </si>
  <si>
    <t>Total</t>
  </si>
  <si>
    <t>Average</t>
  </si>
  <si>
    <t>FED RESERVE</t>
  </si>
  <si>
    <t>FHLB DDA</t>
  </si>
  <si>
    <t>CATALYST DAILY</t>
  </si>
  <si>
    <t>WEST BR DLY 25-R</t>
  </si>
  <si>
    <t>WEST BRDGE 30-R</t>
  </si>
  <si>
    <t>WEST BRG UNSCAN</t>
  </si>
  <si>
    <t>FED AGENCY SEC</t>
  </si>
  <si>
    <t>FEDERAL AG SEC</t>
  </si>
  <si>
    <t>BANK/CU CDS</t>
  </si>
  <si>
    <t>2 YR TREAS</t>
  </si>
  <si>
    <t>CATALYST PCC FND</t>
  </si>
  <si>
    <t>GUAR INV CONT</t>
  </si>
  <si>
    <t>LONG TERM INV</t>
  </si>
  <si>
    <t>DLR FINANCE NEW</t>
  </si>
  <si>
    <t>DLR FINANCE USED</t>
  </si>
  <si>
    <t>DLR FIN RV NEW</t>
  </si>
  <si>
    <t>DLR FIN RV USED</t>
  </si>
  <si>
    <t>LOAN PART NEW</t>
  </si>
  <si>
    <t>LOAN PART - USED</t>
  </si>
  <si>
    <t>MTG 10YR CU MBR</t>
  </si>
  <si>
    <t>MTG 20YR CU MB</t>
  </si>
  <si>
    <t>MTG 30YR CU MB</t>
  </si>
  <si>
    <t>MTG 12YR CALL</t>
  </si>
  <si>
    <t>MTG 1ST/30 YR</t>
  </si>
  <si>
    <t>MTG 3 YR CALL</t>
  </si>
  <si>
    <t>MTG 5 YR CALL</t>
  </si>
  <si>
    <t>MTG 7 YR CALL</t>
  </si>
  <si>
    <t>MTG 10 YR CALL</t>
  </si>
  <si>
    <t>MTG 7YR JMB CALL</t>
  </si>
  <si>
    <t>MTG LOANS FX</t>
  </si>
  <si>
    <t>MFM 30YR ARM 7.6</t>
  </si>
  <si>
    <t>MTG 30 YR ARM3.1</t>
  </si>
  <si>
    <t>MTG 30 YR ARM3.3</t>
  </si>
  <si>
    <t>MTG 30 YR ARM5.1</t>
  </si>
  <si>
    <t>MFM 30YR ARM10.6</t>
  </si>
  <si>
    <t>MTG 30 YR ARM7.1</t>
  </si>
  <si>
    <t>30YRARM10.1CUMBR</t>
  </si>
  <si>
    <t>MTGARM5.1 NO FEE</t>
  </si>
  <si>
    <t>MTG 30YR ARM 5/6</t>
  </si>
  <si>
    <t>MTG 30YR ARM 7/6</t>
  </si>
  <si>
    <t>MTG 30YRJ ARM5.1</t>
  </si>
  <si>
    <t>PREM 30YR ARM</t>
  </si>
  <si>
    <t>MTG 31 ARM INT O</t>
  </si>
  <si>
    <t>MTG 51 ARM INT O</t>
  </si>
  <si>
    <t>MTG 71 ARM INT O</t>
  </si>
  <si>
    <t>MFM MTG CONSTR</t>
  </si>
  <si>
    <t>MTG CONSTRCTION</t>
  </si>
  <si>
    <t xml:space="preserve">LP - BX MTG ARM </t>
  </si>
  <si>
    <t>LN PART-MTG ARM</t>
  </si>
  <si>
    <t>LP-SH MTG FIXED</t>
  </si>
  <si>
    <t xml:space="preserve">LP-PF MTG FIX-A </t>
  </si>
  <si>
    <t>LP-PF MTG FIX-B</t>
  </si>
  <si>
    <t>LP-PF MTG FIX-C</t>
  </si>
  <si>
    <t>LP-PF MTG FIX-D</t>
  </si>
  <si>
    <t>HOME EQ 1ST 12YR</t>
  </si>
  <si>
    <t>HE 5YR CALL FX</t>
  </si>
  <si>
    <t>HELOC 1ST FIXED</t>
  </si>
  <si>
    <t>HELOC 2ND FIXED</t>
  </si>
  <si>
    <t>LP-AM HE 2ND 15Y</t>
  </si>
  <si>
    <t>LP-QUOROM HE</t>
  </si>
  <si>
    <t>LOAN PART-HE</t>
  </si>
  <si>
    <t>LP-PF HELOC-E</t>
  </si>
  <si>
    <t>LP-HMTRUST HELOC</t>
  </si>
  <si>
    <t>LP- GEORGIA HLOC</t>
  </si>
  <si>
    <t>LP- CLIMB HLOC</t>
  </si>
  <si>
    <t>LOAN PART-HELOC</t>
  </si>
  <si>
    <t>HE LOAN RENTALS</t>
  </si>
  <si>
    <t>MTG RENTALS FIXD</t>
  </si>
  <si>
    <t>MBL BUS SH SECFX</t>
  </si>
  <si>
    <t>SBA PAYCK PROT</t>
  </si>
  <si>
    <t>MBL 2ND DOT FIXD</t>
  </si>
  <si>
    <t>MBL CONST FIXED</t>
  </si>
  <si>
    <t>MBL SPC CONST FX</t>
  </si>
  <si>
    <t>MTG RENTALS VAR</t>
  </si>
  <si>
    <t>MBL LAND VAR</t>
  </si>
  <si>
    <t>MBL VAR PRIME</t>
  </si>
  <si>
    <t>MBL CONST VAR</t>
  </si>
  <si>
    <t>MBL RLOC VAR</t>
  </si>
  <si>
    <t>MBL 2ND DOT VAR</t>
  </si>
  <si>
    <t>MBL LOAN PART</t>
  </si>
  <si>
    <t>VISA STD 501</t>
  </si>
  <si>
    <t>VISA STD 503</t>
  </si>
  <si>
    <t>VISA CASH BACK</t>
  </si>
  <si>
    <t>BUS NEW VEH FXD</t>
  </si>
  <si>
    <t>BUS USED VEH FXD</t>
  </si>
  <si>
    <t>SBL</t>
  </si>
  <si>
    <t>SHARE SEC LNS</t>
  </si>
  <si>
    <t>=========</t>
  </si>
  <si>
    <t>TOT REG SHARES</t>
  </si>
  <si>
    <t>PEAK ACCOU 0&lt;15K</t>
  </si>
  <si>
    <t>PEAK ACCOUN &gt;15K</t>
  </si>
  <si>
    <t>TOT PEAK ACCOUNT</t>
  </si>
  <si>
    <t>T1 ELITE BUS CKG</t>
  </si>
  <si>
    <t>T2 ELITE BUS CKG</t>
  </si>
  <si>
    <t>T3 ELITE BUS CKG</t>
  </si>
  <si>
    <t>T4 ELITE BUS CKG</t>
  </si>
  <si>
    <t>T5 ELITE BUS CKG</t>
  </si>
  <si>
    <t>ELITE BUS CKG</t>
  </si>
  <si>
    <t>MEMBER IRA SHARE</t>
  </si>
  <si>
    <t>18 MONTH CERTADD</t>
  </si>
  <si>
    <t>06 MONTH CERT JU</t>
  </si>
  <si>
    <t>12 MONTH CERT JU</t>
  </si>
  <si>
    <t>13 MONTH CERT JU</t>
  </si>
  <si>
    <t>06 MONTH CERT YO</t>
  </si>
  <si>
    <t>12 MONTH CERT YO</t>
  </si>
  <si>
    <t>12 MONTH CERT BU</t>
  </si>
  <si>
    <t>24 MONTH CERT BU</t>
  </si>
  <si>
    <t>36 MONTH CERT BU</t>
  </si>
  <si>
    <t>48 MONTH CERT BU</t>
  </si>
  <si>
    <t>60 MONTH CERT BU</t>
  </si>
  <si>
    <t>12 MONTH CERT AD</t>
  </si>
  <si>
    <t>24 MONTH CERT AD</t>
  </si>
  <si>
    <t>07 MONTH CERT AD</t>
  </si>
  <si>
    <t>03 MONTH CERT BU</t>
  </si>
  <si>
    <t>06 MONTH CERT BU</t>
  </si>
  <si>
    <t>07 MONTH CERT BU</t>
  </si>
  <si>
    <t>08 MONTH CERT BU</t>
  </si>
  <si>
    <t>09 MONTH CERT BU</t>
  </si>
  <si>
    <t>10 MONTH CERT BU</t>
  </si>
  <si>
    <t>15 MONTH CERT BU</t>
  </si>
  <si>
    <t>17 MONTH CERT BU</t>
  </si>
  <si>
    <t>18 MONTH CERT AD</t>
  </si>
  <si>
    <t>27 MONTH CERT BU</t>
  </si>
  <si>
    <t>MEMBER CERT</t>
  </si>
  <si>
    <t>03 MONTH CERT IR</t>
  </si>
  <si>
    <t>06 MONTH CERT IR</t>
  </si>
  <si>
    <t>07 MONTH CERT IR</t>
  </si>
  <si>
    <t>08 MONTH CERT IR</t>
  </si>
  <si>
    <t>10 MONTH CERT IR</t>
  </si>
  <si>
    <t>12 MONTH CERT IR</t>
  </si>
  <si>
    <t>13 MONTH CERT IR</t>
  </si>
  <si>
    <t>15 MONTH CERT IR</t>
  </si>
  <si>
    <t>16 MONTH CERT IR</t>
  </si>
  <si>
    <t>17 MONTH CERT IR</t>
  </si>
  <si>
    <t>18 MONTH CERT IR</t>
  </si>
  <si>
    <t>24 MONTH CERT IR</t>
  </si>
  <si>
    <t>27 MONTH CERT IR</t>
  </si>
  <si>
    <t>36 MONTH CERT IR</t>
  </si>
  <si>
    <t>41 MONTH CERT IR</t>
  </si>
  <si>
    <t>48 MONTH CERT IR</t>
  </si>
  <si>
    <t>60 MONTH CERT IR</t>
  </si>
  <si>
    <t>MEMBER IRA CERT</t>
  </si>
  <si>
    <t>PREM MONEY MKT</t>
  </si>
  <si>
    <t>T1 DIAM MMKT</t>
  </si>
  <si>
    <t>T2 DIAM MMKT</t>
  </si>
  <si>
    <t>T3 DIAM MMKT</t>
  </si>
  <si>
    <t>T4 DIAM MMKT</t>
  </si>
  <si>
    <t>T5 DIAM MMKT</t>
  </si>
  <si>
    <t>T6 DIAM MMKT</t>
  </si>
  <si>
    <t>T7 DIAM MMKT</t>
  </si>
  <si>
    <t>DIAM MONEY MKT</t>
  </si>
  <si>
    <t>T0 BUS MMKT</t>
  </si>
  <si>
    <t>T1 BUS MMKT</t>
  </si>
  <si>
    <t>T2 BUS MMKT</t>
  </si>
  <si>
    <t>T3 BUS MMKT</t>
  </si>
  <si>
    <t>T4 BUS MMKT</t>
  </si>
  <si>
    <t>T5 BUS MMKT</t>
  </si>
  <si>
    <t>T6 BUS MMKT</t>
  </si>
  <si>
    <t>T7 BUS MMKT</t>
  </si>
  <si>
    <t>BUS MONEY MKT</t>
  </si>
  <si>
    <t>BUS PREM MNY MKT</t>
  </si>
  <si>
    <t>T1 BUS DIAM MMKT</t>
  </si>
  <si>
    <t>T2 BUS DIAM MMKT</t>
  </si>
  <si>
    <t>T3 BUS DIAM MMKT</t>
  </si>
  <si>
    <t>T4 BUS DIAM MMKT</t>
  </si>
  <si>
    <t>T5 BUS DIAM MMKT</t>
  </si>
  <si>
    <t>T6 BUS DIAM MMKT</t>
  </si>
  <si>
    <t>BUS DIAM MNY MKT</t>
  </si>
  <si>
    <t>MEMBER MMA</t>
  </si>
  <si>
    <t>TOT MEMBER SH</t>
  </si>
  <si>
    <t>FHLB BORR-OVRNGT</t>
  </si>
  <si>
    <t>FRB BORR-OVRNGT</t>
  </si>
  <si>
    <t>FRB BORR-FIX</t>
  </si>
  <si>
    <t>FHLB BORR FIXED</t>
  </si>
  <si>
    <t>TOT LIABILITIES</t>
  </si>
  <si>
    <t>TOTAL LIAB/EQUTY</t>
  </si>
  <si>
    <t>YTD Average Assets</t>
  </si>
  <si>
    <t>YTD Share Int Ex</t>
  </si>
  <si>
    <t>YTD Borrowing Ex</t>
  </si>
  <si>
    <t>YTD Non-Op Exp</t>
  </si>
  <si>
    <t xml:space="preserve"> CAPITAL RATIOS:</t>
  </si>
  <si>
    <t>Net Worth to Total Assets</t>
  </si>
  <si>
    <t>Tier One Lev Capital / RB Assets</t>
  </si>
  <si>
    <t>Net Worth to Loans</t>
  </si>
  <si>
    <t>Delinquent Loans to Net Worth</t>
  </si>
  <si>
    <t>Delinquent Loans/Allow Loan Loss</t>
  </si>
  <si>
    <t xml:space="preserve"> ASSET QUALITY:</t>
  </si>
  <si>
    <t>Delinquent Loans to Total Loans</t>
  </si>
  <si>
    <t>Delinquent Loans to Total Assets</t>
  </si>
  <si>
    <t>Net Charge-Off Loans/Avg Loans</t>
  </si>
  <si>
    <t>GL Investment/COF Investment</t>
  </si>
  <si>
    <t>Average Earning Assets</t>
  </si>
  <si>
    <t>Average Funds</t>
  </si>
  <si>
    <t>Average Earning Assets/Tot Asset</t>
  </si>
  <si>
    <t>Average Non Earning/Total Assets</t>
  </si>
  <si>
    <t xml:space="preserve"> EARNING RATIOS:</t>
  </si>
  <si>
    <t>Yield on Average Assets</t>
  </si>
  <si>
    <t>Cost on Average Assets</t>
  </si>
  <si>
    <t>Spread on Average Assets</t>
  </si>
  <si>
    <t>Other Income to Average Assets</t>
  </si>
  <si>
    <t>Other Expenses to Average Assets</t>
  </si>
  <si>
    <t>ROA Before Taxes and Loan Loss</t>
  </si>
  <si>
    <t>Prov LL/Avg Asset before COVID</t>
  </si>
  <si>
    <t>Prov Loan Loss / Average Assets</t>
  </si>
  <si>
    <t>ROA by Period</t>
  </si>
  <si>
    <t>ROA YTD before QE</t>
  </si>
  <si>
    <t>ROA Year-to-Date</t>
  </si>
  <si>
    <t>ROE by Period</t>
  </si>
  <si>
    <t>ROE Year-to-Date</t>
  </si>
  <si>
    <t>ROE Org/Prod by Period</t>
  </si>
  <si>
    <t>ROE Org/Prod YTD</t>
  </si>
  <si>
    <t>Net Interest Margin</t>
  </si>
  <si>
    <t>Breakeven #1</t>
  </si>
  <si>
    <t>Breakeven #2</t>
  </si>
  <si>
    <t>Earning Power Ratio</t>
  </si>
  <si>
    <t>Annualized Net Interest Income</t>
  </si>
  <si>
    <t>Cost of Average Funds</t>
  </si>
  <si>
    <t xml:space="preserve"> LIQUIDITY RATIO</t>
  </si>
  <si>
    <t>Loans to Share Deposits</t>
  </si>
  <si>
    <t>Loans to Assets</t>
  </si>
  <si>
    <t>Share Deposits to Assets</t>
  </si>
  <si>
    <t>Shares&amp;Borrowings/Earning Assets</t>
  </si>
  <si>
    <t>Borrowings/Tot Shares&amp;Net Worth</t>
  </si>
  <si>
    <t>Investment Inc to Interest Inc</t>
  </si>
  <si>
    <t>Loan Income to Interest Income</t>
  </si>
  <si>
    <t>Average Free Funds Ratio</t>
  </si>
  <si>
    <t>90 Day Maturity Gap</t>
  </si>
  <si>
    <t>90 Day Repricing Gap</t>
  </si>
  <si>
    <t>1 Yr Maturity Gap</t>
  </si>
  <si>
    <t>1 Yr Repricing Gap</t>
  </si>
  <si>
    <t>SENSITIVITY TO MARKET RISK:</t>
  </si>
  <si>
    <t xml:space="preserve"> OTHER RATIOS:</t>
  </si>
  <si>
    <t>Yield on Loans</t>
  </si>
  <si>
    <t>Yield on Earning Assets</t>
  </si>
  <si>
    <t>Cost on Share Deposits</t>
  </si>
  <si>
    <t>Average Share Deposits / Member</t>
  </si>
  <si>
    <t>Mbr/Potential Mb</t>
  </si>
  <si>
    <t>Mbrs/FTE</t>
  </si>
  <si>
    <t>Shares/Mbrs</t>
  </si>
  <si>
    <t>Earnings per Member</t>
  </si>
  <si>
    <t>Fixed Assets &amp; OREO/Total Assets</t>
  </si>
  <si>
    <t>Net Operating Expense/Avg Assets</t>
  </si>
  <si>
    <t>Operating Expense/Interest Inc</t>
  </si>
  <si>
    <t>Market Growth</t>
  </si>
  <si>
    <t>Net Worth Growth before QE</t>
  </si>
  <si>
    <t>Net Worth Growth</t>
  </si>
  <si>
    <t>Loan Growth</t>
  </si>
  <si>
    <t>Asset Growth</t>
  </si>
  <si>
    <t>Investment Growth</t>
  </si>
  <si>
    <t>USER DEF RATIOS:</t>
  </si>
  <si>
    <t>CAPITAL</t>
  </si>
  <si>
    <t>*Capital/Assets</t>
  </si>
  <si>
    <t>*Net Worth/Assets</t>
  </si>
  <si>
    <t>Capital &amp; Shares/Shares</t>
  </si>
  <si>
    <t>Delinquent Loans/Capital</t>
  </si>
  <si>
    <t>Solvency Ratio</t>
  </si>
  <si>
    <t>Capital/Loans</t>
  </si>
  <si>
    <t>Del Lns/Reserves</t>
  </si>
  <si>
    <t>Del Lns/Allowance Loan Loss</t>
  </si>
  <si>
    <t>ASSET QUALITY</t>
  </si>
  <si>
    <t>Del Loans/Loans</t>
  </si>
  <si>
    <t>*Net Charge offs/Avg Loans**</t>
  </si>
  <si>
    <t>*Fixed Assets, OREO, Repo/Assets</t>
  </si>
  <si>
    <t>Delinquent Loans/Assets</t>
  </si>
  <si>
    <t>MANAGEMENT</t>
  </si>
  <si>
    <t>Share Growth</t>
  </si>
  <si>
    <t>Loans/Assets</t>
  </si>
  <si>
    <t>Cash&amp;ST Inv/Asst</t>
  </si>
  <si>
    <t>Borrowings/Shares&amp;Net Worth</t>
  </si>
  <si>
    <t>Borrowings/Assets</t>
  </si>
  <si>
    <t>Investments/Assets</t>
  </si>
  <si>
    <t>Unused Borrowing Capacity/Assets</t>
  </si>
  <si>
    <t>Fixed Rate Mtg/Net Worth</t>
  </si>
  <si>
    <t>Net Pot Src&amp;Use/Primary Liq Pos</t>
  </si>
  <si>
    <t>Secondry Liq Pos/Primary Liq Pos</t>
  </si>
  <si>
    <t>Indirect Auto Loans/Net Worth</t>
  </si>
  <si>
    <t>Indirect Auto Loans/Total Loans</t>
  </si>
  <si>
    <t>Rate Sensitive Shrs/Total Shares</t>
  </si>
  <si>
    <t>Fix Rate Mtg &amp; RE Inv/Net Worth</t>
  </si>
  <si>
    <t>Fix Rate Mtg &amp; RE Inv/Assets</t>
  </si>
  <si>
    <t>Mortgage Related Asset/Net Worth</t>
  </si>
  <si>
    <t>RE Backed Assets/Total Assets</t>
  </si>
  <si>
    <t>Capital Growth</t>
  </si>
  <si>
    <t>EARNINGS</t>
  </si>
  <si>
    <t>Fixed Rate Mortgage/Assets</t>
  </si>
  <si>
    <t>Mortgage &amp; HE/Assets</t>
  </si>
  <si>
    <t>Gross Inc/Avg Assets**</t>
  </si>
  <si>
    <t>COF/Avg Assets**</t>
  </si>
  <si>
    <t>*Net Inc/Assets(before xfer)**</t>
  </si>
  <si>
    <t>Net Inc/Assets(after xfer)**</t>
  </si>
  <si>
    <t>Op Exp/Gross Inc**</t>
  </si>
  <si>
    <t>*Net Op Exp/Avg Assets**</t>
  </si>
  <si>
    <t>Op Exp/Avg Assets</t>
  </si>
  <si>
    <t>LIQUIDITY</t>
  </si>
  <si>
    <t>Net Interest Margin/Average Asse</t>
  </si>
  <si>
    <t>Shares/Savings and Borrow</t>
  </si>
  <si>
    <t>*LT Asset/Assets</t>
  </si>
  <si>
    <t>*Net LT Assets/Assets</t>
  </si>
  <si>
    <t>Sh&amp;Borr/EarnAst</t>
  </si>
  <si>
    <t>Average Loan Balance</t>
  </si>
  <si>
    <t>Salary/Benef/FTE</t>
  </si>
  <si>
    <t>Loans/Shares</t>
  </si>
  <si>
    <t>Net Worth Ratio NCUA</t>
  </si>
  <si>
    <t>DelqLns/NetWorth NCUA</t>
  </si>
  <si>
    <t>Del Loans/Loans NCUA</t>
  </si>
  <si>
    <t>Nt Ch off/Av Ln NCUA</t>
  </si>
  <si>
    <t>GL Inv/COF Inv NCUA</t>
  </si>
  <si>
    <t>Net LT Assets/Assets NCUA</t>
  </si>
  <si>
    <t>Sh&amp;Borr/EarnAst NCUA</t>
  </si>
  <si>
    <t>Market Growth NCUA</t>
  </si>
  <si>
    <t>Net Worth Growth NCUA</t>
  </si>
  <si>
    <t>Net Worth Growth Bef QE NCUA</t>
  </si>
  <si>
    <t>Loan Growth NCUA</t>
  </si>
  <si>
    <t>Asset Growth NCUA</t>
  </si>
  <si>
    <t>FR 1stMTG/Assets NCUA</t>
  </si>
  <si>
    <t>MTG/Assets NCUA</t>
  </si>
  <si>
    <t>ROA YTD NCUA</t>
  </si>
  <si>
    <t>ROA YTD before QE NCUA</t>
  </si>
  <si>
    <t>GrsInc/Avg Asset NCUA</t>
  </si>
  <si>
    <t>Yield on Avg Loans NCUA</t>
  </si>
  <si>
    <t>Net Op/Av Asset NCUA</t>
  </si>
  <si>
    <t>FA, Oreo/Asset NCUA</t>
  </si>
  <si>
    <t>COF/Avg Assets NCUA</t>
  </si>
  <si>
    <t>NetIntMgn/Avg Assets NCUA</t>
  </si>
  <si>
    <t>Share/Sav&amp;Borr NCUA</t>
  </si>
  <si>
    <t>Loans/Shares NCUA</t>
  </si>
  <si>
    <t>Loans/Assets NCUA</t>
  </si>
  <si>
    <t>Cash&amp;ST Inv/Asset NCUA</t>
  </si>
  <si>
    <t>Borr/Sh&amp;Nt Worth NCUA</t>
  </si>
  <si>
    <t>Mbr/Potential Mbr NCUA</t>
  </si>
  <si>
    <t>Borrowers/Members NCUA</t>
  </si>
  <si>
    <t>Members/FTE NCUA</t>
  </si>
  <si>
    <t>Avg. Shares/Mbrs NCUA</t>
  </si>
  <si>
    <t>Avg Loan Balance NCUA</t>
  </si>
  <si>
    <t>Salary/Benef/FTE NCUA</t>
  </si>
  <si>
    <t>Primary Liquidity</t>
  </si>
  <si>
    <t>Secondary Liquidity</t>
  </si>
  <si>
    <t>Borrowing/Assets</t>
  </si>
  <si>
    <t>Net Loans/Total Assets</t>
  </si>
  <si>
    <t>Net Loans/Deposits</t>
  </si>
  <si>
    <t>Trailing 12 Month Growth</t>
  </si>
  <si>
    <t>ALLL/Totals Loans</t>
  </si>
  <si>
    <t>1 Month Chg in Deposit Balance</t>
  </si>
  <si>
    <t>ProvisionExp/Average Assets</t>
  </si>
  <si>
    <t>Fixed Rate RE/Net Worth</t>
  </si>
  <si>
    <t>Fixed Rate R.E. Loans/Assets</t>
  </si>
  <si>
    <t>Fixed Rate RE &amp; Mtg.Inv/NetWorth</t>
  </si>
  <si>
    <t>FR RE-Mtg Related Inv/Assets</t>
  </si>
  <si>
    <t>Non-Interest Inccome/Avg Assets</t>
  </si>
  <si>
    <t>Loan Growth Excluding HFS</t>
  </si>
  <si>
    <t>Gross Income/FTE</t>
  </si>
  <si>
    <t>allowance to non performing loan</t>
  </si>
  <si>
    <t>Op Exp/Gross Inc NCUA</t>
  </si>
  <si>
    <t>Op Exp/Avg Asset NCUA</t>
  </si>
  <si>
    <t>Efficiency Ratio (Callahan)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</si>
</sst>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00%"/>
    <numFmt numFmtId="166" formatCode="0.0%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164" fontId="0" fillId="0" borderId="0" xfId="1" applyNumberFormat="1" applyFont="1"/>
    <xf numFmtId="16" fontId="0" fillId="0" borderId="0" xfId="0" applyNumberFormat="1"/>
    <xf numFmtId="17" fontId="0" fillId="0" borderId="0" xfId="0" applyNumberFormat="1"/>
    <xf numFmtId="43" fontId="0" fillId="0" borderId="0" xfId="1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/>
    <xf numFmtId="10" fontId="0" fillId="2" borderId="0" xfId="2" applyNumberFormat="1" applyFont="1" applyFill="1"/>
    <xf numFmtId="0" fontId="0" fillId="2" borderId="0" xfId="0" applyFill="1"/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/>
    <xf numFmtId="10" fontId="0" fillId="3" borderId="0" xfId="2" applyNumberFormat="1" applyFont="1" applyFill="1"/>
    <xf numFmtId="0" fontId="0" fillId="3" borderId="0" xfId="0" applyFill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/>
    <xf numFmtId="10" fontId="0" fillId="4" borderId="0" xfId="2" applyNumberFormat="1" applyFont="1" applyFill="1"/>
    <xf numFmtId="0" fontId="0" fillId="4" borderId="0" xfId="0" applyFill="1"/>
    <xf numFmtId="0" fontId="2" fillId="5" borderId="0" xfId="0" applyFont="1" applyFill="1" applyAlignment="1">
      <alignment horizontal="center"/>
    </xf>
    <xf numFmtId="164" fontId="0" fillId="5" borderId="0" xfId="0" applyNumberFormat="1" applyFill="1"/>
    <xf numFmtId="164" fontId="0" fillId="5" borderId="0" xfId="1" applyNumberFormat="1" applyFont="1" applyFill="1"/>
    <xf numFmtId="0" fontId="0" fillId="5" borderId="0" xfId="0" applyFill="1"/>
    <xf numFmtId="43" fontId="0" fillId="3" borderId="0" xfId="0" applyNumberFormat="1" applyFill="1"/>
    <xf numFmtId="43" fontId="0" fillId="4" borderId="0" xfId="0" applyNumberFormat="1" applyFill="1"/>
    <xf numFmtId="164" fontId="0" fillId="0" borderId="0" xfId="0" applyNumberFormat="1"/>
    <xf numFmtId="2" fontId="0" fillId="0" borderId="0" xfId="0" applyNumberFormat="1"/>
    <xf numFmtId="43" fontId="0" fillId="0" borderId="0" xfId="1" applyFont="1" applyFill="1" applyBorder="1"/>
    <xf numFmtId="164" fontId="0" fillId="0" borderId="0" xfId="1" applyNumberFormat="1" applyFont="1" applyFill="1" applyBorder="1"/>
    <xf numFmtId="164" fontId="0" fillId="3" borderId="0" xfId="1" applyNumberFormat="1" applyFont="1" applyFill="1"/>
    <xf numFmtId="0" fontId="0" fillId="0" borderId="1" xfId="0" applyBorder="1"/>
    <xf numFmtId="164" fontId="0" fillId="0" borderId="1" xfId="1" applyNumberFormat="1" applyFont="1" applyBorder="1"/>
    <xf numFmtId="164" fontId="0" fillId="5" borderId="1" xfId="0" applyNumberFormat="1" applyFill="1" applyBorder="1"/>
    <xf numFmtId="164" fontId="0" fillId="5" borderId="1" xfId="1" applyNumberFormat="1" applyFont="1" applyFill="1" applyBorder="1"/>
    <xf numFmtId="164" fontId="0" fillId="2" borderId="1" xfId="0" applyNumberFormat="1" applyFill="1" applyBorder="1"/>
    <xf numFmtId="10" fontId="0" fillId="2" borderId="1" xfId="2" applyNumberFormat="1" applyFont="1" applyFill="1" applyBorder="1"/>
    <xf numFmtId="164" fontId="0" fillId="3" borderId="1" xfId="0" applyNumberFormat="1" applyFill="1" applyBorder="1"/>
    <xf numFmtId="10" fontId="0" fillId="3" borderId="1" xfId="2" applyNumberFormat="1" applyFont="1" applyFill="1" applyBorder="1"/>
    <xf numFmtId="164" fontId="0" fillId="4" borderId="1" xfId="0" applyNumberFormat="1" applyFill="1" applyBorder="1"/>
    <xf numFmtId="10" fontId="0" fillId="4" borderId="1" xfId="2" applyNumberFormat="1" applyFont="1" applyFill="1" applyBorder="1"/>
    <xf numFmtId="0" fontId="2" fillId="0" borderId="0" xfId="0" applyFont="1"/>
    <xf numFmtId="165" fontId="0" fillId="0" borderId="0" xfId="2" applyNumberFormat="1" applyFont="1"/>
    <xf numFmtId="16" fontId="0" fillId="3" borderId="0" xfId="0" applyNumberFormat="1" applyFill="1"/>
    <xf numFmtId="2" fontId="0" fillId="3" borderId="0" xfId="0" applyNumberFormat="1" applyFill="1"/>
    <xf numFmtId="166" fontId="0" fillId="0" borderId="0" xfId="2" applyNumberFormat="1" applyFont="1"/>
    <xf numFmtId="17" fontId="0" fillId="3" borderId="0" xfId="0" applyNumberFormat="1" applyFill="1"/>
    <xf numFmtId="164" fontId="0" fillId="3" borderId="1" xfId="1" applyNumberFormat="1" applyFont="1" applyFill="1" applyBorder="1"/>
    <xf numFmtId="164" fontId="0" fillId="0" borderId="0" xfId="1" applyNumberFormat="1" applyFont="1" applyFill="1"/>
    <xf numFmtId="43" fontId="0" fillId="0" borderId="0" xfId="1" applyFont="1" applyFill="1"/>
    <xf numFmtId="164" fontId="0" fillId="6" borderId="0" xfId="1" applyNumberFormat="1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9C03-3703-45E6-B10F-2A906C327E73}">
  <dimension ref="A1:AT669"/>
  <sheetViews>
    <sheetView workbookViewId="0">
      <pane xSplit="2" ySplit="2" topLeftCell="O132" activePane="bottomRight" state="frozen"/>
      <selection pane="bottomRight" activeCell="AI668" sqref="AI668"/>
      <selection pane="bottomLeft" activeCell="A3" sqref="A3"/>
      <selection pane="topRight" activeCell="C1" sqref="C1"/>
    </sheetView>
  </sheetViews>
  <sheetFormatPr defaultRowHeight="15"/>
  <cols>
    <col min="1" max="1" width="33.7109375" bestFit="1" customWidth="1"/>
    <col min="2" max="2" width="7.7109375" hidden="1" customWidth="1"/>
    <col min="3" max="3" width="12.28515625" bestFit="1" customWidth="1"/>
    <col min="4" max="4" width="14" bestFit="1" customWidth="1"/>
    <col min="5" max="14" width="14" hidden="1" customWidth="1"/>
    <col min="15" max="16" width="14" customWidth="1"/>
    <col min="17" max="26" width="14" hidden="1" customWidth="1"/>
    <col min="27" max="27" width="14" customWidth="1"/>
    <col min="28" max="28" width="14" bestFit="1" customWidth="1"/>
    <col min="29" max="29" width="14.5703125" customWidth="1"/>
    <col min="30" max="39" width="14" customWidth="1"/>
    <col min="41" max="42" width="12.5703125" style="9" customWidth="1"/>
    <col min="43" max="44" width="12.5703125" style="14" customWidth="1"/>
    <col min="45" max="46" width="12.5703125" style="19" customWidth="1"/>
  </cols>
  <sheetData>
    <row r="1" spans="1:46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O1" s="51">
        <v>2024</v>
      </c>
      <c r="AP1" s="51"/>
      <c r="AQ1" s="52">
        <v>2025</v>
      </c>
      <c r="AR1" s="52"/>
      <c r="AS1" s="53">
        <v>2026</v>
      </c>
      <c r="AT1" s="53"/>
    </row>
    <row r="2" spans="1:46">
      <c r="B2" t="s">
        <v>2</v>
      </c>
      <c r="C2" s="2">
        <v>46014</v>
      </c>
      <c r="D2" s="2">
        <v>45681</v>
      </c>
      <c r="E2" s="2">
        <v>45712</v>
      </c>
      <c r="F2" s="2">
        <v>45740</v>
      </c>
      <c r="G2" s="2">
        <v>45771</v>
      </c>
      <c r="H2" s="2">
        <v>45801</v>
      </c>
      <c r="I2" s="2">
        <v>45832</v>
      </c>
      <c r="J2" s="2">
        <v>45862</v>
      </c>
      <c r="K2" s="2">
        <v>45893</v>
      </c>
      <c r="L2" s="2">
        <v>45924</v>
      </c>
      <c r="M2" s="2">
        <v>45954</v>
      </c>
      <c r="N2" s="2">
        <v>45985</v>
      </c>
      <c r="O2" s="2">
        <v>46015</v>
      </c>
      <c r="P2" s="2">
        <v>45682</v>
      </c>
      <c r="Q2" s="2">
        <v>45713</v>
      </c>
      <c r="R2" s="2">
        <v>45741</v>
      </c>
      <c r="S2" s="2">
        <v>45772</v>
      </c>
      <c r="T2" s="2">
        <v>45802</v>
      </c>
      <c r="U2" s="2">
        <v>45833</v>
      </c>
      <c r="V2" s="2">
        <v>45863</v>
      </c>
      <c r="W2" s="2">
        <v>45894</v>
      </c>
      <c r="X2" s="2">
        <v>45925</v>
      </c>
      <c r="Y2" s="2">
        <v>45955</v>
      </c>
      <c r="Z2" s="2">
        <v>45986</v>
      </c>
      <c r="AA2" s="2">
        <v>46016</v>
      </c>
      <c r="AB2" s="2">
        <v>45683</v>
      </c>
      <c r="AC2" s="2">
        <v>45714</v>
      </c>
      <c r="AD2" s="2">
        <v>45742</v>
      </c>
      <c r="AE2" s="2">
        <v>45773</v>
      </c>
      <c r="AF2" s="2">
        <v>45803</v>
      </c>
      <c r="AG2" s="2">
        <v>45834</v>
      </c>
      <c r="AH2" s="2">
        <v>45864</v>
      </c>
      <c r="AI2" s="2">
        <v>45895</v>
      </c>
      <c r="AJ2" s="2">
        <v>45926</v>
      </c>
      <c r="AK2" s="2">
        <v>45956</v>
      </c>
      <c r="AL2" s="2">
        <v>45987</v>
      </c>
      <c r="AM2" s="2">
        <v>46017</v>
      </c>
      <c r="AO2" s="6" t="s">
        <v>3</v>
      </c>
      <c r="AP2" s="6" t="s">
        <v>4</v>
      </c>
      <c r="AQ2" s="11" t="s">
        <v>3</v>
      </c>
      <c r="AR2" s="11" t="s">
        <v>4</v>
      </c>
      <c r="AS2" s="16" t="s">
        <v>3</v>
      </c>
      <c r="AT2" s="16" t="s">
        <v>4</v>
      </c>
    </row>
    <row r="3" spans="1:46" ht="14.25" customHeight="1">
      <c r="A3" t="s">
        <v>5</v>
      </c>
      <c r="B3" t="s">
        <v>6</v>
      </c>
      <c r="C3">
        <v>15545440</v>
      </c>
      <c r="D3" s="1">
        <v>16221229</v>
      </c>
      <c r="E3" s="1">
        <v>15703920</v>
      </c>
      <c r="F3" s="1">
        <v>14617209</v>
      </c>
      <c r="G3" s="1">
        <v>15241368</v>
      </c>
      <c r="H3" s="1">
        <v>14744204</v>
      </c>
      <c r="I3" s="1">
        <v>15199193</v>
      </c>
      <c r="J3" s="1">
        <v>15578140</v>
      </c>
      <c r="K3" s="1">
        <v>14426241</v>
      </c>
      <c r="L3" s="1">
        <v>14669231</v>
      </c>
      <c r="M3" s="1">
        <v>15210393</v>
      </c>
      <c r="N3" s="1">
        <v>14812965</v>
      </c>
      <c r="O3" s="1">
        <v>18516391</v>
      </c>
      <c r="P3" s="1">
        <v>16163226</v>
      </c>
      <c r="Q3" s="1">
        <v>16067687</v>
      </c>
      <c r="R3" s="1">
        <v>16570598</v>
      </c>
      <c r="S3" s="1">
        <v>16151837</v>
      </c>
      <c r="T3" s="1">
        <v>14987721</v>
      </c>
      <c r="U3" s="1">
        <v>15958170</v>
      </c>
      <c r="V3" s="1">
        <v>15103649</v>
      </c>
      <c r="W3" s="1">
        <v>15461801</v>
      </c>
      <c r="X3" s="1">
        <v>15461801</v>
      </c>
      <c r="Y3" s="1">
        <v>15461801</v>
      </c>
      <c r="Z3" s="1">
        <v>15461801</v>
      </c>
      <c r="AA3" s="1">
        <v>15461801</v>
      </c>
      <c r="AB3" s="1">
        <v>15461801</v>
      </c>
      <c r="AC3" s="1">
        <v>15461801</v>
      </c>
      <c r="AD3" s="1">
        <v>15461801</v>
      </c>
      <c r="AE3" s="1">
        <v>15461801</v>
      </c>
      <c r="AF3" s="1">
        <v>15461801</v>
      </c>
      <c r="AG3" s="1">
        <v>15461801</v>
      </c>
      <c r="AH3" s="1">
        <v>15461801</v>
      </c>
      <c r="AI3" s="1">
        <v>15461801</v>
      </c>
      <c r="AJ3" s="1">
        <v>15461801</v>
      </c>
      <c r="AK3" s="1">
        <v>15461801</v>
      </c>
      <c r="AL3" s="1">
        <v>15461801</v>
      </c>
      <c r="AM3" s="1">
        <v>15461801</v>
      </c>
      <c r="AO3" s="7">
        <f>+O3-C3</f>
        <v>2970951</v>
      </c>
      <c r="AP3" s="8">
        <f>+(O3/C3)-1</f>
        <v>0.1911139858376476</v>
      </c>
      <c r="AQ3" s="12">
        <f>+(AA3-O3)</f>
        <v>-3054590</v>
      </c>
      <c r="AR3" s="13">
        <f>+(AA3/O3)-1</f>
        <v>-0.16496681237720678</v>
      </c>
      <c r="AS3" s="17">
        <f>+AM3-AA3</f>
        <v>0</v>
      </c>
      <c r="AT3" s="18">
        <f>+(AM3/AA3)-1</f>
        <v>0</v>
      </c>
    </row>
    <row r="4" spans="1:46" ht="14.25" customHeight="1">
      <c r="A4" t="s">
        <v>7</v>
      </c>
      <c r="C4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O4" s="7">
        <f t="shared" ref="AO4:AO6" si="0">+O4-C4</f>
        <v>0</v>
      </c>
      <c r="AP4" s="8" t="e">
        <f t="shared" ref="AP4:AP6" si="1">+(O4/C4)-1</f>
        <v>#DIV/0!</v>
      </c>
      <c r="AQ4" s="12">
        <f t="shared" ref="AQ4:AQ6" si="2">+(AA4-O4)</f>
        <v>0</v>
      </c>
      <c r="AR4" s="13" t="e">
        <f t="shared" ref="AR4:AR6" si="3">+(AA4/O4)-1</f>
        <v>#DIV/0!</v>
      </c>
      <c r="AS4" s="17">
        <f t="shared" ref="AS4:AS6" si="4">+AM4-AA4</f>
        <v>0</v>
      </c>
      <c r="AT4" s="18" t="e">
        <f t="shared" ref="AT4:AT6" si="5">+(AM4/AA4)-1</f>
        <v>#DIV/0!</v>
      </c>
    </row>
    <row r="5" spans="1:46" ht="14.25" customHeight="1">
      <c r="A5" t="s">
        <v>8</v>
      </c>
      <c r="B5" t="s">
        <v>9</v>
      </c>
      <c r="C5">
        <v>11897732</v>
      </c>
      <c r="D5" s="1">
        <v>6733519</v>
      </c>
      <c r="E5" s="1">
        <v>7555183</v>
      </c>
      <c r="F5" s="1">
        <v>10184101</v>
      </c>
      <c r="G5" s="1">
        <v>8884104</v>
      </c>
      <c r="H5" s="1">
        <v>7442471</v>
      </c>
      <c r="I5" s="1">
        <v>9607041</v>
      </c>
      <c r="J5" s="1">
        <v>8160149</v>
      </c>
      <c r="K5" s="1">
        <v>9186668</v>
      </c>
      <c r="L5" s="1">
        <v>11008659</v>
      </c>
      <c r="M5" s="1">
        <v>7054474</v>
      </c>
      <c r="N5" s="1">
        <v>10285017</v>
      </c>
      <c r="O5" s="1">
        <v>8966535</v>
      </c>
      <c r="P5" s="1">
        <v>8929677</v>
      </c>
      <c r="Q5" s="1">
        <v>7714679</v>
      </c>
      <c r="R5" s="1">
        <v>12075632</v>
      </c>
      <c r="S5" s="1">
        <v>9226630</v>
      </c>
      <c r="T5" s="1">
        <v>10346449</v>
      </c>
      <c r="U5" s="1">
        <v>11124737</v>
      </c>
      <c r="V5" s="1">
        <v>8637725</v>
      </c>
      <c r="W5" s="1">
        <v>9996678</v>
      </c>
      <c r="X5" s="1">
        <v>9996678</v>
      </c>
      <c r="Y5" s="1">
        <v>9996678</v>
      </c>
      <c r="Z5" s="1">
        <v>9996678</v>
      </c>
      <c r="AA5" s="1">
        <v>9996678</v>
      </c>
      <c r="AB5" s="1">
        <v>9996678</v>
      </c>
      <c r="AC5" s="1">
        <v>9996678</v>
      </c>
      <c r="AD5" s="1">
        <v>9996678</v>
      </c>
      <c r="AE5" s="1">
        <v>9996678</v>
      </c>
      <c r="AF5" s="1">
        <v>9996678</v>
      </c>
      <c r="AG5" s="1">
        <v>9996678</v>
      </c>
      <c r="AH5" s="1">
        <v>9996678</v>
      </c>
      <c r="AI5" s="1">
        <v>9996678</v>
      </c>
      <c r="AJ5" s="1">
        <v>9996678</v>
      </c>
      <c r="AK5" s="1">
        <v>9996678</v>
      </c>
      <c r="AL5" s="1">
        <v>9996678</v>
      </c>
      <c r="AM5" s="1">
        <v>9996678</v>
      </c>
      <c r="AO5" s="7">
        <f t="shared" si="0"/>
        <v>-2931197</v>
      </c>
      <c r="AP5" s="8">
        <f t="shared" si="1"/>
        <v>-0.24636603009716473</v>
      </c>
      <c r="AQ5" s="12">
        <f t="shared" si="2"/>
        <v>1030143</v>
      </c>
      <c r="AR5" s="13">
        <f t="shared" si="3"/>
        <v>0.11488752344132935</v>
      </c>
      <c r="AS5" s="17">
        <f t="shared" si="4"/>
        <v>0</v>
      </c>
      <c r="AT5" s="18">
        <f t="shared" si="5"/>
        <v>0</v>
      </c>
    </row>
    <row r="6" spans="1:46" ht="14.25" customHeight="1">
      <c r="A6" t="s">
        <v>10</v>
      </c>
      <c r="C6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O6" s="7">
        <f t="shared" si="0"/>
        <v>0</v>
      </c>
      <c r="AP6" s="8" t="e">
        <f t="shared" si="1"/>
        <v>#DIV/0!</v>
      </c>
      <c r="AQ6" s="12">
        <f t="shared" si="2"/>
        <v>0</v>
      </c>
      <c r="AR6" s="13" t="e">
        <f t="shared" si="3"/>
        <v>#DIV/0!</v>
      </c>
      <c r="AS6" s="17">
        <f t="shared" si="4"/>
        <v>0</v>
      </c>
      <c r="AT6" s="18" t="e">
        <f t="shared" si="5"/>
        <v>#DIV/0!</v>
      </c>
    </row>
    <row r="7" spans="1:46" ht="14.25" customHeight="1">
      <c r="A7" t="s">
        <v>11</v>
      </c>
      <c r="B7" t="s">
        <v>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46" ht="14.25" customHeight="1">
      <c r="A8" t="s">
        <v>13</v>
      </c>
      <c r="C8">
        <v>27443172</v>
      </c>
      <c r="D8" s="1">
        <v>22954749</v>
      </c>
      <c r="E8" s="1">
        <v>23259103</v>
      </c>
      <c r="F8" s="1">
        <v>24801310</v>
      </c>
      <c r="G8" s="1">
        <v>24125471</v>
      </c>
      <c r="H8" s="1">
        <v>22186675</v>
      </c>
      <c r="I8" s="1">
        <v>24806234</v>
      </c>
      <c r="J8" s="1">
        <v>23738289</v>
      </c>
      <c r="K8" s="1">
        <v>23612908</v>
      </c>
      <c r="L8" s="1">
        <v>25677890</v>
      </c>
      <c r="M8" s="1">
        <v>22264867</v>
      </c>
      <c r="N8" s="1">
        <v>25097982</v>
      </c>
      <c r="O8" s="1">
        <v>27482926</v>
      </c>
      <c r="P8" s="1">
        <v>25092903</v>
      </c>
      <c r="Q8" s="1">
        <v>23782366</v>
      </c>
      <c r="R8" s="1">
        <v>28646230</v>
      </c>
      <c r="S8" s="1">
        <v>25378468</v>
      </c>
      <c r="T8" s="1">
        <v>25334170</v>
      </c>
      <c r="U8" s="1">
        <v>27082906</v>
      </c>
      <c r="V8" s="1">
        <v>23741373</v>
      </c>
      <c r="W8" s="1">
        <v>25458479</v>
      </c>
      <c r="X8" s="1">
        <v>25458479</v>
      </c>
      <c r="Y8" s="1">
        <v>25458479</v>
      </c>
      <c r="Z8" s="1">
        <v>25458479</v>
      </c>
      <c r="AA8" s="1">
        <v>25458479</v>
      </c>
      <c r="AB8" s="1">
        <v>25458479</v>
      </c>
      <c r="AC8" s="1">
        <v>25458479</v>
      </c>
      <c r="AD8" s="1">
        <v>25458479</v>
      </c>
      <c r="AE8" s="1">
        <v>25458479</v>
      </c>
      <c r="AF8" s="1">
        <v>25458479</v>
      </c>
      <c r="AG8" s="1">
        <v>25458479</v>
      </c>
      <c r="AH8" s="1">
        <v>25458479</v>
      </c>
      <c r="AI8" s="1">
        <v>25458479</v>
      </c>
      <c r="AJ8" s="1">
        <v>25458479</v>
      </c>
      <c r="AK8" s="1">
        <v>25458479</v>
      </c>
      <c r="AL8" s="1">
        <v>25458479</v>
      </c>
      <c r="AM8" s="1">
        <v>25458479</v>
      </c>
      <c r="AO8" s="7">
        <f t="shared" ref="AO8" si="6">+O8-C8</f>
        <v>39754</v>
      </c>
      <c r="AP8" s="8">
        <f t="shared" ref="AP8" si="7">+(O8/C8)-1</f>
        <v>1.4485934789170152E-3</v>
      </c>
      <c r="AQ8" s="12">
        <f t="shared" ref="AQ8" si="8">+(AA8-O8)</f>
        <v>-2024447</v>
      </c>
      <c r="AR8" s="13">
        <f t="shared" ref="AR8" si="9">+(AA8/O8)-1</f>
        <v>-7.3661989265626282E-2</v>
      </c>
      <c r="AS8" s="17">
        <f t="shared" ref="AS8" si="10">+AM8-AA8</f>
        <v>0</v>
      </c>
      <c r="AT8" s="18">
        <f t="shared" ref="AT8" si="11">+(AM8/AA8)-1</f>
        <v>0</v>
      </c>
    </row>
    <row r="9" spans="1:46" ht="14.25" customHeight="1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O9" s="7"/>
      <c r="AP9" s="8"/>
      <c r="AQ9" s="12"/>
      <c r="AR9" s="13"/>
      <c r="AS9" s="17"/>
      <c r="AT9" s="18"/>
    </row>
    <row r="10" spans="1:46" ht="14.25" customHeight="1">
      <c r="A10" t="s">
        <v>14</v>
      </c>
      <c r="B10">
        <v>700130</v>
      </c>
      <c r="C10">
        <v>88618818</v>
      </c>
      <c r="D10" s="1">
        <v>53814511</v>
      </c>
      <c r="E10" s="1">
        <v>70854536</v>
      </c>
      <c r="F10" s="1">
        <v>101669171</v>
      </c>
      <c r="G10" s="1">
        <v>71312444</v>
      </c>
      <c r="H10" s="1">
        <v>82348586</v>
      </c>
      <c r="I10" s="1">
        <v>79308487</v>
      </c>
      <c r="J10" s="1">
        <v>41889326</v>
      </c>
      <c r="K10" s="1">
        <v>102299384</v>
      </c>
      <c r="L10" s="1">
        <v>72600294</v>
      </c>
      <c r="M10" s="1">
        <v>68562821</v>
      </c>
      <c r="N10" s="1">
        <v>94893093</v>
      </c>
      <c r="O10" s="1">
        <v>81565996</v>
      </c>
      <c r="P10" s="1">
        <v>101894582</v>
      </c>
      <c r="Q10" s="1">
        <v>97211204</v>
      </c>
      <c r="R10" s="1">
        <v>63462954</v>
      </c>
      <c r="S10" s="1">
        <v>63790544</v>
      </c>
      <c r="T10" s="1">
        <v>89168655</v>
      </c>
      <c r="U10" s="1">
        <v>66584451</v>
      </c>
      <c r="V10" s="1">
        <v>54580841</v>
      </c>
      <c r="W10" s="1">
        <v>141590120</v>
      </c>
      <c r="X10" s="1">
        <v>114607253</v>
      </c>
      <c r="Y10" s="1">
        <v>127174503</v>
      </c>
      <c r="Z10" s="1">
        <v>130715791</v>
      </c>
      <c r="AA10" s="1">
        <v>126750923</v>
      </c>
      <c r="AB10" s="1">
        <v>125720975</v>
      </c>
      <c r="AC10" s="1">
        <v>123192935</v>
      </c>
      <c r="AD10" s="1">
        <v>122714446</v>
      </c>
      <c r="AE10" s="1">
        <v>116586061</v>
      </c>
      <c r="AF10" s="1">
        <v>112028198</v>
      </c>
      <c r="AG10" s="1">
        <v>107452174</v>
      </c>
      <c r="AH10" s="1">
        <v>103200825</v>
      </c>
      <c r="AI10" s="1">
        <v>102842326</v>
      </c>
      <c r="AJ10" s="1">
        <v>104369309</v>
      </c>
      <c r="AK10" s="1">
        <v>109324195</v>
      </c>
      <c r="AL10" s="1">
        <v>115125879</v>
      </c>
      <c r="AM10" s="1">
        <v>120412982</v>
      </c>
      <c r="AO10" s="7">
        <f t="shared" ref="AO10:AO17" si="12">+O10-C10</f>
        <v>-7052822</v>
      </c>
      <c r="AP10" s="8">
        <f t="shared" ref="AP10:AP17" si="13">+(O10/C10)-1</f>
        <v>-7.9586053607711205E-2</v>
      </c>
      <c r="AQ10" s="12">
        <f t="shared" ref="AQ10:AQ17" si="14">+(AA10-O10)</f>
        <v>45184927</v>
      </c>
      <c r="AR10" s="13">
        <f t="shared" ref="AR10:AR17" si="15">+(AA10/O10)-1</f>
        <v>0.55396769751944186</v>
      </c>
      <c r="AS10" s="17">
        <f t="shared" ref="AS10:AS17" si="16">+AM10-AA10</f>
        <v>-6337941</v>
      </c>
      <c r="AT10" s="18">
        <f t="shared" ref="AT10:AT17" si="17">+(AM10/AA10)-1</f>
        <v>-5.0003115164691914E-2</v>
      </c>
    </row>
    <row r="11" spans="1:46" ht="14.25" customHeight="1">
      <c r="A11" t="s">
        <v>15</v>
      </c>
      <c r="B11">
        <v>700135</v>
      </c>
      <c r="C11">
        <v>13073840</v>
      </c>
      <c r="D11" s="1">
        <v>13119459</v>
      </c>
      <c r="E11" s="1">
        <v>13001504</v>
      </c>
      <c r="F11" s="1">
        <v>13134565</v>
      </c>
      <c r="G11" s="1">
        <v>13001796</v>
      </c>
      <c r="H11" s="1">
        <v>13160978</v>
      </c>
      <c r="I11" s="1">
        <v>13050374</v>
      </c>
      <c r="J11" s="1">
        <v>34306333</v>
      </c>
      <c r="K11" s="1">
        <v>13204314</v>
      </c>
      <c r="L11" s="1">
        <v>13116175</v>
      </c>
      <c r="M11" s="1">
        <v>13085431</v>
      </c>
      <c r="N11" s="1">
        <v>13000040</v>
      </c>
      <c r="O11" s="1">
        <v>12999641</v>
      </c>
      <c r="P11" s="1">
        <v>13036727</v>
      </c>
      <c r="Q11" s="1">
        <v>13001214</v>
      </c>
      <c r="R11" s="1">
        <v>14869841</v>
      </c>
      <c r="S11" s="1">
        <v>18027340</v>
      </c>
      <c r="T11" s="1">
        <v>18022746</v>
      </c>
      <c r="U11" s="1">
        <v>18090810</v>
      </c>
      <c r="V11" s="1">
        <v>42019407</v>
      </c>
      <c r="W11" s="1">
        <v>18001753</v>
      </c>
      <c r="X11" s="1">
        <v>15756486</v>
      </c>
      <c r="Y11" s="1">
        <v>14912077</v>
      </c>
      <c r="Z11" s="1">
        <v>13169304</v>
      </c>
      <c r="AA11" s="1">
        <v>14808992</v>
      </c>
      <c r="AB11" s="1">
        <v>14487038</v>
      </c>
      <c r="AC11" s="1">
        <v>15161765</v>
      </c>
      <c r="AD11" s="1">
        <v>15557765</v>
      </c>
      <c r="AE11" s="1">
        <v>16319573</v>
      </c>
      <c r="AF11" s="1">
        <v>16873803</v>
      </c>
      <c r="AG11" s="1">
        <v>17210732</v>
      </c>
      <c r="AH11" s="1">
        <v>17675149</v>
      </c>
      <c r="AI11" s="1">
        <v>17584822</v>
      </c>
      <c r="AJ11" s="1">
        <v>17329601</v>
      </c>
      <c r="AK11" s="1">
        <v>16958256</v>
      </c>
      <c r="AL11" s="1">
        <v>16664787</v>
      </c>
      <c r="AM11" s="1">
        <v>16027293</v>
      </c>
      <c r="AO11" s="7">
        <f t="shared" si="12"/>
        <v>-74199</v>
      </c>
      <c r="AP11" s="8">
        <f t="shared" si="13"/>
        <v>-5.6753792305856976E-3</v>
      </c>
      <c r="AQ11" s="12">
        <f t="shared" si="14"/>
        <v>1809351</v>
      </c>
      <c r="AR11" s="13">
        <f t="shared" si="15"/>
        <v>0.13918468979258725</v>
      </c>
      <c r="AS11" s="17">
        <f t="shared" si="16"/>
        <v>1218301</v>
      </c>
      <c r="AT11" s="18">
        <f t="shared" si="17"/>
        <v>8.2267651977933509E-2</v>
      </c>
    </row>
    <row r="12" spans="1:46" ht="14.25" customHeight="1">
      <c r="A12" t="s">
        <v>16</v>
      </c>
      <c r="B12">
        <v>700140</v>
      </c>
      <c r="C12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1034</v>
      </c>
      <c r="V12" s="1">
        <v>1034</v>
      </c>
      <c r="W12" s="1">
        <v>2045</v>
      </c>
      <c r="X12" s="1">
        <v>1790</v>
      </c>
      <c r="Y12" s="1">
        <v>1694</v>
      </c>
      <c r="Z12" s="1">
        <v>1496</v>
      </c>
      <c r="AA12" s="1">
        <v>1682</v>
      </c>
      <c r="AB12" s="1">
        <v>1645</v>
      </c>
      <c r="AC12" s="1">
        <v>1722</v>
      </c>
      <c r="AD12" s="1">
        <v>1767</v>
      </c>
      <c r="AE12" s="1">
        <v>1854</v>
      </c>
      <c r="AF12" s="1">
        <v>1917</v>
      </c>
      <c r="AG12" s="1">
        <v>1955</v>
      </c>
      <c r="AH12" s="1">
        <v>2008</v>
      </c>
      <c r="AI12" s="1">
        <v>1997</v>
      </c>
      <c r="AJ12" s="1">
        <v>1968</v>
      </c>
      <c r="AK12" s="1">
        <v>1926</v>
      </c>
      <c r="AL12" s="1">
        <v>1893</v>
      </c>
      <c r="AM12" s="1">
        <v>1820</v>
      </c>
      <c r="AO12" s="7">
        <f t="shared" si="12"/>
        <v>0</v>
      </c>
      <c r="AP12" s="8" t="e">
        <f t="shared" si="13"/>
        <v>#DIV/0!</v>
      </c>
      <c r="AQ12" s="12">
        <f t="shared" si="14"/>
        <v>1682</v>
      </c>
      <c r="AR12" s="13" t="e">
        <f t="shared" si="15"/>
        <v>#DIV/0!</v>
      </c>
      <c r="AS12" s="17">
        <f t="shared" si="16"/>
        <v>138</v>
      </c>
      <c r="AT12" s="18">
        <f t="shared" si="17"/>
        <v>8.2045184304399443E-2</v>
      </c>
    </row>
    <row r="13" spans="1:46" ht="14.25" customHeight="1">
      <c r="A13" t="s">
        <v>17</v>
      </c>
      <c r="B13">
        <v>730055</v>
      </c>
      <c r="C13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O13" s="7">
        <f t="shared" si="12"/>
        <v>0</v>
      </c>
      <c r="AP13" s="8" t="e">
        <f t="shared" si="13"/>
        <v>#DIV/0!</v>
      </c>
      <c r="AQ13" s="12">
        <f t="shared" si="14"/>
        <v>0</v>
      </c>
      <c r="AR13" s="13" t="e">
        <f t="shared" si="15"/>
        <v>#DIV/0!</v>
      </c>
      <c r="AS13" s="17">
        <f t="shared" si="16"/>
        <v>0</v>
      </c>
      <c r="AT13" s="18" t="e">
        <f t="shared" si="17"/>
        <v>#DIV/0!</v>
      </c>
    </row>
    <row r="14" spans="1:46" ht="14.25" customHeight="1">
      <c r="A14" t="s">
        <v>18</v>
      </c>
      <c r="B14">
        <v>730060</v>
      </c>
      <c r="C14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O14" s="7">
        <f t="shared" si="12"/>
        <v>0</v>
      </c>
      <c r="AP14" s="8" t="e">
        <f t="shared" si="13"/>
        <v>#DIV/0!</v>
      </c>
      <c r="AQ14" s="12">
        <f t="shared" si="14"/>
        <v>0</v>
      </c>
      <c r="AR14" s="13" t="e">
        <f t="shared" si="15"/>
        <v>#DIV/0!</v>
      </c>
      <c r="AS14" s="17">
        <f t="shared" si="16"/>
        <v>0</v>
      </c>
      <c r="AT14" s="18" t="e">
        <f t="shared" si="17"/>
        <v>#DIV/0!</v>
      </c>
    </row>
    <row r="15" spans="1:46" ht="14.25" customHeight="1">
      <c r="A15" t="s">
        <v>19</v>
      </c>
      <c r="B15">
        <v>730040</v>
      </c>
      <c r="C15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O15" s="7">
        <f t="shared" si="12"/>
        <v>0</v>
      </c>
      <c r="AP15" s="8" t="e">
        <f t="shared" si="13"/>
        <v>#DIV/0!</v>
      </c>
      <c r="AQ15" s="12">
        <f t="shared" si="14"/>
        <v>0</v>
      </c>
      <c r="AR15" s="13" t="e">
        <f t="shared" si="15"/>
        <v>#DIV/0!</v>
      </c>
      <c r="AS15" s="17">
        <f t="shared" si="16"/>
        <v>0</v>
      </c>
      <c r="AT15" s="18" t="e">
        <f t="shared" si="17"/>
        <v>#DIV/0!</v>
      </c>
    </row>
    <row r="16" spans="1:46" ht="14.25" customHeight="1">
      <c r="A16" t="s">
        <v>20</v>
      </c>
      <c r="B16">
        <v>730045</v>
      </c>
      <c r="C16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O16" s="7">
        <f t="shared" si="12"/>
        <v>0</v>
      </c>
      <c r="AP16" s="8" t="e">
        <f t="shared" si="13"/>
        <v>#DIV/0!</v>
      </c>
      <c r="AQ16" s="12">
        <f t="shared" si="14"/>
        <v>0</v>
      </c>
      <c r="AR16" s="13" t="e">
        <f t="shared" si="15"/>
        <v>#DIV/0!</v>
      </c>
      <c r="AS16" s="17">
        <f t="shared" si="16"/>
        <v>0</v>
      </c>
      <c r="AT16" s="18" t="e">
        <f t="shared" si="17"/>
        <v>#DIV/0!</v>
      </c>
    </row>
    <row r="17" spans="1:46" ht="14.25" customHeight="1">
      <c r="A17" t="s">
        <v>21</v>
      </c>
      <c r="B17">
        <v>700501</v>
      </c>
      <c r="C17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O17" s="7">
        <f t="shared" si="12"/>
        <v>0</v>
      </c>
      <c r="AP17" s="8" t="e">
        <f t="shared" si="13"/>
        <v>#DIV/0!</v>
      </c>
      <c r="AQ17" s="12">
        <f t="shared" si="14"/>
        <v>0</v>
      </c>
      <c r="AR17" s="13" t="e">
        <f t="shared" si="15"/>
        <v>#DIV/0!</v>
      </c>
      <c r="AS17" s="17">
        <f t="shared" si="16"/>
        <v>0</v>
      </c>
      <c r="AT17" s="18" t="e">
        <f t="shared" si="17"/>
        <v>#DIV/0!</v>
      </c>
    </row>
    <row r="18" spans="1:46" ht="14.25" customHeight="1">
      <c r="A18" t="s">
        <v>11</v>
      </c>
      <c r="B18" t="s">
        <v>12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46" ht="14.25" customHeight="1">
      <c r="A19" t="s">
        <v>11</v>
      </c>
      <c r="B19" t="s">
        <v>12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O19" s="7"/>
      <c r="AP19" s="8"/>
      <c r="AQ19" s="12"/>
      <c r="AR19" s="13"/>
      <c r="AS19" s="17"/>
      <c r="AT19" s="18"/>
    </row>
    <row r="20" spans="1:46" ht="14.25" customHeight="1">
      <c r="A20" t="s">
        <v>22</v>
      </c>
      <c r="C20">
        <v>101692658</v>
      </c>
      <c r="D20" s="1">
        <v>66933970</v>
      </c>
      <c r="E20" s="1">
        <v>83856040</v>
      </c>
      <c r="F20" s="1">
        <v>114803736</v>
      </c>
      <c r="G20" s="1">
        <v>84314240</v>
      </c>
      <c r="H20" s="1">
        <v>95509564</v>
      </c>
      <c r="I20" s="1">
        <v>92358861</v>
      </c>
      <c r="J20" s="1">
        <v>76195659</v>
      </c>
      <c r="K20" s="1">
        <v>115503697</v>
      </c>
      <c r="L20" s="1">
        <v>85716469</v>
      </c>
      <c r="M20" s="1">
        <v>81648252</v>
      </c>
      <c r="N20" s="1">
        <v>107893132</v>
      </c>
      <c r="O20" s="1">
        <v>94565637</v>
      </c>
      <c r="P20" s="1">
        <v>114931309</v>
      </c>
      <c r="Q20" s="1">
        <v>110212418</v>
      </c>
      <c r="R20" s="1">
        <v>78332795</v>
      </c>
      <c r="S20" s="1">
        <v>81817884</v>
      </c>
      <c r="T20" s="1">
        <v>107191401</v>
      </c>
      <c r="U20" s="1">
        <v>84676295</v>
      </c>
      <c r="V20" s="1">
        <v>96601282</v>
      </c>
      <c r="W20" s="1">
        <v>159593918</v>
      </c>
      <c r="X20" s="1">
        <v>130365529</v>
      </c>
      <c r="Y20" s="1">
        <v>142088274</v>
      </c>
      <c r="Z20" s="1">
        <v>143886591</v>
      </c>
      <c r="AA20" s="1">
        <v>141561598</v>
      </c>
      <c r="AB20" s="1">
        <v>140209659</v>
      </c>
      <c r="AC20" s="1">
        <v>138356422</v>
      </c>
      <c r="AD20" s="1">
        <v>138273979</v>
      </c>
      <c r="AE20" s="1">
        <v>132907488</v>
      </c>
      <c r="AF20" s="1">
        <v>128903917</v>
      </c>
      <c r="AG20" s="1">
        <v>124664860</v>
      </c>
      <c r="AH20" s="1">
        <v>120877982</v>
      </c>
      <c r="AI20" s="1">
        <v>120429145</v>
      </c>
      <c r="AJ20" s="1">
        <v>121700878</v>
      </c>
      <c r="AK20" s="1">
        <v>126284377</v>
      </c>
      <c r="AL20" s="1">
        <v>131792558</v>
      </c>
      <c r="AM20" s="1">
        <v>136442096</v>
      </c>
      <c r="AO20" s="7">
        <f t="shared" ref="AO20" si="18">+O20-C20</f>
        <v>-7127021</v>
      </c>
      <c r="AP20" s="8">
        <f t="shared" ref="AP20" si="19">+(O20/C20)-1</f>
        <v>-7.0083928772911031E-2</v>
      </c>
      <c r="AQ20" s="12">
        <f t="shared" ref="AQ20" si="20">+(AA20-O20)</f>
        <v>46995961</v>
      </c>
      <c r="AR20" s="13">
        <f t="shared" ref="AR20" si="21">+(AA20/O20)-1</f>
        <v>0.49696657782784248</v>
      </c>
      <c r="AS20" s="17">
        <f t="shared" ref="AS20" si="22">+AM20-AA20</f>
        <v>-5119502</v>
      </c>
      <c r="AT20" s="18">
        <f t="shared" ref="AT20" si="23">+(AM20/AA20)-1</f>
        <v>-3.616448296945618E-2</v>
      </c>
    </row>
    <row r="21" spans="1:46" ht="14.25" customHeight="1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46" ht="14.25" customHeight="1">
      <c r="A22" t="s">
        <v>23</v>
      </c>
      <c r="B22">
        <v>730005</v>
      </c>
      <c r="C22">
        <v>60502796</v>
      </c>
      <c r="D22" s="1">
        <v>60507533</v>
      </c>
      <c r="E22" s="1">
        <v>60512294</v>
      </c>
      <c r="F22" s="1">
        <v>60517112</v>
      </c>
      <c r="G22" s="1">
        <v>60521976</v>
      </c>
      <c r="H22" s="1">
        <v>60526767</v>
      </c>
      <c r="I22" s="1">
        <v>60531540</v>
      </c>
      <c r="J22" s="1">
        <v>60536315</v>
      </c>
      <c r="K22" s="1">
        <v>60541114</v>
      </c>
      <c r="L22" s="1">
        <v>60545969</v>
      </c>
      <c r="M22" s="1">
        <v>60550871</v>
      </c>
      <c r="N22" s="1">
        <v>60555699</v>
      </c>
      <c r="O22" s="1">
        <v>60560510</v>
      </c>
      <c r="P22" s="1">
        <v>60565323</v>
      </c>
      <c r="Q22" s="1">
        <v>60570160</v>
      </c>
      <c r="R22" s="1">
        <v>60575053</v>
      </c>
      <c r="S22" s="1">
        <v>60579993</v>
      </c>
      <c r="T22" s="1">
        <v>60584860</v>
      </c>
      <c r="U22" s="1">
        <v>60589709</v>
      </c>
      <c r="V22" s="1">
        <v>60594561</v>
      </c>
      <c r="W22" s="1">
        <v>60599435</v>
      </c>
      <c r="X22" s="1">
        <v>121208686</v>
      </c>
      <c r="Y22" s="1">
        <v>60609256</v>
      </c>
      <c r="Z22" s="1">
        <v>60614175</v>
      </c>
      <c r="AA22" s="1">
        <v>60619097</v>
      </c>
      <c r="AB22" s="1">
        <v>60624025</v>
      </c>
      <c r="AC22" s="1">
        <v>60628958</v>
      </c>
      <c r="AD22" s="1">
        <v>60633898</v>
      </c>
      <c r="AE22" s="1">
        <v>60638844</v>
      </c>
      <c r="AF22" s="1">
        <v>60643797</v>
      </c>
      <c r="AG22" s="1">
        <v>60648756</v>
      </c>
      <c r="AH22" s="1">
        <v>60653728</v>
      </c>
      <c r="AI22" s="1">
        <v>60658709</v>
      </c>
      <c r="AJ22" s="1">
        <v>60663697</v>
      </c>
      <c r="AK22" s="1">
        <v>60668692</v>
      </c>
      <c r="AL22" s="1">
        <v>60673693</v>
      </c>
      <c r="AM22" s="1">
        <v>60678700</v>
      </c>
      <c r="AO22" s="7">
        <f t="shared" ref="AO22:AO25" si="24">+O22-C22</f>
        <v>57714</v>
      </c>
      <c r="AP22" s="8">
        <f t="shared" ref="AP22:AP25" si="25">+(O22/C22)-1</f>
        <v>9.5390632856040547E-4</v>
      </c>
      <c r="AQ22" s="12">
        <f t="shared" ref="AQ22:AQ25" si="26">+(AA22-O22)</f>
        <v>58587</v>
      </c>
      <c r="AR22" s="13">
        <f t="shared" ref="AR22:AR25" si="27">+(AA22/O22)-1</f>
        <v>9.6741259279364833E-4</v>
      </c>
      <c r="AS22" s="17">
        <f t="shared" ref="AS22:AS25" si="28">+AM22-AA22</f>
        <v>59603</v>
      </c>
      <c r="AT22" s="18">
        <f t="shared" ref="AT22:AT25" si="29">+(AM22/AA22)-1</f>
        <v>9.832380050134315E-4</v>
      </c>
    </row>
    <row r="23" spans="1:46" ht="14.25" customHeight="1">
      <c r="A23" t="s">
        <v>24</v>
      </c>
      <c r="B23">
        <v>730010</v>
      </c>
      <c r="C23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O23" s="7">
        <f t="shared" si="24"/>
        <v>0</v>
      </c>
      <c r="AP23" s="8" t="e">
        <f t="shared" si="25"/>
        <v>#DIV/0!</v>
      </c>
      <c r="AQ23" s="12">
        <f t="shared" si="26"/>
        <v>0</v>
      </c>
      <c r="AR23" s="13" t="e">
        <f t="shared" si="27"/>
        <v>#DIV/0!</v>
      </c>
      <c r="AS23" s="17">
        <f t="shared" si="28"/>
        <v>0</v>
      </c>
      <c r="AT23" s="18" t="e">
        <f t="shared" si="29"/>
        <v>#DIV/0!</v>
      </c>
    </row>
    <row r="24" spans="1:46" ht="14.25" customHeight="1">
      <c r="A24" t="s">
        <v>25</v>
      </c>
      <c r="B24">
        <v>730015</v>
      </c>
      <c r="C24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O24" s="7">
        <f t="shared" si="24"/>
        <v>0</v>
      </c>
      <c r="AP24" s="8" t="e">
        <f t="shared" si="25"/>
        <v>#DIV/0!</v>
      </c>
      <c r="AQ24" s="12">
        <f t="shared" si="26"/>
        <v>0</v>
      </c>
      <c r="AR24" s="13" t="e">
        <f t="shared" si="27"/>
        <v>#DIV/0!</v>
      </c>
      <c r="AS24" s="17">
        <f t="shared" si="28"/>
        <v>0</v>
      </c>
      <c r="AT24" s="18" t="e">
        <f t="shared" si="29"/>
        <v>#DIV/0!</v>
      </c>
    </row>
    <row r="25" spans="1:46" ht="14.25" customHeight="1">
      <c r="A25" t="s">
        <v>26</v>
      </c>
      <c r="B25">
        <v>730020</v>
      </c>
      <c r="C25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O25" s="7">
        <f t="shared" si="24"/>
        <v>0</v>
      </c>
      <c r="AP25" s="8" t="e">
        <f t="shared" si="25"/>
        <v>#DIV/0!</v>
      </c>
      <c r="AQ25" s="12">
        <f t="shared" si="26"/>
        <v>0</v>
      </c>
      <c r="AR25" s="13" t="e">
        <f t="shared" si="27"/>
        <v>#DIV/0!</v>
      </c>
      <c r="AS25" s="17">
        <f t="shared" si="28"/>
        <v>0</v>
      </c>
      <c r="AT25" s="18" t="e">
        <f t="shared" si="29"/>
        <v>#DIV/0!</v>
      </c>
    </row>
    <row r="26" spans="1:46" ht="14.25" customHeight="1">
      <c r="A26" t="s">
        <v>11</v>
      </c>
      <c r="B26" t="s">
        <v>12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46" ht="14.25" customHeight="1">
      <c r="A27" t="s">
        <v>23</v>
      </c>
      <c r="C27">
        <v>60502796</v>
      </c>
      <c r="D27" s="1">
        <v>60507533</v>
      </c>
      <c r="E27" s="1">
        <v>60512294</v>
      </c>
      <c r="F27" s="1">
        <v>60517112</v>
      </c>
      <c r="G27" s="1">
        <v>60521976</v>
      </c>
      <c r="H27" s="1">
        <v>60526767</v>
      </c>
      <c r="I27" s="1">
        <v>60531540</v>
      </c>
      <c r="J27" s="1">
        <v>60536315</v>
      </c>
      <c r="K27" s="1">
        <v>60541114</v>
      </c>
      <c r="L27" s="1">
        <v>60545969</v>
      </c>
      <c r="M27" s="1">
        <v>60550871</v>
      </c>
      <c r="N27" s="1">
        <v>60555699</v>
      </c>
      <c r="O27" s="1">
        <v>60560510</v>
      </c>
      <c r="P27" s="1">
        <v>60565323</v>
      </c>
      <c r="Q27" s="1">
        <v>60570160</v>
      </c>
      <c r="R27" s="1">
        <v>60575053</v>
      </c>
      <c r="S27" s="1">
        <v>60579993</v>
      </c>
      <c r="T27" s="1">
        <v>60584860</v>
      </c>
      <c r="U27" s="1">
        <v>60589709</v>
      </c>
      <c r="V27" s="1">
        <v>60594561</v>
      </c>
      <c r="W27" s="1">
        <v>60599435</v>
      </c>
      <c r="X27" s="1">
        <v>121208686</v>
      </c>
      <c r="Y27" s="1">
        <v>60609256</v>
      </c>
      <c r="Z27" s="1">
        <v>60614175</v>
      </c>
      <c r="AA27" s="1">
        <v>60619097</v>
      </c>
      <c r="AB27" s="1">
        <v>60624025</v>
      </c>
      <c r="AC27" s="1">
        <v>60628958</v>
      </c>
      <c r="AD27" s="1">
        <v>60633898</v>
      </c>
      <c r="AE27" s="1">
        <v>60638844</v>
      </c>
      <c r="AF27" s="1">
        <v>60643797</v>
      </c>
      <c r="AG27" s="1">
        <v>60648756</v>
      </c>
      <c r="AH27" s="1">
        <v>60653728</v>
      </c>
      <c r="AI27" s="1">
        <v>60658709</v>
      </c>
      <c r="AJ27" s="1">
        <v>60663697</v>
      </c>
      <c r="AK27" s="1">
        <v>60668692</v>
      </c>
      <c r="AL27" s="1">
        <v>60673693</v>
      </c>
      <c r="AM27" s="1">
        <v>60678700</v>
      </c>
      <c r="AO27" s="7">
        <f t="shared" ref="AO27" si="30">+O27-C27</f>
        <v>57714</v>
      </c>
      <c r="AP27" s="8">
        <f t="shared" ref="AP27" si="31">+(O27/C27)-1</f>
        <v>9.5390632856040547E-4</v>
      </c>
      <c r="AQ27" s="12">
        <f t="shared" ref="AQ27" si="32">+(AA27-O27)</f>
        <v>58587</v>
      </c>
      <c r="AR27" s="13">
        <f t="shared" ref="AR27" si="33">+(AA27/O27)-1</f>
        <v>9.6741259279364833E-4</v>
      </c>
      <c r="AS27" s="17">
        <f t="shared" ref="AS27" si="34">+AM27-AA27</f>
        <v>59603</v>
      </c>
      <c r="AT27" s="18">
        <f t="shared" ref="AT27" si="35">+(AM27/AA27)-1</f>
        <v>9.832380050134315E-4</v>
      </c>
    </row>
    <row r="28" spans="1:46" ht="14.25" customHeight="1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46" ht="14.25" customHeight="1">
      <c r="A29" t="s">
        <v>27</v>
      </c>
      <c r="C29">
        <v>16189814</v>
      </c>
      <c r="D29" s="1">
        <v>15995534</v>
      </c>
      <c r="E29" s="1">
        <v>15862976</v>
      </c>
      <c r="F29" s="1">
        <v>15753971</v>
      </c>
      <c r="G29" s="1">
        <v>15653346</v>
      </c>
      <c r="H29" s="1">
        <v>15390624</v>
      </c>
      <c r="I29" s="1">
        <v>15237557</v>
      </c>
      <c r="J29" s="1">
        <v>15131844</v>
      </c>
      <c r="K29" s="1">
        <v>14617854</v>
      </c>
      <c r="L29" s="1">
        <v>14518120</v>
      </c>
      <c r="M29" s="1">
        <v>14368891</v>
      </c>
      <c r="N29" s="1">
        <v>14268239</v>
      </c>
      <c r="O29" s="1">
        <v>14163576</v>
      </c>
      <c r="P29" s="1">
        <v>14063591</v>
      </c>
      <c r="Q29" s="1">
        <v>13964088</v>
      </c>
      <c r="R29" s="1">
        <v>13775789</v>
      </c>
      <c r="S29" s="1">
        <v>13675722</v>
      </c>
      <c r="T29" s="1">
        <v>13570451</v>
      </c>
      <c r="U29" s="1">
        <v>13469534</v>
      </c>
      <c r="V29" s="1">
        <v>13363466</v>
      </c>
      <c r="W29" s="1">
        <v>13261542</v>
      </c>
      <c r="X29" s="1">
        <v>13161503</v>
      </c>
      <c r="Y29" s="1">
        <v>13061416</v>
      </c>
      <c r="Z29" s="1">
        <v>12961282</v>
      </c>
      <c r="AA29" s="1">
        <v>12861098</v>
      </c>
      <c r="AB29" s="1">
        <v>12760865</v>
      </c>
      <c r="AC29" s="1">
        <v>12660581</v>
      </c>
      <c r="AD29" s="1">
        <v>12530005</v>
      </c>
      <c r="AE29" s="1">
        <v>12522046</v>
      </c>
      <c r="AF29" s="1">
        <v>11734543</v>
      </c>
      <c r="AG29" s="1">
        <v>11728451</v>
      </c>
      <c r="AH29" s="1">
        <v>11722422</v>
      </c>
      <c r="AI29" s="1">
        <v>11716455</v>
      </c>
      <c r="AJ29" s="1">
        <v>11710551</v>
      </c>
      <c r="AK29" s="1">
        <v>10088521</v>
      </c>
      <c r="AL29" s="1">
        <v>10085284</v>
      </c>
      <c r="AM29" s="1">
        <v>10082113</v>
      </c>
      <c r="AO29" s="7">
        <f t="shared" ref="AO29:AO30" si="36">+O29-C29</f>
        <v>-2026238</v>
      </c>
      <c r="AP29" s="8">
        <f t="shared" ref="AP29:AP30" si="37">+(O29/C29)-1</f>
        <v>-0.12515511296176718</v>
      </c>
      <c r="AQ29" s="12">
        <f t="shared" ref="AQ29:AQ30" si="38">+(AA29-O29)</f>
        <v>-1302478</v>
      </c>
      <c r="AR29" s="13">
        <f t="shared" ref="AR29:AR30" si="39">+(AA29/O29)-1</f>
        <v>-9.1959685887236353E-2</v>
      </c>
      <c r="AS29" s="17">
        <f t="shared" ref="AS29:AS30" si="40">+AM29-AA29</f>
        <v>-2778985</v>
      </c>
      <c r="AT29" s="18">
        <f t="shared" ref="AT29:AT30" si="41">+(AM29/AA29)-1</f>
        <v>-0.21607680775000704</v>
      </c>
    </row>
    <row r="30" spans="1:46" ht="14.25" customHeight="1">
      <c r="A30" t="s">
        <v>28</v>
      </c>
      <c r="C30">
        <v>431153</v>
      </c>
      <c r="D30" s="1">
        <v>429096</v>
      </c>
      <c r="E30" s="1">
        <v>428520</v>
      </c>
      <c r="F30" s="1">
        <v>427784</v>
      </c>
      <c r="G30" s="1">
        <v>427249</v>
      </c>
      <c r="H30" s="1">
        <v>426655</v>
      </c>
      <c r="I30" s="1">
        <v>426162</v>
      </c>
      <c r="J30" s="1">
        <v>425570</v>
      </c>
      <c r="K30" s="1">
        <v>425069</v>
      </c>
      <c r="L30" s="1">
        <v>424577</v>
      </c>
      <c r="M30" s="1">
        <v>424002</v>
      </c>
      <c r="N30" s="1">
        <v>423524</v>
      </c>
      <c r="O30" s="1">
        <v>422940</v>
      </c>
      <c r="P30" s="1">
        <v>422450</v>
      </c>
      <c r="Q30" s="1">
        <v>421957</v>
      </c>
      <c r="R30" s="1">
        <v>421158</v>
      </c>
      <c r="S30" s="1">
        <v>420621</v>
      </c>
      <c r="T30" s="1">
        <v>419957</v>
      </c>
      <c r="U30" s="1">
        <v>419374</v>
      </c>
      <c r="V30" s="1">
        <v>383653</v>
      </c>
      <c r="W30" s="1">
        <v>383116</v>
      </c>
      <c r="X30" s="1">
        <v>382742</v>
      </c>
      <c r="Y30" s="1">
        <v>382421</v>
      </c>
      <c r="Z30" s="1">
        <v>382098</v>
      </c>
      <c r="AA30" s="1">
        <v>381773</v>
      </c>
      <c r="AB30" s="1">
        <v>381447</v>
      </c>
      <c r="AC30" s="1">
        <v>381119</v>
      </c>
      <c r="AD30" s="1">
        <v>380789</v>
      </c>
      <c r="AE30" s="1">
        <v>380457</v>
      </c>
      <c r="AF30" s="1">
        <v>380124</v>
      </c>
      <c r="AG30" s="1">
        <v>379788</v>
      </c>
      <c r="AH30" s="1">
        <v>379451</v>
      </c>
      <c r="AI30" s="1">
        <v>379112</v>
      </c>
      <c r="AJ30" s="1">
        <v>378772</v>
      </c>
      <c r="AK30" s="1">
        <v>378429</v>
      </c>
      <c r="AL30" s="1">
        <v>378085</v>
      </c>
      <c r="AM30" s="1">
        <v>377739</v>
      </c>
      <c r="AO30" s="7">
        <f t="shared" si="36"/>
        <v>-8213</v>
      </c>
      <c r="AP30" s="8">
        <f t="shared" si="37"/>
        <v>-1.9048922308322114E-2</v>
      </c>
      <c r="AQ30" s="12">
        <f t="shared" si="38"/>
        <v>-41167</v>
      </c>
      <c r="AR30" s="13">
        <f t="shared" si="39"/>
        <v>-9.7335319430652101E-2</v>
      </c>
      <c r="AS30" s="17">
        <f t="shared" si="40"/>
        <v>-4034</v>
      </c>
      <c r="AT30" s="18">
        <f t="shared" si="41"/>
        <v>-1.0566488463039536E-2</v>
      </c>
    </row>
    <row r="31" spans="1:46" ht="14.25" customHeight="1">
      <c r="A31" t="s">
        <v>11</v>
      </c>
      <c r="B31" t="s">
        <v>12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46" ht="14.25" customHeight="1">
      <c r="A32" t="s">
        <v>29</v>
      </c>
      <c r="C32">
        <v>16620967</v>
      </c>
      <c r="D32" s="1">
        <v>16424630</v>
      </c>
      <c r="E32" s="1">
        <v>16291496</v>
      </c>
      <c r="F32" s="1">
        <v>16181755</v>
      </c>
      <c r="G32" s="1">
        <v>16080595</v>
      </c>
      <c r="H32" s="1">
        <v>15817278</v>
      </c>
      <c r="I32" s="1">
        <v>15663718</v>
      </c>
      <c r="J32" s="1">
        <v>15557414</v>
      </c>
      <c r="K32" s="1">
        <v>15042923</v>
      </c>
      <c r="L32" s="1">
        <v>14942698</v>
      </c>
      <c r="M32" s="1">
        <v>14792893</v>
      </c>
      <c r="N32" s="1">
        <v>14691763</v>
      </c>
      <c r="O32" s="1">
        <v>14586515</v>
      </c>
      <c r="P32" s="1">
        <v>14486041</v>
      </c>
      <c r="Q32" s="1">
        <v>14386045</v>
      </c>
      <c r="R32" s="1">
        <v>14196947</v>
      </c>
      <c r="S32" s="1">
        <v>14096342</v>
      </c>
      <c r="T32" s="1">
        <v>13990409</v>
      </c>
      <c r="U32" s="1">
        <v>13888908</v>
      </c>
      <c r="V32" s="1">
        <v>13747120</v>
      </c>
      <c r="W32" s="1">
        <v>13644659</v>
      </c>
      <c r="X32" s="1">
        <v>13544245</v>
      </c>
      <c r="Y32" s="1">
        <v>13443837</v>
      </c>
      <c r="Z32" s="1">
        <v>13343380</v>
      </c>
      <c r="AA32" s="1">
        <v>13242872</v>
      </c>
      <c r="AB32" s="1">
        <v>13142312</v>
      </c>
      <c r="AC32" s="1">
        <v>13041700</v>
      </c>
      <c r="AD32" s="1">
        <v>12910794</v>
      </c>
      <c r="AE32" s="1">
        <v>12902503</v>
      </c>
      <c r="AF32" s="1">
        <v>12114667</v>
      </c>
      <c r="AG32" s="1">
        <v>12108239</v>
      </c>
      <c r="AH32" s="1">
        <v>12101873</v>
      </c>
      <c r="AI32" s="1">
        <v>12095568</v>
      </c>
      <c r="AJ32" s="1">
        <v>12089322</v>
      </c>
      <c r="AK32" s="1">
        <v>10466950</v>
      </c>
      <c r="AL32" s="1">
        <v>10463369</v>
      </c>
      <c r="AM32" s="1">
        <v>10459852</v>
      </c>
      <c r="AO32" s="7">
        <f t="shared" ref="AO32" si="42">+O32-C32</f>
        <v>-2034452</v>
      </c>
      <c r="AP32" s="8">
        <f t="shared" ref="AP32" si="43">+(O32/C32)-1</f>
        <v>-0.12240274588115119</v>
      </c>
      <c r="AQ32" s="12">
        <f t="shared" ref="AQ32" si="44">+(AA32-O32)</f>
        <v>-1343643</v>
      </c>
      <c r="AR32" s="13">
        <f t="shared" ref="AR32" si="45">+(AA32/O32)-1</f>
        <v>-9.2115423046560507E-2</v>
      </c>
      <c r="AS32" s="17">
        <f t="shared" ref="AS32" si="46">+AM32-AA32</f>
        <v>-2783020</v>
      </c>
      <c r="AT32" s="18">
        <f t="shared" ref="AT32" si="47">+(AM32/AA32)-1</f>
        <v>-0.21015229928976131</v>
      </c>
    </row>
    <row r="33" spans="1:46" ht="14.25" customHeight="1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46" ht="14.25" customHeight="1">
      <c r="A34" t="s">
        <v>30</v>
      </c>
      <c r="C34">
        <v>279150837</v>
      </c>
      <c r="D34" s="1">
        <v>278523805</v>
      </c>
      <c r="E34" s="1">
        <v>277913333</v>
      </c>
      <c r="F34" s="1">
        <v>277442525</v>
      </c>
      <c r="G34" s="1">
        <v>276507187</v>
      </c>
      <c r="H34" s="1">
        <v>275753781</v>
      </c>
      <c r="I34" s="1">
        <v>275068330</v>
      </c>
      <c r="J34" s="1">
        <v>274103123</v>
      </c>
      <c r="K34" s="1">
        <v>273512267</v>
      </c>
      <c r="L34" s="1">
        <v>272426531</v>
      </c>
      <c r="M34" s="1">
        <v>271680637</v>
      </c>
      <c r="N34" s="1">
        <v>270948172</v>
      </c>
      <c r="O34" s="1">
        <v>270227071</v>
      </c>
      <c r="P34" s="1">
        <v>269465962</v>
      </c>
      <c r="Q34" s="1">
        <v>268876643</v>
      </c>
      <c r="R34" s="1">
        <v>268126796</v>
      </c>
      <c r="S34" s="1">
        <v>263333377</v>
      </c>
      <c r="T34" s="1">
        <v>259331581</v>
      </c>
      <c r="U34" s="1">
        <v>258550603</v>
      </c>
      <c r="V34" s="1">
        <v>257650962</v>
      </c>
      <c r="W34" s="1">
        <v>256919462</v>
      </c>
      <c r="X34" s="1">
        <v>256878891</v>
      </c>
      <c r="Y34" s="1">
        <v>256145209</v>
      </c>
      <c r="Z34" s="1">
        <v>255419449</v>
      </c>
      <c r="AA34" s="1">
        <v>254691474</v>
      </c>
      <c r="AB34" s="1">
        <v>253970102</v>
      </c>
      <c r="AC34" s="1">
        <v>253255336</v>
      </c>
      <c r="AD34" s="1">
        <v>252528280</v>
      </c>
      <c r="AE34" s="1">
        <v>251816521</v>
      </c>
      <c r="AF34" s="1">
        <v>251102511</v>
      </c>
      <c r="AG34" s="1">
        <v>250396239</v>
      </c>
      <c r="AH34" s="1">
        <v>249687701</v>
      </c>
      <c r="AI34" s="1">
        <v>248985584</v>
      </c>
      <c r="AJ34" s="1">
        <v>248287418</v>
      </c>
      <c r="AK34" s="1">
        <v>247586969</v>
      </c>
      <c r="AL34" s="1">
        <v>246894124</v>
      </c>
      <c r="AM34" s="1">
        <v>246198983</v>
      </c>
      <c r="AO34" s="7">
        <f t="shared" ref="AO34:AO35" si="48">+O34-C34</f>
        <v>-8923766</v>
      </c>
      <c r="AP34" s="8">
        <f t="shared" ref="AP34:AP35" si="49">+(O34/C34)-1</f>
        <v>-3.1967541619801754E-2</v>
      </c>
      <c r="AQ34" s="12">
        <f t="shared" ref="AQ34:AQ35" si="50">+(AA34-O34)</f>
        <v>-15535597</v>
      </c>
      <c r="AR34" s="13">
        <f t="shared" ref="AR34:AR35" si="51">+(AA34/O34)-1</f>
        <v>-5.7490898089925246E-2</v>
      </c>
      <c r="AS34" s="17">
        <f t="shared" ref="AS34:AS35" si="52">+AM34-AA34</f>
        <v>-8492491</v>
      </c>
      <c r="AT34" s="18">
        <f t="shared" ref="AT34:AT35" si="53">+(AM34/AA34)-1</f>
        <v>-3.334422965411088E-2</v>
      </c>
    </row>
    <row r="35" spans="1:46" ht="14.25" customHeight="1">
      <c r="A35" t="s">
        <v>31</v>
      </c>
      <c r="C35">
        <v>10113014</v>
      </c>
      <c r="D35" s="1">
        <v>9961129</v>
      </c>
      <c r="E35" s="1">
        <v>9789779</v>
      </c>
      <c r="F35" s="1">
        <v>9395881</v>
      </c>
      <c r="G35" s="1">
        <v>9492849</v>
      </c>
      <c r="H35" s="1">
        <v>9249472</v>
      </c>
      <c r="I35" s="1">
        <v>9145104</v>
      </c>
      <c r="J35" s="1">
        <v>9061299</v>
      </c>
      <c r="K35" s="1">
        <v>8805278</v>
      </c>
      <c r="L35" s="1">
        <v>8740723</v>
      </c>
      <c r="M35" s="1">
        <v>8669846</v>
      </c>
      <c r="N35" s="1">
        <v>8527900</v>
      </c>
      <c r="O35" s="1">
        <v>8222038</v>
      </c>
      <c r="P35" s="1">
        <v>7943941</v>
      </c>
      <c r="Q35" s="1">
        <v>7750611</v>
      </c>
      <c r="R35" s="1">
        <v>7550224</v>
      </c>
      <c r="S35" s="1">
        <v>7457620</v>
      </c>
      <c r="T35" s="1">
        <v>7301543</v>
      </c>
      <c r="U35" s="1">
        <v>7191019</v>
      </c>
      <c r="V35" s="1">
        <v>6990034</v>
      </c>
      <c r="W35" s="1">
        <v>6827227</v>
      </c>
      <c r="X35" s="1">
        <v>6817884</v>
      </c>
      <c r="Y35" s="1">
        <v>6622323</v>
      </c>
      <c r="Z35" s="1">
        <v>6431127</v>
      </c>
      <c r="AA35" s="1">
        <v>6249992</v>
      </c>
      <c r="AB35" s="1">
        <v>6120755</v>
      </c>
      <c r="AC35" s="1">
        <v>5993659</v>
      </c>
      <c r="AD35" s="1">
        <v>5868852</v>
      </c>
      <c r="AE35" s="1">
        <v>5747148</v>
      </c>
      <c r="AF35" s="1">
        <v>5642318</v>
      </c>
      <c r="AG35" s="1">
        <v>5539179</v>
      </c>
      <c r="AH35" s="1">
        <v>5437703</v>
      </c>
      <c r="AI35" s="1">
        <v>5337591</v>
      </c>
      <c r="AJ35" s="1">
        <v>5239103</v>
      </c>
      <c r="AK35" s="1">
        <v>5142213</v>
      </c>
      <c r="AL35" s="1">
        <v>5046884</v>
      </c>
      <c r="AM35" s="1">
        <v>4958224</v>
      </c>
      <c r="AO35" s="7">
        <f t="shared" si="48"/>
        <v>-1890976</v>
      </c>
      <c r="AP35" s="8">
        <f t="shared" si="49"/>
        <v>-0.18698441433978041</v>
      </c>
      <c r="AQ35" s="12">
        <f t="shared" si="50"/>
        <v>-1972046</v>
      </c>
      <c r="AR35" s="13">
        <f t="shared" si="51"/>
        <v>-0.23984880634217454</v>
      </c>
      <c r="AS35" s="17">
        <f t="shared" si="52"/>
        <v>-1291768</v>
      </c>
      <c r="AT35" s="18">
        <f t="shared" si="53"/>
        <v>-0.20668314455442505</v>
      </c>
    </row>
    <row r="36" spans="1:46" ht="14.25" customHeight="1">
      <c r="A36" t="s">
        <v>11</v>
      </c>
      <c r="B36" t="s">
        <v>12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O36" s="7"/>
      <c r="AP36" s="8"/>
      <c r="AQ36" s="12"/>
      <c r="AR36" s="13"/>
      <c r="AS36" s="17"/>
      <c r="AT36" s="18"/>
    </row>
    <row r="37" spans="1:46" ht="14.25" customHeight="1">
      <c r="A37" t="s">
        <v>32</v>
      </c>
      <c r="C37">
        <v>289263851</v>
      </c>
      <c r="D37" s="1">
        <v>288484934</v>
      </c>
      <c r="E37" s="1">
        <v>287703112</v>
      </c>
      <c r="F37" s="1">
        <v>286838406</v>
      </c>
      <c r="G37" s="1">
        <v>286000036</v>
      </c>
      <c r="H37" s="1">
        <v>285003253</v>
      </c>
      <c r="I37" s="1">
        <v>284213434</v>
      </c>
      <c r="J37" s="1">
        <v>283164422</v>
      </c>
      <c r="K37" s="1">
        <v>282317545</v>
      </c>
      <c r="L37" s="1">
        <v>281167253</v>
      </c>
      <c r="M37" s="1">
        <v>280350483</v>
      </c>
      <c r="N37" s="1">
        <v>279476072</v>
      </c>
      <c r="O37" s="1">
        <v>278449109</v>
      </c>
      <c r="P37" s="1">
        <v>277409903</v>
      </c>
      <c r="Q37" s="1">
        <v>276627254</v>
      </c>
      <c r="R37" s="1">
        <v>275677020</v>
      </c>
      <c r="S37" s="1">
        <v>270790997</v>
      </c>
      <c r="T37" s="1">
        <v>266633124</v>
      </c>
      <c r="U37" s="1">
        <v>265741622</v>
      </c>
      <c r="V37" s="1">
        <v>264640996</v>
      </c>
      <c r="W37" s="1">
        <v>263746689</v>
      </c>
      <c r="X37" s="1">
        <v>263696775</v>
      </c>
      <c r="Y37" s="1">
        <v>262767532</v>
      </c>
      <c r="Z37" s="1">
        <v>261850576</v>
      </c>
      <c r="AA37" s="1">
        <v>260941466</v>
      </c>
      <c r="AB37" s="1">
        <v>260090857</v>
      </c>
      <c r="AC37" s="1">
        <v>259248995</v>
      </c>
      <c r="AD37" s="1">
        <v>258397132</v>
      </c>
      <c r="AE37" s="1">
        <v>257563669</v>
      </c>
      <c r="AF37" s="1">
        <v>256744829</v>
      </c>
      <c r="AG37" s="1">
        <v>255935417</v>
      </c>
      <c r="AH37" s="1">
        <v>255125404</v>
      </c>
      <c r="AI37" s="1">
        <v>254323175</v>
      </c>
      <c r="AJ37" s="1">
        <v>253526521</v>
      </c>
      <c r="AK37" s="1">
        <v>252729181</v>
      </c>
      <c r="AL37" s="1">
        <v>251941008</v>
      </c>
      <c r="AM37" s="1">
        <v>251157207</v>
      </c>
      <c r="AO37" s="7">
        <f t="shared" ref="AO37" si="54">+O37-C37</f>
        <v>-10814742</v>
      </c>
      <c r="AP37" s="8">
        <f t="shared" ref="AP37" si="55">+(O37/C37)-1</f>
        <v>-3.7387118931774155E-2</v>
      </c>
      <c r="AQ37" s="12">
        <f t="shared" ref="AQ37" si="56">+(AA37-O37)</f>
        <v>-17507643</v>
      </c>
      <c r="AR37" s="13">
        <f t="shared" ref="AR37" si="57">+(AA37/O37)-1</f>
        <v>-6.2875557630173606E-2</v>
      </c>
      <c r="AS37" s="17">
        <f t="shared" ref="AS37" si="58">+AM37-AA37</f>
        <v>-9784259</v>
      </c>
      <c r="AT37" s="18">
        <f t="shared" ref="AT37" si="59">+(AM37/AA37)-1</f>
        <v>-3.7495991533978756E-2</v>
      </c>
    </row>
    <row r="38" spans="1:46" ht="14.25" customHeight="1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O38" s="7"/>
      <c r="AP38" s="8"/>
      <c r="AQ38" s="12"/>
      <c r="AR38" s="13"/>
      <c r="AS38" s="17"/>
      <c r="AT38" s="18"/>
    </row>
    <row r="39" spans="1:46" ht="14.25" customHeight="1">
      <c r="A39" t="s">
        <v>33</v>
      </c>
      <c r="C39">
        <v>611885</v>
      </c>
      <c r="D39" s="1">
        <v>611833</v>
      </c>
      <c r="E39" s="1">
        <v>611785</v>
      </c>
      <c r="F39" s="1">
        <v>477010</v>
      </c>
      <c r="G39" s="1">
        <v>476971</v>
      </c>
      <c r="H39" s="1">
        <v>476930</v>
      </c>
      <c r="I39" s="1">
        <v>476892</v>
      </c>
      <c r="J39" s="1">
        <v>476851</v>
      </c>
      <c r="K39" s="1">
        <v>476811</v>
      </c>
      <c r="L39" s="1">
        <v>431525</v>
      </c>
      <c r="M39" s="1">
        <v>431489</v>
      </c>
      <c r="N39" s="1">
        <v>431453</v>
      </c>
      <c r="O39" s="1">
        <v>431417</v>
      </c>
      <c r="P39" s="1">
        <v>431381</v>
      </c>
      <c r="Q39" s="1">
        <v>431348</v>
      </c>
      <c r="R39" s="1">
        <v>350382</v>
      </c>
      <c r="S39" s="1">
        <v>350354</v>
      </c>
      <c r="T39" s="1">
        <v>350324</v>
      </c>
      <c r="U39" s="1">
        <v>350296</v>
      </c>
      <c r="V39" s="1">
        <v>350267</v>
      </c>
      <c r="W39" s="1">
        <v>350238</v>
      </c>
      <c r="X39" s="1">
        <v>252576</v>
      </c>
      <c r="Y39" s="1">
        <v>252552</v>
      </c>
      <c r="Z39" s="1">
        <v>252529</v>
      </c>
      <c r="AA39" s="1">
        <v>252506</v>
      </c>
      <c r="AB39" s="1">
        <v>252482</v>
      </c>
      <c r="AC39" s="1">
        <v>252461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O39" s="7">
        <f t="shared" ref="AO39:AO40" si="60">+O39-C39</f>
        <v>-180468</v>
      </c>
      <c r="AP39" s="8">
        <f t="shared" ref="AP39:AP40" si="61">+(O39/C39)-1</f>
        <v>-0.29493777425496626</v>
      </c>
      <c r="AQ39" s="12">
        <f t="shared" ref="AQ39:AQ40" si="62">+(AA39-O39)</f>
        <v>-178911</v>
      </c>
      <c r="AR39" s="13">
        <f t="shared" ref="AR39:AR40" si="63">+(AA39/O39)-1</f>
        <v>-0.41470549375662058</v>
      </c>
      <c r="AS39" s="17">
        <f t="shared" ref="AS39:AS40" si="64">+AM39-AA39</f>
        <v>-252506</v>
      </c>
      <c r="AT39" s="18">
        <f t="shared" ref="AT39:AT40" si="65">+(AM39/AA39)-1</f>
        <v>-1</v>
      </c>
    </row>
    <row r="40" spans="1:46" ht="14.25" customHeight="1">
      <c r="A40" t="s">
        <v>34</v>
      </c>
      <c r="C40">
        <v>1234001</v>
      </c>
      <c r="D40" s="1">
        <v>1229561</v>
      </c>
      <c r="E40" s="1">
        <v>1225098</v>
      </c>
      <c r="F40" s="1">
        <v>1220612</v>
      </c>
      <c r="G40" s="1">
        <v>1216104</v>
      </c>
      <c r="H40" s="1">
        <v>1211572</v>
      </c>
      <c r="I40" s="1">
        <v>1207017</v>
      </c>
      <c r="J40" s="1">
        <v>1202439</v>
      </c>
      <c r="K40" s="1">
        <v>1197837</v>
      </c>
      <c r="L40" s="1">
        <v>1193212</v>
      </c>
      <c r="M40" s="1">
        <v>846237</v>
      </c>
      <c r="N40" s="1">
        <v>842790</v>
      </c>
      <c r="O40" s="1">
        <v>839327</v>
      </c>
      <c r="P40" s="1">
        <v>835786</v>
      </c>
      <c r="Q40" s="1">
        <v>832167</v>
      </c>
      <c r="R40" s="1">
        <v>828533</v>
      </c>
      <c r="S40" s="1">
        <v>824882</v>
      </c>
      <c r="T40" s="1">
        <v>821215</v>
      </c>
      <c r="U40" s="1">
        <v>817532</v>
      </c>
      <c r="V40" s="1">
        <v>813832</v>
      </c>
      <c r="W40" s="1">
        <v>810117</v>
      </c>
      <c r="X40" s="1">
        <v>797594</v>
      </c>
      <c r="Y40" s="1">
        <v>785264</v>
      </c>
      <c r="Z40" s="1">
        <v>773124</v>
      </c>
      <c r="AA40" s="1">
        <v>761171</v>
      </c>
      <c r="AB40" s="1">
        <v>749402</v>
      </c>
      <c r="AC40" s="1">
        <v>737814</v>
      </c>
      <c r="AD40" s="1">
        <v>726404</v>
      </c>
      <c r="AE40" s="1">
        <v>715170</v>
      </c>
      <c r="AF40" s="1">
        <v>704109</v>
      </c>
      <c r="AG40" s="1">
        <v>693218</v>
      </c>
      <c r="AH40" s="1">
        <v>682495</v>
      </c>
      <c r="AI40" s="1">
        <v>671937</v>
      </c>
      <c r="AJ40" s="1">
        <v>661541</v>
      </c>
      <c r="AK40" s="1">
        <v>651305</v>
      </c>
      <c r="AL40" s="1">
        <v>641227</v>
      </c>
      <c r="AM40" s="1">
        <v>631304</v>
      </c>
      <c r="AO40" s="7">
        <f t="shared" si="60"/>
        <v>-394674</v>
      </c>
      <c r="AP40" s="8">
        <f t="shared" si="61"/>
        <v>-0.31983280402528036</v>
      </c>
      <c r="AQ40" s="12">
        <f t="shared" si="62"/>
        <v>-78156</v>
      </c>
      <c r="AR40" s="13">
        <f t="shared" si="63"/>
        <v>-9.3117461966551796E-2</v>
      </c>
      <c r="AS40" s="17">
        <f t="shared" si="64"/>
        <v>-129867</v>
      </c>
      <c r="AT40" s="18">
        <f t="shared" si="65"/>
        <v>-0.17061475016783356</v>
      </c>
    </row>
    <row r="41" spans="1:46" ht="14.25" customHeight="1">
      <c r="A41" t="s">
        <v>11</v>
      </c>
      <c r="B41" t="s">
        <v>12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O41" s="7"/>
      <c r="AP41" s="8"/>
      <c r="AQ41" s="12"/>
      <c r="AR41" s="13"/>
      <c r="AS41" s="17"/>
      <c r="AT41" s="18"/>
    </row>
    <row r="42" spans="1:46" ht="14.25" customHeight="1">
      <c r="A42" t="s">
        <v>35</v>
      </c>
      <c r="C42">
        <v>1845887</v>
      </c>
      <c r="D42" s="1">
        <v>1841395</v>
      </c>
      <c r="E42" s="1">
        <v>1836883</v>
      </c>
      <c r="F42" s="1">
        <v>1697622</v>
      </c>
      <c r="G42" s="1">
        <v>1693074</v>
      </c>
      <c r="H42" s="1">
        <v>1688503</v>
      </c>
      <c r="I42" s="1">
        <v>1683909</v>
      </c>
      <c r="J42" s="1">
        <v>1679290</v>
      </c>
      <c r="K42" s="1">
        <v>1674648</v>
      </c>
      <c r="L42" s="1">
        <v>1624736</v>
      </c>
      <c r="M42" s="1">
        <v>1277725</v>
      </c>
      <c r="N42" s="1">
        <v>1274243</v>
      </c>
      <c r="O42" s="1">
        <v>1270744</v>
      </c>
      <c r="P42" s="1">
        <v>1267167</v>
      </c>
      <c r="Q42" s="1">
        <v>1263516</v>
      </c>
      <c r="R42" s="1">
        <v>1178914</v>
      </c>
      <c r="S42" s="1">
        <v>1175235</v>
      </c>
      <c r="T42" s="1">
        <v>1171539</v>
      </c>
      <c r="U42" s="1">
        <v>1167828</v>
      </c>
      <c r="V42" s="1">
        <v>1164099</v>
      </c>
      <c r="W42" s="1">
        <v>1160354</v>
      </c>
      <c r="X42" s="1">
        <v>1050170</v>
      </c>
      <c r="Y42" s="1">
        <v>1037816</v>
      </c>
      <c r="Z42" s="1">
        <v>1025653</v>
      </c>
      <c r="AA42" s="1">
        <v>1013677</v>
      </c>
      <c r="AB42" s="1">
        <v>1001884</v>
      </c>
      <c r="AC42" s="1">
        <v>990274</v>
      </c>
      <c r="AD42" s="1">
        <v>726404</v>
      </c>
      <c r="AE42" s="1">
        <v>715170</v>
      </c>
      <c r="AF42" s="1">
        <v>704109</v>
      </c>
      <c r="AG42" s="1">
        <v>693218</v>
      </c>
      <c r="AH42" s="1">
        <v>682495</v>
      </c>
      <c r="AI42" s="1">
        <v>671937</v>
      </c>
      <c r="AJ42" s="1">
        <v>661541</v>
      </c>
      <c r="AK42" s="1">
        <v>651305</v>
      </c>
      <c r="AL42" s="1">
        <v>641227</v>
      </c>
      <c r="AM42" s="1">
        <v>631304</v>
      </c>
      <c r="AO42" s="7">
        <f t="shared" ref="AO42" si="66">+O42-C42</f>
        <v>-575143</v>
      </c>
      <c r="AP42" s="8">
        <f t="shared" ref="AP42" si="67">+(O42/C42)-1</f>
        <v>-0.31158082807885856</v>
      </c>
      <c r="AQ42" s="12">
        <f t="shared" ref="AQ42" si="68">+(AA42-O42)</f>
        <v>-257067</v>
      </c>
      <c r="AR42" s="13">
        <f t="shared" ref="AR42" si="69">+(AA42/O42)-1</f>
        <v>-0.20229644995372786</v>
      </c>
      <c r="AS42" s="17">
        <f t="shared" ref="AS42" si="70">+AM42-AA42</f>
        <v>-382373</v>
      </c>
      <c r="AT42" s="18">
        <f t="shared" ref="AT42" si="71">+(AM42/AA42)-1</f>
        <v>-0.37721384622517828</v>
      </c>
    </row>
    <row r="43" spans="1:46" ht="14.25" customHeight="1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O43" s="7"/>
      <c r="AP43" s="8"/>
      <c r="AQ43" s="12"/>
      <c r="AR43" s="13"/>
      <c r="AS43" s="17"/>
      <c r="AT43" s="18"/>
    </row>
    <row r="44" spans="1:46" ht="14.25" customHeight="1">
      <c r="A44" t="s">
        <v>36</v>
      </c>
      <c r="B44">
        <v>730028</v>
      </c>
      <c r="C44">
        <v>17663148</v>
      </c>
      <c r="D44" s="1">
        <v>17663148</v>
      </c>
      <c r="E44" s="1">
        <v>17663148</v>
      </c>
      <c r="F44" s="1">
        <v>17663148</v>
      </c>
      <c r="G44" s="1">
        <v>18620600</v>
      </c>
      <c r="H44" s="1">
        <v>18620600</v>
      </c>
      <c r="I44" s="1">
        <v>18620600</v>
      </c>
      <c r="J44" s="1">
        <v>18620600</v>
      </c>
      <c r="K44" s="1">
        <v>18620600</v>
      </c>
      <c r="L44" s="1">
        <v>18620600</v>
      </c>
      <c r="M44" s="1">
        <v>19151711</v>
      </c>
      <c r="N44" s="1">
        <v>19151711</v>
      </c>
      <c r="O44" s="1">
        <v>19151711</v>
      </c>
      <c r="P44" s="1">
        <v>19151711</v>
      </c>
      <c r="Q44" s="1">
        <v>19151711</v>
      </c>
      <c r="R44" s="1">
        <v>19151711</v>
      </c>
      <c r="S44" s="1">
        <v>19079771</v>
      </c>
      <c r="T44" s="1">
        <v>19079771</v>
      </c>
      <c r="U44" s="1">
        <v>19079771</v>
      </c>
      <c r="V44" s="1">
        <v>19079771</v>
      </c>
      <c r="W44" s="1">
        <v>19079771</v>
      </c>
      <c r="X44" s="1">
        <v>16700049</v>
      </c>
      <c r="Y44" s="1">
        <v>15805073</v>
      </c>
      <c r="Z44" s="1">
        <v>13957936</v>
      </c>
      <c r="AA44" s="1">
        <v>15695815</v>
      </c>
      <c r="AB44" s="1">
        <v>15354581</v>
      </c>
      <c r="AC44" s="1">
        <v>16069714</v>
      </c>
      <c r="AD44" s="1">
        <v>16489428</v>
      </c>
      <c r="AE44" s="1">
        <v>17296855</v>
      </c>
      <c r="AF44" s="1">
        <v>17884275</v>
      </c>
      <c r="AG44" s="1">
        <v>18241380</v>
      </c>
      <c r="AH44" s="1">
        <v>18733609</v>
      </c>
      <c r="AI44" s="1">
        <v>18637873</v>
      </c>
      <c r="AJ44" s="1">
        <v>18367368</v>
      </c>
      <c r="AK44" s="1">
        <v>17973786</v>
      </c>
      <c r="AL44" s="1">
        <v>17662742</v>
      </c>
      <c r="AM44" s="1">
        <v>16987073</v>
      </c>
      <c r="AO44" s="7">
        <f t="shared" ref="AO44:AO62" si="72">+O44-C44</f>
        <v>1488563</v>
      </c>
      <c r="AP44" s="8">
        <f t="shared" ref="AP44:AP62" si="73">+(O44/C44)-1</f>
        <v>8.4275068068274228E-2</v>
      </c>
      <c r="AQ44" s="12">
        <f t="shared" ref="AQ44:AQ62" si="74">+(AA44-O44)</f>
        <v>-3455896</v>
      </c>
      <c r="AR44" s="13">
        <f t="shared" ref="AR44:AR62" si="75">+(AA44/O44)-1</f>
        <v>-0.18044842050926935</v>
      </c>
      <c r="AS44" s="17">
        <f t="shared" ref="AS44:AS62" si="76">+AM44-AA44</f>
        <v>1291258</v>
      </c>
      <c r="AT44" s="18">
        <f t="shared" ref="AT44:AT62" si="77">+(AM44/AA44)-1</f>
        <v>8.2267661793923974E-2</v>
      </c>
    </row>
    <row r="45" spans="1:46" ht="14.25" customHeight="1">
      <c r="A45" t="s">
        <v>37</v>
      </c>
      <c r="B45">
        <v>730029</v>
      </c>
      <c r="C45">
        <v>6393300</v>
      </c>
      <c r="D45" s="1">
        <v>5403300</v>
      </c>
      <c r="E45" s="1">
        <v>4953300</v>
      </c>
      <c r="F45" s="1">
        <v>4121400</v>
      </c>
      <c r="G45" s="1">
        <v>3446400</v>
      </c>
      <c r="H45" s="1">
        <v>2636400</v>
      </c>
      <c r="I45" s="1">
        <v>2321400</v>
      </c>
      <c r="J45" s="1">
        <v>2411400</v>
      </c>
      <c r="K45" s="1">
        <v>3041400</v>
      </c>
      <c r="L45" s="1">
        <v>2636400</v>
      </c>
      <c r="M45" s="1">
        <v>2501400</v>
      </c>
      <c r="N45" s="1">
        <v>2546400</v>
      </c>
      <c r="O45" s="1">
        <v>2096400</v>
      </c>
      <c r="P45" s="1">
        <v>7001400</v>
      </c>
      <c r="Q45" s="1">
        <v>6371400</v>
      </c>
      <c r="R45" s="1">
        <v>6072300</v>
      </c>
      <c r="S45" s="1">
        <v>7017300</v>
      </c>
      <c r="T45" s="1">
        <v>7197300</v>
      </c>
      <c r="U45" s="1">
        <v>6522300</v>
      </c>
      <c r="V45" s="1">
        <v>5847300</v>
      </c>
      <c r="W45" s="1">
        <v>5847300</v>
      </c>
      <c r="X45" s="1">
        <v>5847300</v>
      </c>
      <c r="Y45" s="1">
        <v>5847300</v>
      </c>
      <c r="Z45" s="1">
        <v>5847300</v>
      </c>
      <c r="AA45" s="1">
        <v>5847300</v>
      </c>
      <c r="AB45" s="1">
        <v>5847300</v>
      </c>
      <c r="AC45" s="1">
        <v>5847300</v>
      </c>
      <c r="AD45" s="1">
        <v>5847300</v>
      </c>
      <c r="AE45" s="1">
        <v>5847300</v>
      </c>
      <c r="AF45" s="1">
        <v>5847300</v>
      </c>
      <c r="AG45" s="1">
        <v>5847300</v>
      </c>
      <c r="AH45" s="1">
        <v>5847300</v>
      </c>
      <c r="AI45" s="1">
        <v>5847300</v>
      </c>
      <c r="AJ45" s="1">
        <v>5847300</v>
      </c>
      <c r="AK45" s="1">
        <v>5847300</v>
      </c>
      <c r="AL45" s="1">
        <v>5847300</v>
      </c>
      <c r="AM45" s="1">
        <v>5847300</v>
      </c>
      <c r="AO45" s="7">
        <f t="shared" si="72"/>
        <v>-4296900</v>
      </c>
      <c r="AP45" s="8">
        <f t="shared" si="73"/>
        <v>-0.67209422364037352</v>
      </c>
      <c r="AQ45" s="12">
        <f t="shared" si="74"/>
        <v>3750900</v>
      </c>
      <c r="AR45" s="13">
        <f t="shared" si="75"/>
        <v>1.7892100744132797</v>
      </c>
      <c r="AS45" s="17">
        <f t="shared" si="76"/>
        <v>0</v>
      </c>
      <c r="AT45" s="18">
        <f t="shared" si="77"/>
        <v>0</v>
      </c>
    </row>
    <row r="46" spans="1:46" ht="14.25" customHeight="1">
      <c r="A46" t="s">
        <v>38</v>
      </c>
      <c r="C46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O46" s="7">
        <f t="shared" si="72"/>
        <v>0</v>
      </c>
      <c r="AP46" s="8" t="e">
        <f t="shared" si="73"/>
        <v>#DIV/0!</v>
      </c>
      <c r="AQ46" s="12">
        <f t="shared" si="74"/>
        <v>0</v>
      </c>
      <c r="AR46" s="13" t="e">
        <f t="shared" si="75"/>
        <v>#DIV/0!</v>
      </c>
      <c r="AS46" s="17">
        <f t="shared" si="76"/>
        <v>0</v>
      </c>
      <c r="AT46" s="18" t="e">
        <f t="shared" si="77"/>
        <v>#DIV/0!</v>
      </c>
    </row>
    <row r="47" spans="1:46" ht="14.25" customHeight="1">
      <c r="A47" t="s">
        <v>39</v>
      </c>
      <c r="B47">
        <v>730026</v>
      </c>
      <c r="C47">
        <v>1000000</v>
      </c>
      <c r="D47" s="1">
        <v>1000000</v>
      </c>
      <c r="E47" s="1">
        <v>1000000</v>
      </c>
      <c r="F47" s="1">
        <v>1000000</v>
      </c>
      <c r="G47" s="1">
        <v>1000000</v>
      </c>
      <c r="H47" s="1">
        <v>1000000</v>
      </c>
      <c r="I47" s="1">
        <v>1000000</v>
      </c>
      <c r="J47" s="1">
        <v>1000000</v>
      </c>
      <c r="K47" s="1">
        <v>1000000</v>
      </c>
      <c r="L47" s="1">
        <v>1000000</v>
      </c>
      <c r="M47" s="1">
        <v>1000000</v>
      </c>
      <c r="N47" s="1">
        <v>1000000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O47" s="7">
        <f t="shared" si="72"/>
        <v>-1000000</v>
      </c>
      <c r="AP47" s="8">
        <f t="shared" si="73"/>
        <v>-1</v>
      </c>
      <c r="AQ47" s="12">
        <f t="shared" si="74"/>
        <v>0</v>
      </c>
      <c r="AR47" s="13" t="e">
        <f t="shared" si="75"/>
        <v>#DIV/0!</v>
      </c>
      <c r="AS47" s="17">
        <f t="shared" si="76"/>
        <v>0</v>
      </c>
      <c r="AT47" s="18" t="e">
        <f t="shared" si="77"/>
        <v>#DIV/0!</v>
      </c>
    </row>
    <row r="48" spans="1:46" ht="14.25" customHeight="1">
      <c r="A48" t="s">
        <v>40</v>
      </c>
      <c r="C48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O48" s="7">
        <f t="shared" si="72"/>
        <v>0</v>
      </c>
      <c r="AP48" s="8" t="e">
        <f t="shared" si="73"/>
        <v>#DIV/0!</v>
      </c>
      <c r="AQ48" s="12">
        <f t="shared" si="74"/>
        <v>0</v>
      </c>
      <c r="AR48" s="13" t="e">
        <f t="shared" si="75"/>
        <v>#DIV/0!</v>
      </c>
      <c r="AS48" s="17">
        <f t="shared" si="76"/>
        <v>0</v>
      </c>
      <c r="AT48" s="18" t="e">
        <f t="shared" si="77"/>
        <v>#DIV/0!</v>
      </c>
    </row>
    <row r="49" spans="1:46" ht="14.25" customHeight="1">
      <c r="A49" t="s">
        <v>41</v>
      </c>
      <c r="C49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O49" s="7">
        <f t="shared" si="72"/>
        <v>0</v>
      </c>
      <c r="AP49" s="8" t="e">
        <f t="shared" si="73"/>
        <v>#DIV/0!</v>
      </c>
      <c r="AQ49" s="12">
        <f t="shared" si="74"/>
        <v>0</v>
      </c>
      <c r="AR49" s="13" t="e">
        <f t="shared" si="75"/>
        <v>#DIV/0!</v>
      </c>
      <c r="AS49" s="17">
        <f t="shared" si="76"/>
        <v>0</v>
      </c>
      <c r="AT49" s="18" t="e">
        <f t="shared" si="77"/>
        <v>#DIV/0!</v>
      </c>
    </row>
    <row r="50" spans="1:46" ht="14.25" customHeight="1">
      <c r="A50" t="s">
        <v>42</v>
      </c>
      <c r="B50">
        <v>700145</v>
      </c>
      <c r="C50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O50" s="7">
        <f t="shared" si="72"/>
        <v>0</v>
      </c>
      <c r="AP50" s="8" t="e">
        <f t="shared" si="73"/>
        <v>#DIV/0!</v>
      </c>
      <c r="AQ50" s="12">
        <f t="shared" si="74"/>
        <v>0</v>
      </c>
      <c r="AR50" s="13" t="e">
        <f t="shared" si="75"/>
        <v>#DIV/0!</v>
      </c>
      <c r="AS50" s="17">
        <f t="shared" si="76"/>
        <v>0</v>
      </c>
      <c r="AT50" s="18" t="e">
        <f t="shared" si="77"/>
        <v>#DIV/0!</v>
      </c>
    </row>
    <row r="51" spans="1:46" ht="14.25" customHeight="1">
      <c r="A51" t="s">
        <v>43</v>
      </c>
      <c r="C5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O51" s="7">
        <f t="shared" si="72"/>
        <v>0</v>
      </c>
      <c r="AP51" s="8" t="e">
        <f t="shared" si="73"/>
        <v>#DIV/0!</v>
      </c>
      <c r="AQ51" s="12">
        <f t="shared" si="74"/>
        <v>0</v>
      </c>
      <c r="AR51" s="13" t="e">
        <f t="shared" si="75"/>
        <v>#DIV/0!</v>
      </c>
      <c r="AS51" s="17">
        <f t="shared" si="76"/>
        <v>0</v>
      </c>
      <c r="AT51" s="18" t="e">
        <f t="shared" si="77"/>
        <v>#DIV/0!</v>
      </c>
    </row>
    <row r="52" spans="1:46" ht="14.25" customHeight="1">
      <c r="A52" t="s">
        <v>44</v>
      </c>
      <c r="B52">
        <v>730030</v>
      </c>
      <c r="C52">
        <v>96236</v>
      </c>
      <c r="D52" s="1">
        <v>84207</v>
      </c>
      <c r="E52" s="1">
        <v>84207</v>
      </c>
      <c r="F52" s="1">
        <v>84207</v>
      </c>
      <c r="G52" s="1">
        <v>84207</v>
      </c>
      <c r="H52" s="1">
        <v>84207</v>
      </c>
      <c r="I52" s="1">
        <v>84207</v>
      </c>
      <c r="J52" s="1">
        <v>84207</v>
      </c>
      <c r="K52" s="1">
        <v>84207</v>
      </c>
      <c r="L52" s="1">
        <v>84207</v>
      </c>
      <c r="M52" s="1">
        <v>84207</v>
      </c>
      <c r="N52" s="1">
        <v>84207</v>
      </c>
      <c r="O52" s="1">
        <v>84207</v>
      </c>
      <c r="P52" s="1">
        <v>84207</v>
      </c>
      <c r="Q52" s="1">
        <v>84207</v>
      </c>
      <c r="R52" s="1">
        <v>84207</v>
      </c>
      <c r="S52" s="1">
        <v>84207</v>
      </c>
      <c r="T52" s="1">
        <v>84207</v>
      </c>
      <c r="U52" s="1">
        <v>84207</v>
      </c>
      <c r="V52" s="1">
        <v>84207</v>
      </c>
      <c r="W52" s="1">
        <v>84207</v>
      </c>
      <c r="X52" s="1">
        <v>84207</v>
      </c>
      <c r="Y52" s="1">
        <v>84207</v>
      </c>
      <c r="Z52" s="1">
        <v>84207</v>
      </c>
      <c r="AA52" s="1">
        <v>84207</v>
      </c>
      <c r="AB52" s="1">
        <v>84207</v>
      </c>
      <c r="AC52" s="1">
        <v>84207</v>
      </c>
      <c r="AD52" s="1">
        <v>84207</v>
      </c>
      <c r="AE52" s="1">
        <v>84207</v>
      </c>
      <c r="AF52" s="1">
        <v>84207</v>
      </c>
      <c r="AG52" s="1">
        <v>84207</v>
      </c>
      <c r="AH52" s="1">
        <v>84207</v>
      </c>
      <c r="AI52" s="1">
        <v>84207</v>
      </c>
      <c r="AJ52" s="1">
        <v>84207</v>
      </c>
      <c r="AK52" s="1">
        <v>84207</v>
      </c>
      <c r="AL52" s="1">
        <v>84207</v>
      </c>
      <c r="AM52" s="1">
        <v>84207</v>
      </c>
      <c r="AO52" s="7">
        <f t="shared" si="72"/>
        <v>-12029</v>
      </c>
      <c r="AP52" s="8">
        <f t="shared" si="73"/>
        <v>-0.12499480443908728</v>
      </c>
      <c r="AQ52" s="12">
        <f t="shared" si="74"/>
        <v>0</v>
      </c>
      <c r="AR52" s="13">
        <f t="shared" si="75"/>
        <v>0</v>
      </c>
      <c r="AS52" s="17">
        <f t="shared" si="76"/>
        <v>0</v>
      </c>
      <c r="AT52" s="18">
        <f t="shared" si="77"/>
        <v>0</v>
      </c>
    </row>
    <row r="53" spans="1:46" ht="14.25" customHeight="1">
      <c r="A53" t="s">
        <v>45</v>
      </c>
      <c r="B53">
        <v>730027</v>
      </c>
      <c r="C53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O53" s="7">
        <f t="shared" si="72"/>
        <v>0</v>
      </c>
      <c r="AP53" s="8" t="e">
        <f t="shared" si="73"/>
        <v>#DIV/0!</v>
      </c>
      <c r="AQ53" s="12">
        <f t="shared" si="74"/>
        <v>0</v>
      </c>
      <c r="AR53" s="13" t="e">
        <f t="shared" si="75"/>
        <v>#DIV/0!</v>
      </c>
      <c r="AS53" s="17">
        <f t="shared" si="76"/>
        <v>0</v>
      </c>
      <c r="AT53" s="18" t="e">
        <f t="shared" si="77"/>
        <v>#DIV/0!</v>
      </c>
    </row>
    <row r="54" spans="1:46" ht="14.25" customHeight="1">
      <c r="A54" t="s">
        <v>46</v>
      </c>
      <c r="B54">
        <v>730032</v>
      </c>
      <c r="C54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O54" s="7">
        <f t="shared" si="72"/>
        <v>0</v>
      </c>
      <c r="AP54" s="8" t="e">
        <f t="shared" si="73"/>
        <v>#DIV/0!</v>
      </c>
      <c r="AQ54" s="12">
        <f t="shared" si="74"/>
        <v>0</v>
      </c>
      <c r="AR54" s="13" t="e">
        <f t="shared" si="75"/>
        <v>#DIV/0!</v>
      </c>
      <c r="AS54" s="17">
        <f t="shared" si="76"/>
        <v>0</v>
      </c>
      <c r="AT54" s="18" t="e">
        <f t="shared" si="77"/>
        <v>#DIV/0!</v>
      </c>
    </row>
    <row r="55" spans="1:46" ht="14.25" customHeight="1">
      <c r="A55" t="s">
        <v>47</v>
      </c>
      <c r="B55">
        <v>730033</v>
      </c>
      <c r="C55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O55" s="7">
        <f t="shared" si="72"/>
        <v>0</v>
      </c>
      <c r="AP55" s="8" t="e">
        <f t="shared" si="73"/>
        <v>#DIV/0!</v>
      </c>
      <c r="AQ55" s="12">
        <f t="shared" si="74"/>
        <v>0</v>
      </c>
      <c r="AR55" s="13" t="e">
        <f t="shared" si="75"/>
        <v>#DIV/0!</v>
      </c>
      <c r="AS55" s="17">
        <f t="shared" si="76"/>
        <v>0</v>
      </c>
      <c r="AT55" s="18" t="e">
        <f t="shared" si="77"/>
        <v>#DIV/0!</v>
      </c>
    </row>
    <row r="56" spans="1:46" ht="14.25" customHeight="1">
      <c r="A56" t="s">
        <v>48</v>
      </c>
      <c r="B56">
        <v>730034</v>
      </c>
      <c r="C56">
        <v>76769</v>
      </c>
      <c r="D56" s="1">
        <v>76769</v>
      </c>
      <c r="E56" s="1">
        <v>76769</v>
      </c>
      <c r="F56" s="1">
        <v>76769</v>
      </c>
      <c r="G56" s="1">
        <v>76769</v>
      </c>
      <c r="H56" s="1">
        <v>76769</v>
      </c>
      <c r="I56" s="1">
        <v>76769</v>
      </c>
      <c r="J56" s="1">
        <v>76769</v>
      </c>
      <c r="K56" s="1">
        <v>76769</v>
      </c>
      <c r="L56" s="1">
        <v>76769</v>
      </c>
      <c r="M56" s="1">
        <v>76769</v>
      </c>
      <c r="N56" s="1">
        <v>76769</v>
      </c>
      <c r="O56" s="1">
        <v>88196</v>
      </c>
      <c r="P56" s="1">
        <v>88196</v>
      </c>
      <c r="Q56" s="1">
        <v>88196</v>
      </c>
      <c r="R56" s="1">
        <v>88196</v>
      </c>
      <c r="S56" s="1">
        <v>88196</v>
      </c>
      <c r="T56" s="1">
        <v>88196</v>
      </c>
      <c r="U56" s="1">
        <v>88196</v>
      </c>
      <c r="V56" s="1">
        <v>88196</v>
      </c>
      <c r="W56" s="1">
        <v>88196</v>
      </c>
      <c r="X56" s="1">
        <v>88196</v>
      </c>
      <c r="Y56" s="1">
        <v>88196</v>
      </c>
      <c r="Z56" s="1">
        <v>88196</v>
      </c>
      <c r="AA56" s="1">
        <v>88196</v>
      </c>
      <c r="AB56" s="1">
        <v>88196</v>
      </c>
      <c r="AC56" s="1">
        <v>88196</v>
      </c>
      <c r="AD56" s="1">
        <v>88196</v>
      </c>
      <c r="AE56" s="1">
        <v>88196</v>
      </c>
      <c r="AF56" s="1">
        <v>88196</v>
      </c>
      <c r="AG56" s="1">
        <v>88196</v>
      </c>
      <c r="AH56" s="1">
        <v>88196</v>
      </c>
      <c r="AI56" s="1">
        <v>88196</v>
      </c>
      <c r="AJ56" s="1">
        <v>88196</v>
      </c>
      <c r="AK56" s="1">
        <v>88196</v>
      </c>
      <c r="AL56" s="1">
        <v>88196</v>
      </c>
      <c r="AM56" s="1">
        <v>88196</v>
      </c>
      <c r="AO56" s="7">
        <f t="shared" si="72"/>
        <v>11427</v>
      </c>
      <c r="AP56" s="8">
        <f t="shared" si="73"/>
        <v>0.14884914483710876</v>
      </c>
      <c r="AQ56" s="12">
        <f t="shared" si="74"/>
        <v>0</v>
      </c>
      <c r="AR56" s="13">
        <f t="shared" si="75"/>
        <v>0</v>
      </c>
      <c r="AS56" s="17">
        <f t="shared" si="76"/>
        <v>0</v>
      </c>
      <c r="AT56" s="18">
        <f t="shared" si="77"/>
        <v>0</v>
      </c>
    </row>
    <row r="57" spans="1:46" ht="14.25" customHeight="1">
      <c r="A57" t="s">
        <v>49</v>
      </c>
      <c r="B57">
        <v>730037</v>
      </c>
      <c r="C57">
        <v>5125319</v>
      </c>
      <c r="D57" s="1">
        <v>5125319</v>
      </c>
      <c r="E57" s="1">
        <v>5125319</v>
      </c>
      <c r="F57" s="1">
        <v>5192105</v>
      </c>
      <c r="G57" s="1">
        <v>5192105</v>
      </c>
      <c r="H57" s="1">
        <v>5192105</v>
      </c>
      <c r="I57" s="1">
        <v>5259761</v>
      </c>
      <c r="J57" s="1">
        <v>5259761</v>
      </c>
      <c r="K57" s="1">
        <v>5259761</v>
      </c>
      <c r="L57" s="1">
        <v>5329057</v>
      </c>
      <c r="M57" s="1">
        <v>5329057</v>
      </c>
      <c r="N57" s="1">
        <v>5329057</v>
      </c>
      <c r="O57" s="1">
        <v>5399266</v>
      </c>
      <c r="P57" s="1">
        <v>5399266</v>
      </c>
      <c r="Q57" s="1">
        <v>5399266</v>
      </c>
      <c r="R57" s="1">
        <v>5468844</v>
      </c>
      <c r="S57" s="1">
        <v>5468844</v>
      </c>
      <c r="T57" s="1">
        <v>5468844</v>
      </c>
      <c r="U57" s="1">
        <v>5540106</v>
      </c>
      <c r="V57" s="1">
        <v>5540106</v>
      </c>
      <c r="W57" s="1">
        <v>5540106</v>
      </c>
      <c r="X57" s="1">
        <v>5540106</v>
      </c>
      <c r="Y57" s="1">
        <v>5540106</v>
      </c>
      <c r="Z57" s="1">
        <v>5540106</v>
      </c>
      <c r="AA57" s="1">
        <v>5540106</v>
      </c>
      <c r="AB57" s="1">
        <v>5540106</v>
      </c>
      <c r="AC57" s="1">
        <v>5540106</v>
      </c>
      <c r="AD57" s="1">
        <v>5540106</v>
      </c>
      <c r="AE57" s="1">
        <v>5540106</v>
      </c>
      <c r="AF57" s="1">
        <v>5540106</v>
      </c>
      <c r="AG57" s="1">
        <v>5540106</v>
      </c>
      <c r="AH57" s="1">
        <v>5540106</v>
      </c>
      <c r="AI57" s="1">
        <v>5540106</v>
      </c>
      <c r="AJ57" s="1">
        <v>5540106</v>
      </c>
      <c r="AK57" s="1">
        <v>5540106</v>
      </c>
      <c r="AL57" s="1">
        <v>5540106</v>
      </c>
      <c r="AM57" s="1">
        <v>5540106</v>
      </c>
      <c r="AO57" s="7">
        <f t="shared" si="72"/>
        <v>273947</v>
      </c>
      <c r="AP57" s="8">
        <f t="shared" si="73"/>
        <v>5.344974624994081E-2</v>
      </c>
      <c r="AQ57" s="12">
        <f t="shared" si="74"/>
        <v>140840</v>
      </c>
      <c r="AR57" s="13">
        <f t="shared" si="75"/>
        <v>2.6085027112944692E-2</v>
      </c>
      <c r="AS57" s="17">
        <f t="shared" si="76"/>
        <v>0</v>
      </c>
      <c r="AT57" s="18">
        <f t="shared" si="77"/>
        <v>0</v>
      </c>
    </row>
    <row r="58" spans="1:46" ht="14.25" customHeight="1">
      <c r="A58" t="s">
        <v>50</v>
      </c>
      <c r="B58">
        <v>730038</v>
      </c>
      <c r="C58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250000</v>
      </c>
      <c r="Y58" s="1">
        <v>250000</v>
      </c>
      <c r="Z58" s="1">
        <v>250000</v>
      </c>
      <c r="AA58" s="1">
        <v>250000</v>
      </c>
      <c r="AB58" s="1">
        <v>250000</v>
      </c>
      <c r="AC58" s="1">
        <v>250000</v>
      </c>
      <c r="AD58" s="1">
        <v>250000</v>
      </c>
      <c r="AE58" s="1">
        <v>250000</v>
      </c>
      <c r="AF58" s="1">
        <v>250000</v>
      </c>
      <c r="AG58" s="1">
        <v>250000</v>
      </c>
      <c r="AH58" s="1">
        <v>250000</v>
      </c>
      <c r="AI58" s="1">
        <v>250000</v>
      </c>
      <c r="AJ58" s="1">
        <v>250000</v>
      </c>
      <c r="AK58" s="1">
        <v>250000</v>
      </c>
      <c r="AL58" s="1">
        <v>250000</v>
      </c>
      <c r="AM58" s="1">
        <v>250000</v>
      </c>
      <c r="AO58" s="7">
        <f t="shared" si="72"/>
        <v>0</v>
      </c>
      <c r="AP58" s="8" t="e">
        <f t="shared" si="73"/>
        <v>#DIV/0!</v>
      </c>
      <c r="AQ58" s="12">
        <f t="shared" si="74"/>
        <v>250000</v>
      </c>
      <c r="AR58" s="13" t="e">
        <f t="shared" si="75"/>
        <v>#DIV/0!</v>
      </c>
      <c r="AS58" s="17">
        <f t="shared" si="76"/>
        <v>0</v>
      </c>
      <c r="AT58" s="18">
        <f t="shared" si="77"/>
        <v>0</v>
      </c>
    </row>
    <row r="59" spans="1:46" ht="14.25" customHeight="1">
      <c r="A59" t="s">
        <v>51</v>
      </c>
      <c r="C59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O59" s="7">
        <f t="shared" si="72"/>
        <v>0</v>
      </c>
      <c r="AP59" s="8" t="e">
        <f t="shared" si="73"/>
        <v>#DIV/0!</v>
      </c>
      <c r="AQ59" s="12">
        <f t="shared" si="74"/>
        <v>0</v>
      </c>
      <c r="AR59" s="13" t="e">
        <f t="shared" si="75"/>
        <v>#DIV/0!</v>
      </c>
      <c r="AS59" s="17">
        <f t="shared" si="76"/>
        <v>0</v>
      </c>
      <c r="AT59" s="18" t="e">
        <f t="shared" si="77"/>
        <v>#DIV/0!</v>
      </c>
    </row>
    <row r="60" spans="1:46" ht="14.25" customHeight="1">
      <c r="A60" t="s">
        <v>52</v>
      </c>
      <c r="C60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O60" s="7">
        <f t="shared" si="72"/>
        <v>0</v>
      </c>
      <c r="AP60" s="8" t="e">
        <f t="shared" si="73"/>
        <v>#DIV/0!</v>
      </c>
      <c r="AQ60" s="12">
        <f t="shared" si="74"/>
        <v>0</v>
      </c>
      <c r="AR60" s="13" t="e">
        <f t="shared" si="75"/>
        <v>#DIV/0!</v>
      </c>
      <c r="AS60" s="17">
        <f t="shared" si="76"/>
        <v>0</v>
      </c>
      <c r="AT60" s="18" t="e">
        <f t="shared" si="77"/>
        <v>#DIV/0!</v>
      </c>
    </row>
    <row r="61" spans="1:46" ht="14.25" customHeight="1">
      <c r="A61" t="s">
        <v>53</v>
      </c>
      <c r="B61">
        <v>730050</v>
      </c>
      <c r="C6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O61" s="7">
        <f t="shared" si="72"/>
        <v>0</v>
      </c>
      <c r="AP61" s="8" t="e">
        <f t="shared" si="73"/>
        <v>#DIV/0!</v>
      </c>
      <c r="AQ61" s="12">
        <f t="shared" si="74"/>
        <v>0</v>
      </c>
      <c r="AR61" s="13" t="e">
        <f t="shared" si="75"/>
        <v>#DIV/0!</v>
      </c>
      <c r="AS61" s="17">
        <f t="shared" si="76"/>
        <v>0</v>
      </c>
      <c r="AT61" s="18" t="e">
        <f t="shared" si="77"/>
        <v>#DIV/0!</v>
      </c>
    </row>
    <row r="62" spans="1:46" ht="14.25" customHeight="1">
      <c r="A62" t="s">
        <v>54</v>
      </c>
      <c r="B62">
        <v>730065</v>
      </c>
      <c r="C62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O62" s="7">
        <f t="shared" si="72"/>
        <v>0</v>
      </c>
      <c r="AP62" s="8" t="e">
        <f t="shared" si="73"/>
        <v>#DIV/0!</v>
      </c>
      <c r="AQ62" s="12">
        <f t="shared" si="74"/>
        <v>0</v>
      </c>
      <c r="AR62" s="13" t="e">
        <f t="shared" si="75"/>
        <v>#DIV/0!</v>
      </c>
      <c r="AS62" s="17">
        <f t="shared" si="76"/>
        <v>0</v>
      </c>
      <c r="AT62" s="18" t="e">
        <f t="shared" si="77"/>
        <v>#DIV/0!</v>
      </c>
    </row>
    <row r="63" spans="1:46" ht="14.25" customHeight="1">
      <c r="A63" t="s">
        <v>11</v>
      </c>
      <c r="B63" t="s">
        <v>12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O63" s="7"/>
      <c r="AP63" s="8"/>
      <c r="AQ63" s="12"/>
      <c r="AR63" s="13"/>
      <c r="AS63" s="17"/>
      <c r="AT63" s="18"/>
    </row>
    <row r="64" spans="1:46" ht="14.25" customHeight="1">
      <c r="A64" t="s">
        <v>55</v>
      </c>
      <c r="C64">
        <v>30354772</v>
      </c>
      <c r="D64" s="1">
        <v>29352742</v>
      </c>
      <c r="E64" s="1">
        <v>28902742</v>
      </c>
      <c r="F64" s="1">
        <v>28137629</v>
      </c>
      <c r="G64" s="1">
        <v>28420080</v>
      </c>
      <c r="H64" s="1">
        <v>27610080</v>
      </c>
      <c r="I64" s="1">
        <v>27362737</v>
      </c>
      <c r="J64" s="1">
        <v>27452737</v>
      </c>
      <c r="K64" s="1">
        <v>28082737</v>
      </c>
      <c r="L64" s="1">
        <v>27747033</v>
      </c>
      <c r="M64" s="1">
        <v>28143144</v>
      </c>
      <c r="N64" s="1">
        <v>28188144</v>
      </c>
      <c r="O64" s="1">
        <v>26819780</v>
      </c>
      <c r="P64" s="1">
        <v>31724780</v>
      </c>
      <c r="Q64" s="1">
        <v>31094780</v>
      </c>
      <c r="R64" s="1">
        <v>30865258</v>
      </c>
      <c r="S64" s="1">
        <v>31738317</v>
      </c>
      <c r="T64" s="1">
        <v>31918317</v>
      </c>
      <c r="U64" s="1">
        <v>31314580</v>
      </c>
      <c r="V64" s="1">
        <v>30639580</v>
      </c>
      <c r="W64" s="1">
        <v>30639580</v>
      </c>
      <c r="X64" s="1">
        <v>28509858</v>
      </c>
      <c r="Y64" s="1">
        <v>27614882</v>
      </c>
      <c r="Z64" s="1">
        <v>25767745</v>
      </c>
      <c r="AA64" s="1">
        <v>27505624</v>
      </c>
      <c r="AB64" s="1">
        <v>27164390</v>
      </c>
      <c r="AC64" s="1">
        <v>27879522</v>
      </c>
      <c r="AD64" s="1">
        <v>28299236</v>
      </c>
      <c r="AE64" s="1">
        <v>29106664</v>
      </c>
      <c r="AF64" s="1">
        <v>29694084</v>
      </c>
      <c r="AG64" s="1">
        <v>30051189</v>
      </c>
      <c r="AH64" s="1">
        <v>30543418</v>
      </c>
      <c r="AI64" s="1">
        <v>30447681</v>
      </c>
      <c r="AJ64" s="1">
        <v>30177177</v>
      </c>
      <c r="AK64" s="1">
        <v>29783594</v>
      </c>
      <c r="AL64" s="1">
        <v>29472551</v>
      </c>
      <c r="AM64" s="1">
        <v>28796882</v>
      </c>
      <c r="AO64" s="7">
        <f t="shared" ref="AO64" si="78">+O64-C64</f>
        <v>-3534992</v>
      </c>
      <c r="AP64" s="8">
        <f t="shared" ref="AP64" si="79">+(O64/C64)-1</f>
        <v>-0.11645589036214798</v>
      </c>
      <c r="AQ64" s="12">
        <f t="shared" ref="AQ64" si="80">+(AA64-O64)</f>
        <v>685844</v>
      </c>
      <c r="AR64" s="13">
        <f t="shared" ref="AR64" si="81">+(AA64/O64)-1</f>
        <v>2.5572320130888393E-2</v>
      </c>
      <c r="AS64" s="17">
        <f t="shared" ref="AS64" si="82">+AM64-AA64</f>
        <v>1291258</v>
      </c>
      <c r="AT64" s="18">
        <f t="shared" ref="AT64" si="83">+(AM64/AA64)-1</f>
        <v>4.6945235636173921E-2</v>
      </c>
    </row>
    <row r="65" spans="1:46" ht="14.25" customHeight="1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46" ht="14.25" customHeight="1">
      <c r="A66" t="s">
        <v>56</v>
      </c>
      <c r="B66">
        <v>730025</v>
      </c>
      <c r="C66">
        <v>-61050639</v>
      </c>
      <c r="D66" s="1">
        <v>-61845264</v>
      </c>
      <c r="E66" s="1">
        <v>-67335358</v>
      </c>
      <c r="F66" s="1">
        <v>-64768607</v>
      </c>
      <c r="G66" s="1">
        <v>-73007258</v>
      </c>
      <c r="H66" s="1">
        <v>-68378639</v>
      </c>
      <c r="I66" s="1">
        <v>-64146487</v>
      </c>
      <c r="J66" s="1">
        <v>-58489122</v>
      </c>
      <c r="K66" s="1">
        <v>-53777323</v>
      </c>
      <c r="L66" s="1">
        <v>-50830201</v>
      </c>
      <c r="M66" s="1">
        <v>-59599527</v>
      </c>
      <c r="N66" s="1">
        <v>-56958328</v>
      </c>
      <c r="O66" s="1">
        <v>-62161956</v>
      </c>
      <c r="P66" s="1">
        <v>-60907407</v>
      </c>
      <c r="Q66" s="1">
        <v>-55155197</v>
      </c>
      <c r="R66" s="1">
        <v>-54961401</v>
      </c>
      <c r="S66" s="1">
        <v>-52954646</v>
      </c>
      <c r="T66" s="1">
        <v>-55985166</v>
      </c>
      <c r="U66" s="1">
        <v>-52194284</v>
      </c>
      <c r="V66" s="1">
        <v>-53793203</v>
      </c>
      <c r="W66" s="1">
        <v>-49864478</v>
      </c>
      <c r="X66" s="1">
        <v>-43645138</v>
      </c>
      <c r="Y66" s="1">
        <v>-41306143</v>
      </c>
      <c r="Z66" s="1">
        <v>-36478697</v>
      </c>
      <c r="AA66" s="1">
        <v>-41020599</v>
      </c>
      <c r="AB66" s="1">
        <v>-40128793</v>
      </c>
      <c r="AC66" s="1">
        <v>-41997773</v>
      </c>
      <c r="AD66" s="1">
        <v>-43094684</v>
      </c>
      <c r="AE66" s="1">
        <v>-45204875</v>
      </c>
      <c r="AF66" s="1">
        <v>-46740081</v>
      </c>
      <c r="AG66" s="1">
        <v>-47673366</v>
      </c>
      <c r="AH66" s="1">
        <v>-48959794</v>
      </c>
      <c r="AI66" s="1">
        <v>-48709589</v>
      </c>
      <c r="AJ66" s="1">
        <v>-48002633</v>
      </c>
      <c r="AK66" s="1">
        <v>-46974015</v>
      </c>
      <c r="AL66" s="1">
        <v>-46161110</v>
      </c>
      <c r="AM66" s="1">
        <v>-44395267</v>
      </c>
      <c r="AO66" s="7">
        <f t="shared" ref="AO66" si="84">+O66-C66</f>
        <v>-1111317</v>
      </c>
      <c r="AP66" s="8">
        <f t="shared" ref="AP66" si="85">+(O66/C66)-1</f>
        <v>1.820320013358101E-2</v>
      </c>
      <c r="AQ66" s="12">
        <f t="shared" ref="AQ66" si="86">+(AA66-O66)</f>
        <v>21141357</v>
      </c>
      <c r="AR66" s="13">
        <f t="shared" ref="AR66" si="87">+(AA66/O66)-1</f>
        <v>-0.34010121882265099</v>
      </c>
      <c r="AS66" s="17">
        <f t="shared" ref="AS66" si="88">+AM66-AA66</f>
        <v>-3374668</v>
      </c>
      <c r="AT66" s="18">
        <f t="shared" ref="AT66" si="89">+(AM66/AA66)-1</f>
        <v>8.2267643141924918E-2</v>
      </c>
    </row>
    <row r="67" spans="1:46" ht="14.25" customHeight="1">
      <c r="A67" t="s">
        <v>11</v>
      </c>
      <c r="B67" t="s">
        <v>12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46" ht="14.25" customHeight="1">
      <c r="A68" t="s">
        <v>57</v>
      </c>
      <c r="C68">
        <v>439230292</v>
      </c>
      <c r="D68" s="1">
        <v>401699941</v>
      </c>
      <c r="E68" s="1">
        <v>411767210</v>
      </c>
      <c r="F68" s="1">
        <v>443407652</v>
      </c>
      <c r="G68" s="1">
        <v>404022745</v>
      </c>
      <c r="H68" s="1">
        <v>417776807</v>
      </c>
      <c r="I68" s="1">
        <v>417667711</v>
      </c>
      <c r="J68" s="1">
        <v>406096715</v>
      </c>
      <c r="K68" s="1">
        <v>449385340</v>
      </c>
      <c r="L68" s="1">
        <v>420913957</v>
      </c>
      <c r="M68" s="1">
        <v>407163842</v>
      </c>
      <c r="N68" s="1">
        <v>435120726</v>
      </c>
      <c r="O68" s="1">
        <v>414090340</v>
      </c>
      <c r="P68" s="1">
        <v>439477116</v>
      </c>
      <c r="Q68" s="1">
        <v>438998976</v>
      </c>
      <c r="R68" s="1">
        <v>405864586</v>
      </c>
      <c r="S68" s="1">
        <v>407244123</v>
      </c>
      <c r="T68" s="1">
        <v>425504485</v>
      </c>
      <c r="U68" s="1">
        <v>405184658</v>
      </c>
      <c r="V68" s="1">
        <v>413594435</v>
      </c>
      <c r="W68" s="1">
        <v>479520157</v>
      </c>
      <c r="X68" s="1">
        <v>514730125</v>
      </c>
      <c r="Y68" s="1">
        <v>466255455</v>
      </c>
      <c r="Z68" s="1">
        <v>470009422</v>
      </c>
      <c r="AA68" s="1">
        <v>463863734</v>
      </c>
      <c r="AB68" s="1">
        <v>462104333</v>
      </c>
      <c r="AC68" s="1">
        <v>458148099</v>
      </c>
      <c r="AD68" s="1">
        <v>456146760</v>
      </c>
      <c r="AE68" s="1">
        <v>448629463</v>
      </c>
      <c r="AF68" s="1">
        <v>442065322</v>
      </c>
      <c r="AG68" s="1">
        <v>436428313</v>
      </c>
      <c r="AH68" s="1">
        <v>431025106</v>
      </c>
      <c r="AI68" s="1">
        <v>429916627</v>
      </c>
      <c r="AJ68" s="1">
        <v>430816504</v>
      </c>
      <c r="AK68" s="1">
        <v>433610084</v>
      </c>
      <c r="AL68" s="1">
        <v>438823296</v>
      </c>
      <c r="AM68" s="1">
        <v>443770774</v>
      </c>
      <c r="AO68" s="7">
        <f t="shared" ref="AO68" si="90">+O68-C68</f>
        <v>-25139952</v>
      </c>
      <c r="AP68" s="8">
        <f t="shared" ref="AP68" si="91">+(O68/C68)-1</f>
        <v>-5.7236380226708072E-2</v>
      </c>
      <c r="AQ68" s="12">
        <f t="shared" ref="AQ68" si="92">+(AA68-O68)</f>
        <v>49773394</v>
      </c>
      <c r="AR68" s="13">
        <f t="shared" ref="AR68" si="93">+(AA68/O68)-1</f>
        <v>0.12019936036179923</v>
      </c>
      <c r="AS68" s="17">
        <f t="shared" ref="AS68" si="94">+AM68-AA68</f>
        <v>-20092960</v>
      </c>
      <c r="AT68" s="18">
        <f t="shared" ref="AT68" si="95">+(AM68/AA68)-1</f>
        <v>-4.3316514155426478E-2</v>
      </c>
    </row>
    <row r="69" spans="1:46" ht="14.25" customHeight="1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O69" s="7"/>
      <c r="AP69" s="8"/>
      <c r="AQ69" s="12"/>
      <c r="AR69" s="13"/>
      <c r="AS69" s="17"/>
      <c r="AT69" s="18"/>
    </row>
    <row r="70" spans="1:46" ht="14.25" customHeight="1">
      <c r="A70" t="s">
        <v>58</v>
      </c>
      <c r="B70">
        <v>710005</v>
      </c>
      <c r="C70">
        <v>223174829</v>
      </c>
      <c r="D70" s="1">
        <v>222972546</v>
      </c>
      <c r="E70" s="1">
        <v>220847561</v>
      </c>
      <c r="F70" s="1">
        <v>218155292</v>
      </c>
      <c r="G70" s="1">
        <v>215923733</v>
      </c>
      <c r="H70" s="1">
        <v>213157200</v>
      </c>
      <c r="I70" s="1">
        <v>211967332</v>
      </c>
      <c r="J70" s="1">
        <v>209858010</v>
      </c>
      <c r="K70" s="1">
        <v>209409782</v>
      </c>
      <c r="L70" s="1">
        <v>210069078</v>
      </c>
      <c r="M70" s="1">
        <v>210857288</v>
      </c>
      <c r="N70" s="1">
        <v>211604765</v>
      </c>
      <c r="O70" s="1">
        <v>211286539</v>
      </c>
      <c r="P70" s="1">
        <v>211986788</v>
      </c>
      <c r="Q70" s="1">
        <v>211621432</v>
      </c>
      <c r="R70" s="1">
        <v>211440415</v>
      </c>
      <c r="S70" s="1">
        <v>211437170</v>
      </c>
      <c r="T70" s="1">
        <v>211740454</v>
      </c>
      <c r="U70" s="1">
        <v>211848667</v>
      </c>
      <c r="V70" s="1">
        <v>211797680</v>
      </c>
      <c r="W70" s="1">
        <v>210766543</v>
      </c>
      <c r="X70" s="1">
        <v>184274058</v>
      </c>
      <c r="Y70" s="1">
        <v>186931634</v>
      </c>
      <c r="Z70" s="1">
        <v>189292815</v>
      </c>
      <c r="AA70" s="1">
        <v>192646215</v>
      </c>
      <c r="AB70" s="1">
        <v>193465749</v>
      </c>
      <c r="AC70" s="1">
        <v>197705485</v>
      </c>
      <c r="AD70" s="1">
        <v>201651722</v>
      </c>
      <c r="AE70" s="1">
        <v>206065232</v>
      </c>
      <c r="AF70" s="1">
        <v>209711292</v>
      </c>
      <c r="AG70" s="1">
        <v>213533416</v>
      </c>
      <c r="AH70" s="1">
        <v>216824212</v>
      </c>
      <c r="AI70" s="1">
        <v>220057949</v>
      </c>
      <c r="AJ70" s="1">
        <v>223020773</v>
      </c>
      <c r="AK70" s="1">
        <v>225488913</v>
      </c>
      <c r="AL70" s="1">
        <v>227743268</v>
      </c>
      <c r="AM70" s="1">
        <v>229522715</v>
      </c>
      <c r="AO70" s="7">
        <f t="shared" ref="AO70:AO77" si="96">+O70-C70</f>
        <v>-11888290</v>
      </c>
      <c r="AP70" s="8">
        <f t="shared" ref="AP70:AP77" si="97">+(O70/C70)-1</f>
        <v>-5.3268955344421887E-2</v>
      </c>
      <c r="AQ70" s="12">
        <f t="shared" ref="AQ70:AQ77" si="98">+(AA70-O70)</f>
        <v>-18640324</v>
      </c>
      <c r="AR70" s="13">
        <f t="shared" ref="AR70:AR77" si="99">+(AA70/O70)-1</f>
        <v>-8.8222960573934195E-2</v>
      </c>
      <c r="AS70" s="17">
        <f t="shared" ref="AS70:AS77" si="100">+AM70-AA70</f>
        <v>36876500</v>
      </c>
      <c r="AT70" s="18">
        <f t="shared" ref="AT70:AT77" si="101">+(AM70/AA70)-1</f>
        <v>0.19142083845249691</v>
      </c>
    </row>
    <row r="71" spans="1:46" ht="14.25" customHeight="1">
      <c r="A71" t="s">
        <v>59</v>
      </c>
      <c r="B71">
        <v>710010</v>
      </c>
      <c r="C71">
        <v>3522518</v>
      </c>
      <c r="D71" s="1">
        <v>3502136</v>
      </c>
      <c r="E71" s="1">
        <v>3448395</v>
      </c>
      <c r="F71" s="1">
        <v>3383734</v>
      </c>
      <c r="G71" s="1">
        <v>3325485</v>
      </c>
      <c r="H71" s="1">
        <v>3269365</v>
      </c>
      <c r="I71" s="1">
        <v>3221852</v>
      </c>
      <c r="J71" s="1">
        <v>3176676</v>
      </c>
      <c r="K71" s="1">
        <v>3165751</v>
      </c>
      <c r="L71" s="1">
        <v>3144471</v>
      </c>
      <c r="M71" s="1">
        <v>3151720</v>
      </c>
      <c r="N71" s="1">
        <v>3163996</v>
      </c>
      <c r="O71" s="1">
        <v>3145820</v>
      </c>
      <c r="P71" s="1">
        <v>3151583</v>
      </c>
      <c r="Q71" s="1">
        <v>3140999</v>
      </c>
      <c r="R71" s="1">
        <v>3134868</v>
      </c>
      <c r="S71" s="1">
        <v>3131774</v>
      </c>
      <c r="T71" s="1">
        <v>3133896</v>
      </c>
      <c r="U71" s="1">
        <v>3132715</v>
      </c>
      <c r="V71" s="1">
        <v>3137443</v>
      </c>
      <c r="W71" s="1">
        <v>3118471</v>
      </c>
      <c r="X71" s="1">
        <v>3177440</v>
      </c>
      <c r="Y71" s="1">
        <v>3235424</v>
      </c>
      <c r="Z71" s="1">
        <v>3292025</v>
      </c>
      <c r="AA71" s="1">
        <v>3244438</v>
      </c>
      <c r="AB71" s="1">
        <v>3196852</v>
      </c>
      <c r="AC71" s="1">
        <v>3149266</v>
      </c>
      <c r="AD71" s="1">
        <v>3102847</v>
      </c>
      <c r="AE71" s="1">
        <v>3060041</v>
      </c>
      <c r="AF71" s="1">
        <v>3102858</v>
      </c>
      <c r="AG71" s="1">
        <v>3159410</v>
      </c>
      <c r="AH71" s="1">
        <v>3208100</v>
      </c>
      <c r="AI71" s="1">
        <v>3255946</v>
      </c>
      <c r="AJ71" s="1">
        <v>3299783</v>
      </c>
      <c r="AK71" s="1">
        <v>3336301</v>
      </c>
      <c r="AL71" s="1">
        <v>3369657</v>
      </c>
      <c r="AM71" s="1">
        <v>3395985</v>
      </c>
      <c r="AO71" s="7">
        <f t="shared" si="96"/>
        <v>-376698</v>
      </c>
      <c r="AP71" s="8">
        <f t="shared" si="97"/>
        <v>-0.1069399787311236</v>
      </c>
      <c r="AQ71" s="12">
        <f t="shared" si="98"/>
        <v>98618</v>
      </c>
      <c r="AR71" s="13">
        <f t="shared" si="99"/>
        <v>3.1348901081434954E-2</v>
      </c>
      <c r="AS71" s="17">
        <f t="shared" si="100"/>
        <v>151547</v>
      </c>
      <c r="AT71" s="18">
        <f t="shared" si="101"/>
        <v>4.6709784560530876E-2</v>
      </c>
    </row>
    <row r="72" spans="1:46" ht="14.25" customHeight="1">
      <c r="A72" t="s">
        <v>60</v>
      </c>
      <c r="B72">
        <v>710015</v>
      </c>
      <c r="C72">
        <v>494543490</v>
      </c>
      <c r="D72" s="1">
        <v>492058191</v>
      </c>
      <c r="E72" s="1">
        <v>489156342</v>
      </c>
      <c r="F72" s="1">
        <v>485463091</v>
      </c>
      <c r="G72" s="1">
        <v>479931569</v>
      </c>
      <c r="H72" s="1">
        <v>476068295</v>
      </c>
      <c r="I72" s="1">
        <v>471245869</v>
      </c>
      <c r="J72" s="1">
        <v>471587197</v>
      </c>
      <c r="K72" s="1">
        <v>471708353</v>
      </c>
      <c r="L72" s="1">
        <v>472924536</v>
      </c>
      <c r="M72" s="1">
        <v>473056447</v>
      </c>
      <c r="N72" s="1">
        <v>475873800</v>
      </c>
      <c r="O72" s="1">
        <v>478121370</v>
      </c>
      <c r="P72" s="1">
        <v>483222189</v>
      </c>
      <c r="Q72" s="1">
        <v>488161215</v>
      </c>
      <c r="R72" s="1">
        <v>492623950</v>
      </c>
      <c r="S72" s="1">
        <v>497717208</v>
      </c>
      <c r="T72" s="1">
        <v>501535105</v>
      </c>
      <c r="U72" s="1">
        <v>506394922</v>
      </c>
      <c r="V72" s="1">
        <v>508979576</v>
      </c>
      <c r="W72" s="1">
        <v>510559047</v>
      </c>
      <c r="X72" s="1">
        <v>440828387</v>
      </c>
      <c r="Y72" s="1">
        <v>445689185</v>
      </c>
      <c r="Z72" s="1">
        <v>450634967</v>
      </c>
      <c r="AA72" s="1">
        <v>457528227</v>
      </c>
      <c r="AB72" s="1">
        <v>468649754</v>
      </c>
      <c r="AC72" s="1">
        <v>478920053</v>
      </c>
      <c r="AD72" s="1">
        <v>488479383</v>
      </c>
      <c r="AE72" s="1">
        <v>499170631</v>
      </c>
      <c r="AF72" s="1">
        <v>508002817</v>
      </c>
      <c r="AG72" s="1">
        <v>517261497</v>
      </c>
      <c r="AH72" s="1">
        <v>525233093</v>
      </c>
      <c r="AI72" s="1">
        <v>533066469</v>
      </c>
      <c r="AJ72" s="1">
        <v>540243588</v>
      </c>
      <c r="AK72" s="1">
        <v>546222389</v>
      </c>
      <c r="AL72" s="1">
        <v>551683317</v>
      </c>
      <c r="AM72" s="1">
        <v>555993835</v>
      </c>
      <c r="AO72" s="7">
        <f t="shared" si="96"/>
        <v>-16422120</v>
      </c>
      <c r="AP72" s="8">
        <f t="shared" si="97"/>
        <v>-3.3206624557933218E-2</v>
      </c>
      <c r="AQ72" s="12">
        <f t="shared" si="98"/>
        <v>-20593143</v>
      </c>
      <c r="AR72" s="13">
        <f t="shared" si="99"/>
        <v>-4.3070952883783487E-2</v>
      </c>
      <c r="AS72" s="17">
        <f t="shared" si="100"/>
        <v>98465608</v>
      </c>
      <c r="AT72" s="18">
        <f t="shared" si="101"/>
        <v>0.21521209444417511</v>
      </c>
    </row>
    <row r="73" spans="1:46" ht="14.25" customHeight="1">
      <c r="A73" t="s">
        <v>61</v>
      </c>
      <c r="B73">
        <v>710020</v>
      </c>
      <c r="C73">
        <v>8481404</v>
      </c>
      <c r="D73" s="1">
        <v>8392964</v>
      </c>
      <c r="E73" s="1">
        <v>8323235</v>
      </c>
      <c r="F73" s="1">
        <v>8238813</v>
      </c>
      <c r="G73" s="1">
        <v>8093590</v>
      </c>
      <c r="H73" s="1">
        <v>8011037</v>
      </c>
      <c r="I73" s="1">
        <v>7864802</v>
      </c>
      <c r="J73" s="1">
        <v>7850657</v>
      </c>
      <c r="K73" s="1">
        <v>7854407</v>
      </c>
      <c r="L73" s="1">
        <v>7842566</v>
      </c>
      <c r="M73" s="1">
        <v>7828049</v>
      </c>
      <c r="N73" s="1">
        <v>7865324</v>
      </c>
      <c r="O73" s="1">
        <v>7892216</v>
      </c>
      <c r="P73" s="1">
        <v>8030401</v>
      </c>
      <c r="Q73" s="1">
        <v>8126415</v>
      </c>
      <c r="R73" s="1">
        <v>8231088</v>
      </c>
      <c r="S73" s="1">
        <v>8352035</v>
      </c>
      <c r="T73" s="1">
        <v>8449818</v>
      </c>
      <c r="U73" s="1">
        <v>8531294</v>
      </c>
      <c r="V73" s="1">
        <v>8586690</v>
      </c>
      <c r="W73" s="1">
        <v>8609829</v>
      </c>
      <c r="X73" s="1">
        <v>8772638</v>
      </c>
      <c r="Y73" s="1">
        <v>8932726</v>
      </c>
      <c r="Z73" s="1">
        <v>9088997</v>
      </c>
      <c r="AA73" s="1">
        <v>8957616</v>
      </c>
      <c r="AB73" s="1">
        <v>8826235</v>
      </c>
      <c r="AC73" s="1">
        <v>8694854</v>
      </c>
      <c r="AD73" s="1">
        <v>8566695</v>
      </c>
      <c r="AE73" s="1">
        <v>8448513</v>
      </c>
      <c r="AF73" s="1">
        <v>8566722</v>
      </c>
      <c r="AG73" s="1">
        <v>8722856</v>
      </c>
      <c r="AH73" s="1">
        <v>8857285</v>
      </c>
      <c r="AI73" s="1">
        <v>8989384</v>
      </c>
      <c r="AJ73" s="1">
        <v>9110415</v>
      </c>
      <c r="AK73" s="1">
        <v>9211239</v>
      </c>
      <c r="AL73" s="1">
        <v>9303330</v>
      </c>
      <c r="AM73" s="1">
        <v>9376020</v>
      </c>
      <c r="AO73" s="7">
        <f t="shared" si="96"/>
        <v>-589188</v>
      </c>
      <c r="AP73" s="8">
        <f t="shared" si="97"/>
        <v>-6.9468215403959088E-2</v>
      </c>
      <c r="AQ73" s="12">
        <f t="shared" si="98"/>
        <v>1065400</v>
      </c>
      <c r="AR73" s="13">
        <f t="shared" si="99"/>
        <v>0.13499377107773025</v>
      </c>
      <c r="AS73" s="17">
        <f t="shared" si="100"/>
        <v>418404</v>
      </c>
      <c r="AT73" s="18">
        <f t="shared" si="101"/>
        <v>4.6709303010979752E-2</v>
      </c>
    </row>
    <row r="74" spans="1:46" ht="14.25" customHeight="1">
      <c r="A74" t="s">
        <v>62</v>
      </c>
      <c r="B74">
        <v>710025</v>
      </c>
      <c r="C74">
        <v>43311218</v>
      </c>
      <c r="D74" s="1">
        <v>43838845</v>
      </c>
      <c r="E74" s="1">
        <v>43750060</v>
      </c>
      <c r="F74" s="1">
        <v>44297146</v>
      </c>
      <c r="G74" s="1">
        <v>44716537</v>
      </c>
      <c r="H74" s="1">
        <v>45298162</v>
      </c>
      <c r="I74" s="1">
        <v>46326074</v>
      </c>
      <c r="J74" s="1">
        <v>47957658</v>
      </c>
      <c r="K74" s="1">
        <v>48175274</v>
      </c>
      <c r="L74" s="1">
        <v>48733058</v>
      </c>
      <c r="M74" s="1">
        <v>49518615</v>
      </c>
      <c r="N74" s="1">
        <v>49372544</v>
      </c>
      <c r="O74" s="1">
        <v>49555014</v>
      </c>
      <c r="P74" s="1">
        <v>51377170</v>
      </c>
      <c r="Q74" s="1">
        <v>53219773</v>
      </c>
      <c r="R74" s="1">
        <v>54648487</v>
      </c>
      <c r="S74" s="1">
        <v>56079996</v>
      </c>
      <c r="T74" s="1">
        <v>57451471</v>
      </c>
      <c r="U74" s="1">
        <v>58986304</v>
      </c>
      <c r="V74" s="1">
        <v>59723765</v>
      </c>
      <c r="W74" s="1">
        <v>59932010</v>
      </c>
      <c r="X74" s="1">
        <v>61420163</v>
      </c>
      <c r="Y74" s="1">
        <v>63082678</v>
      </c>
      <c r="Z74" s="1">
        <v>64692385</v>
      </c>
      <c r="AA74" s="1">
        <v>64372626</v>
      </c>
      <c r="AB74" s="1">
        <v>64056207</v>
      </c>
      <c r="AC74" s="1">
        <v>63770413</v>
      </c>
      <c r="AD74" s="1">
        <v>63565458</v>
      </c>
      <c r="AE74" s="1">
        <v>63389073</v>
      </c>
      <c r="AF74" s="1">
        <v>63191018</v>
      </c>
      <c r="AG74" s="1">
        <v>63006091</v>
      </c>
      <c r="AH74" s="1">
        <v>62841660</v>
      </c>
      <c r="AI74" s="1">
        <v>62740440</v>
      </c>
      <c r="AJ74" s="1">
        <v>62642591</v>
      </c>
      <c r="AK74" s="1">
        <v>62520609</v>
      </c>
      <c r="AL74" s="1">
        <v>62373527</v>
      </c>
      <c r="AM74" s="1">
        <v>62203328</v>
      </c>
      <c r="AO74" s="7">
        <f t="shared" si="96"/>
        <v>6243796</v>
      </c>
      <c r="AP74" s="8">
        <f t="shared" si="97"/>
        <v>0.1441611732092134</v>
      </c>
      <c r="AQ74" s="12">
        <f t="shared" si="98"/>
        <v>14817612</v>
      </c>
      <c r="AR74" s="13">
        <f t="shared" si="99"/>
        <v>0.29901337531657246</v>
      </c>
      <c r="AS74" s="17">
        <f t="shared" si="100"/>
        <v>-2169298</v>
      </c>
      <c r="AT74" s="18">
        <f t="shared" si="101"/>
        <v>-3.3699075753100383E-2</v>
      </c>
    </row>
    <row r="75" spans="1:46" ht="14.25" customHeight="1">
      <c r="A75" t="s">
        <v>63</v>
      </c>
      <c r="B75">
        <v>710030</v>
      </c>
      <c r="C75">
        <v>517514</v>
      </c>
      <c r="D75" s="1">
        <v>521466</v>
      </c>
      <c r="E75" s="1">
        <v>515320</v>
      </c>
      <c r="F75" s="1">
        <v>518342</v>
      </c>
      <c r="G75" s="1">
        <v>527221</v>
      </c>
      <c r="H75" s="1">
        <v>526412</v>
      </c>
      <c r="I75" s="1">
        <v>531020</v>
      </c>
      <c r="J75" s="1">
        <v>552878</v>
      </c>
      <c r="K75" s="1">
        <v>550424</v>
      </c>
      <c r="L75" s="1">
        <v>553246</v>
      </c>
      <c r="M75" s="1">
        <v>560765</v>
      </c>
      <c r="N75" s="1">
        <v>553864</v>
      </c>
      <c r="O75" s="1">
        <v>553248</v>
      </c>
      <c r="P75" s="1">
        <v>568395</v>
      </c>
      <c r="Q75" s="1">
        <v>587243</v>
      </c>
      <c r="R75" s="1">
        <v>605309</v>
      </c>
      <c r="S75" s="1">
        <v>620966</v>
      </c>
      <c r="T75" s="1">
        <v>636717</v>
      </c>
      <c r="U75" s="1">
        <v>645422</v>
      </c>
      <c r="V75" s="1">
        <v>652410</v>
      </c>
      <c r="W75" s="1">
        <v>645552</v>
      </c>
      <c r="X75" s="1">
        <v>659083</v>
      </c>
      <c r="Y75" s="1">
        <v>672497</v>
      </c>
      <c r="Z75" s="1">
        <v>685711</v>
      </c>
      <c r="AA75" s="1">
        <v>677264</v>
      </c>
      <c r="AB75" s="1">
        <v>668817</v>
      </c>
      <c r="AC75" s="1">
        <v>660371</v>
      </c>
      <c r="AD75" s="1">
        <v>652172</v>
      </c>
      <c r="AE75" s="1">
        <v>644734</v>
      </c>
      <c r="AF75" s="1">
        <v>637056</v>
      </c>
      <c r="AG75" s="1">
        <v>629491</v>
      </c>
      <c r="AH75" s="1">
        <v>622099</v>
      </c>
      <c r="AI75" s="1">
        <v>615295</v>
      </c>
      <c r="AJ75" s="1">
        <v>608488</v>
      </c>
      <c r="AK75" s="1">
        <v>601413</v>
      </c>
      <c r="AL75" s="1">
        <v>594066</v>
      </c>
      <c r="AM75" s="1">
        <v>586475</v>
      </c>
      <c r="AO75" s="7">
        <f t="shared" si="96"/>
        <v>35734</v>
      </c>
      <c r="AP75" s="8">
        <f t="shared" si="97"/>
        <v>6.9049339728007419E-2</v>
      </c>
      <c r="AQ75" s="12">
        <f t="shared" si="98"/>
        <v>124016</v>
      </c>
      <c r="AR75" s="13">
        <f t="shared" si="99"/>
        <v>0.22415987043785068</v>
      </c>
      <c r="AS75" s="17">
        <f t="shared" si="100"/>
        <v>-90789</v>
      </c>
      <c r="AT75" s="18">
        <f t="shared" si="101"/>
        <v>-0.1340525998724279</v>
      </c>
    </row>
    <row r="76" spans="1:46" ht="14.25" customHeight="1">
      <c r="A76" t="s">
        <v>64</v>
      </c>
      <c r="B76">
        <v>710035</v>
      </c>
      <c r="C76">
        <v>23133864</v>
      </c>
      <c r="D76" s="1">
        <v>23646080</v>
      </c>
      <c r="E76" s="1">
        <v>24224915</v>
      </c>
      <c r="F76" s="1">
        <v>24741800</v>
      </c>
      <c r="G76" s="1">
        <v>24862558</v>
      </c>
      <c r="H76" s="1">
        <v>25214441</v>
      </c>
      <c r="I76" s="1">
        <v>25547414</v>
      </c>
      <c r="J76" s="1">
        <v>26480333</v>
      </c>
      <c r="K76" s="1">
        <v>27038978</v>
      </c>
      <c r="L76" s="1">
        <v>27368961</v>
      </c>
      <c r="M76" s="1">
        <v>27704568</v>
      </c>
      <c r="N76" s="1">
        <v>28221950</v>
      </c>
      <c r="O76" s="1">
        <v>28594562</v>
      </c>
      <c r="P76" s="1">
        <v>28841580</v>
      </c>
      <c r="Q76" s="1">
        <v>30189834</v>
      </c>
      <c r="R76" s="1">
        <v>31282401</v>
      </c>
      <c r="S76" s="1">
        <v>31587330</v>
      </c>
      <c r="T76" s="1">
        <v>32450078</v>
      </c>
      <c r="U76" s="1">
        <v>32900601</v>
      </c>
      <c r="V76" s="1">
        <v>33832281</v>
      </c>
      <c r="W76" s="1">
        <v>33590500</v>
      </c>
      <c r="X76" s="1">
        <v>34279009</v>
      </c>
      <c r="Y76" s="1">
        <v>34963063</v>
      </c>
      <c r="Z76" s="1">
        <v>35601581</v>
      </c>
      <c r="AA76" s="1">
        <v>35408609</v>
      </c>
      <c r="AB76" s="1">
        <v>35218091</v>
      </c>
      <c r="AC76" s="1">
        <v>35056739</v>
      </c>
      <c r="AD76" s="1">
        <v>34931468</v>
      </c>
      <c r="AE76" s="1">
        <v>34822373</v>
      </c>
      <c r="AF76" s="1">
        <v>34701538</v>
      </c>
      <c r="AG76" s="1">
        <v>34587759</v>
      </c>
      <c r="AH76" s="1">
        <v>34485084</v>
      </c>
      <c r="AI76" s="1">
        <v>34416696</v>
      </c>
      <c r="AJ76" s="1">
        <v>34350322</v>
      </c>
      <c r="AK76" s="1">
        <v>34270742</v>
      </c>
      <c r="AL76" s="1">
        <v>34377360</v>
      </c>
      <c r="AM76" s="1">
        <v>34505410</v>
      </c>
      <c r="AO76" s="7">
        <f t="shared" si="96"/>
        <v>5460698</v>
      </c>
      <c r="AP76" s="8">
        <f t="shared" si="97"/>
        <v>0.23604781285132481</v>
      </c>
      <c r="AQ76" s="12">
        <f t="shared" si="98"/>
        <v>6814047</v>
      </c>
      <c r="AR76" s="13">
        <f t="shared" si="99"/>
        <v>0.23829870169020251</v>
      </c>
      <c r="AS76" s="17">
        <f t="shared" si="100"/>
        <v>-903199</v>
      </c>
      <c r="AT76" s="18">
        <f t="shared" si="101"/>
        <v>-2.5507892727443804E-2</v>
      </c>
    </row>
    <row r="77" spans="1:46" ht="14.25" customHeight="1">
      <c r="A77" t="s">
        <v>65</v>
      </c>
      <c r="B77">
        <v>710040</v>
      </c>
      <c r="C77">
        <v>280827</v>
      </c>
      <c r="D77" s="1">
        <v>285460</v>
      </c>
      <c r="E77" s="1">
        <v>289691</v>
      </c>
      <c r="F77" s="1">
        <v>293400</v>
      </c>
      <c r="G77" s="1">
        <v>295915</v>
      </c>
      <c r="H77" s="1">
        <v>298057</v>
      </c>
      <c r="I77" s="1">
        <v>302870</v>
      </c>
      <c r="J77" s="1">
        <v>310987</v>
      </c>
      <c r="K77" s="1">
        <v>317745</v>
      </c>
      <c r="L77" s="1">
        <v>319740</v>
      </c>
      <c r="M77" s="1">
        <v>321670</v>
      </c>
      <c r="N77" s="1">
        <v>323799</v>
      </c>
      <c r="O77" s="1">
        <v>327002</v>
      </c>
      <c r="P77" s="1">
        <v>326044</v>
      </c>
      <c r="Q77" s="1">
        <v>342305</v>
      </c>
      <c r="R77" s="1">
        <v>353654</v>
      </c>
      <c r="S77" s="1">
        <v>363279</v>
      </c>
      <c r="T77" s="1">
        <v>370980</v>
      </c>
      <c r="U77" s="1">
        <v>372740</v>
      </c>
      <c r="V77" s="1">
        <v>380791</v>
      </c>
      <c r="W77" s="1">
        <v>371325</v>
      </c>
      <c r="X77" s="1">
        <v>379108</v>
      </c>
      <c r="Y77" s="1">
        <v>386824</v>
      </c>
      <c r="Z77" s="1">
        <v>394425</v>
      </c>
      <c r="AA77" s="1">
        <v>389567</v>
      </c>
      <c r="AB77" s="1">
        <v>384709</v>
      </c>
      <c r="AC77" s="1">
        <v>379851</v>
      </c>
      <c r="AD77" s="1">
        <v>375136</v>
      </c>
      <c r="AE77" s="1">
        <v>370858</v>
      </c>
      <c r="AF77" s="1">
        <v>366441</v>
      </c>
      <c r="AG77" s="1">
        <v>362091</v>
      </c>
      <c r="AH77" s="1">
        <v>357839</v>
      </c>
      <c r="AI77" s="1">
        <v>353926</v>
      </c>
      <c r="AJ77" s="1">
        <v>350011</v>
      </c>
      <c r="AK77" s="1">
        <v>345942</v>
      </c>
      <c r="AL77" s="1">
        <v>341716</v>
      </c>
      <c r="AM77" s="1">
        <v>337351</v>
      </c>
      <c r="AO77" s="7">
        <f t="shared" si="96"/>
        <v>46175</v>
      </c>
      <c r="AP77" s="8">
        <f t="shared" si="97"/>
        <v>0.16442507308770171</v>
      </c>
      <c r="AQ77" s="12">
        <f t="shared" si="98"/>
        <v>62565</v>
      </c>
      <c r="AR77" s="13">
        <f t="shared" si="99"/>
        <v>0.19132910502076439</v>
      </c>
      <c r="AS77" s="17">
        <f t="shared" si="100"/>
        <v>-52216</v>
      </c>
      <c r="AT77" s="18">
        <f t="shared" si="101"/>
        <v>-0.1340359938085105</v>
      </c>
    </row>
    <row r="78" spans="1:46" ht="14.25" customHeight="1">
      <c r="A78" t="s">
        <v>11</v>
      </c>
      <c r="B78" t="s">
        <v>12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O78" s="7"/>
      <c r="AP78" s="8"/>
      <c r="AQ78" s="12"/>
      <c r="AR78" s="13"/>
      <c r="AS78" s="17"/>
      <c r="AT78" s="18"/>
    </row>
    <row r="79" spans="1:46">
      <c r="A79" t="s">
        <v>66</v>
      </c>
      <c r="C79">
        <v>796965664</v>
      </c>
      <c r="D79" s="1">
        <v>795217688</v>
      </c>
      <c r="E79" s="1">
        <v>790555520</v>
      </c>
      <c r="F79" s="1">
        <v>785091619</v>
      </c>
      <c r="G79" s="1">
        <v>777676608</v>
      </c>
      <c r="H79" s="1">
        <v>771842969</v>
      </c>
      <c r="I79" s="1">
        <v>767007232</v>
      </c>
      <c r="J79" s="1">
        <v>767774396</v>
      </c>
      <c r="K79" s="1">
        <v>768220715</v>
      </c>
      <c r="L79" s="1">
        <v>770955655</v>
      </c>
      <c r="M79" s="1">
        <v>772999122</v>
      </c>
      <c r="N79" s="1">
        <v>776980043</v>
      </c>
      <c r="O79" s="1">
        <v>779475771</v>
      </c>
      <c r="P79" s="1">
        <v>787504150</v>
      </c>
      <c r="Q79" s="1">
        <v>795389217</v>
      </c>
      <c r="R79" s="1">
        <v>802320173</v>
      </c>
      <c r="S79" s="1">
        <v>809289757</v>
      </c>
      <c r="T79" s="1">
        <v>815768519</v>
      </c>
      <c r="U79" s="1">
        <v>822812665</v>
      </c>
      <c r="V79" s="1">
        <v>827090638</v>
      </c>
      <c r="W79" s="1">
        <v>827593278</v>
      </c>
      <c r="X79" s="1">
        <v>733789886</v>
      </c>
      <c r="Y79" s="1">
        <v>743894032</v>
      </c>
      <c r="Z79" s="1">
        <v>753682907</v>
      </c>
      <c r="AA79" s="1">
        <v>763224562</v>
      </c>
      <c r="AB79" s="1">
        <v>774466414</v>
      </c>
      <c r="AC79" s="1">
        <v>788337032</v>
      </c>
      <c r="AD79" s="1">
        <v>801324880</v>
      </c>
      <c r="AE79" s="1">
        <v>815971455</v>
      </c>
      <c r="AF79" s="1">
        <v>828279743</v>
      </c>
      <c r="AG79" s="1">
        <v>841262611</v>
      </c>
      <c r="AH79" s="1">
        <v>852429372</v>
      </c>
      <c r="AI79" s="1">
        <v>863496106</v>
      </c>
      <c r="AJ79" s="1">
        <v>873625970</v>
      </c>
      <c r="AK79" s="1">
        <v>881997549</v>
      </c>
      <c r="AL79" s="1">
        <v>889786240</v>
      </c>
      <c r="AM79" s="1">
        <v>895921120</v>
      </c>
      <c r="AO79" s="7">
        <f t="shared" ref="AO79" si="102">+O79-C79</f>
        <v>-17489893</v>
      </c>
      <c r="AP79" s="8">
        <f t="shared" ref="AP79" si="103">+(O79/C79)-1</f>
        <v>-2.1945604170972133E-2</v>
      </c>
      <c r="AQ79" s="12">
        <f t="shared" ref="AQ79" si="104">+(AA79-O79)</f>
        <v>-16251209</v>
      </c>
      <c r="AR79" s="13">
        <f t="shared" ref="AR79" si="105">+(AA79/O79)-1</f>
        <v>-2.0848895635525833E-2</v>
      </c>
      <c r="AS79" s="17">
        <f t="shared" ref="AS79" si="106">+AM79-AA79</f>
        <v>132696558</v>
      </c>
      <c r="AT79" s="18">
        <f t="shared" ref="AT79" si="107">+(AM79/AA79)-1</f>
        <v>0.17386306024045384</v>
      </c>
    </row>
    <row r="80" spans="1:46" ht="14.25" customHeight="1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O80" s="7"/>
      <c r="AP80" s="8"/>
      <c r="AQ80" s="12"/>
      <c r="AR80" s="13"/>
      <c r="AS80" s="17"/>
      <c r="AT80" s="18"/>
    </row>
    <row r="81" spans="1:46" ht="14.25" customHeight="1">
      <c r="A81" t="s">
        <v>67</v>
      </c>
      <c r="B81">
        <v>710105</v>
      </c>
      <c r="C8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O81" s="7">
        <f t="shared" ref="AO81:AO88" si="108">+O81-C81</f>
        <v>0</v>
      </c>
      <c r="AP81" s="8" t="e">
        <f t="shared" ref="AP81:AP88" si="109">+(O81/C81)-1</f>
        <v>#DIV/0!</v>
      </c>
      <c r="AQ81" s="12">
        <f t="shared" ref="AQ81:AQ88" si="110">+(AA81-O81)</f>
        <v>0</v>
      </c>
      <c r="AR81" s="13" t="e">
        <f t="shared" ref="AR81:AR88" si="111">+(AA81/O81)-1</f>
        <v>#DIV/0!</v>
      </c>
      <c r="AS81" s="17">
        <f t="shared" ref="AS81:AS88" si="112">+AM81-AA81</f>
        <v>0</v>
      </c>
      <c r="AT81" s="18" t="e">
        <f t="shared" ref="AT81:AT88" si="113">+(AM81/AA81)-1</f>
        <v>#DIV/0!</v>
      </c>
    </row>
    <row r="82" spans="1:46" ht="14.25" customHeight="1">
      <c r="A82" t="s">
        <v>68</v>
      </c>
      <c r="B82">
        <v>710107</v>
      </c>
      <c r="C82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O82" s="7">
        <f t="shared" si="108"/>
        <v>0</v>
      </c>
      <c r="AP82" s="8" t="e">
        <f t="shared" si="109"/>
        <v>#DIV/0!</v>
      </c>
      <c r="AQ82" s="12">
        <f t="shared" si="110"/>
        <v>0</v>
      </c>
      <c r="AR82" s="13" t="e">
        <f t="shared" si="111"/>
        <v>#DIV/0!</v>
      </c>
      <c r="AS82" s="17">
        <f t="shared" si="112"/>
        <v>0</v>
      </c>
      <c r="AT82" s="18" t="e">
        <f t="shared" si="113"/>
        <v>#DIV/0!</v>
      </c>
    </row>
    <row r="83" spans="1:46" ht="14.25" customHeight="1">
      <c r="A83" t="s">
        <v>69</v>
      </c>
      <c r="B83">
        <v>710108</v>
      </c>
      <c r="C83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O83" s="7">
        <f t="shared" si="108"/>
        <v>0</v>
      </c>
      <c r="AP83" s="8" t="e">
        <f t="shared" si="109"/>
        <v>#DIV/0!</v>
      </c>
      <c r="AQ83" s="12">
        <f t="shared" si="110"/>
        <v>0</v>
      </c>
      <c r="AR83" s="13" t="e">
        <f t="shared" si="111"/>
        <v>#DIV/0!</v>
      </c>
      <c r="AS83" s="17">
        <f t="shared" si="112"/>
        <v>0</v>
      </c>
      <c r="AT83" s="18" t="e">
        <f t="shared" si="113"/>
        <v>#DIV/0!</v>
      </c>
    </row>
    <row r="84" spans="1:46" ht="14.25" customHeight="1">
      <c r="A84" t="s">
        <v>70</v>
      </c>
      <c r="B84">
        <v>710109</v>
      </c>
      <c r="C84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O84" s="7">
        <f t="shared" si="108"/>
        <v>0</v>
      </c>
      <c r="AP84" s="8" t="e">
        <f t="shared" si="109"/>
        <v>#DIV/0!</v>
      </c>
      <c r="AQ84" s="12">
        <f t="shared" si="110"/>
        <v>0</v>
      </c>
      <c r="AR84" s="13" t="e">
        <f t="shared" si="111"/>
        <v>#DIV/0!</v>
      </c>
      <c r="AS84" s="17">
        <f t="shared" si="112"/>
        <v>0</v>
      </c>
      <c r="AT84" s="18" t="e">
        <f t="shared" si="113"/>
        <v>#DIV/0!</v>
      </c>
    </row>
    <row r="85" spans="1:46" ht="14.25" customHeight="1">
      <c r="A85" t="s">
        <v>71</v>
      </c>
      <c r="B85">
        <v>710110</v>
      </c>
      <c r="C85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O85" s="7">
        <f t="shared" si="108"/>
        <v>0</v>
      </c>
      <c r="AP85" s="8" t="e">
        <f t="shared" si="109"/>
        <v>#DIV/0!</v>
      </c>
      <c r="AQ85" s="12">
        <f t="shared" si="110"/>
        <v>0</v>
      </c>
      <c r="AR85" s="13" t="e">
        <f t="shared" si="111"/>
        <v>#DIV/0!</v>
      </c>
      <c r="AS85" s="17">
        <f t="shared" si="112"/>
        <v>0</v>
      </c>
      <c r="AT85" s="18" t="e">
        <f t="shared" si="113"/>
        <v>#DIV/0!</v>
      </c>
    </row>
    <row r="86" spans="1:46" ht="14.25" customHeight="1">
      <c r="A86" t="s">
        <v>72</v>
      </c>
      <c r="B86">
        <v>710112</v>
      </c>
      <c r="C86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O86" s="7">
        <f t="shared" si="108"/>
        <v>0</v>
      </c>
      <c r="AP86" s="8" t="e">
        <f t="shared" si="109"/>
        <v>#DIV/0!</v>
      </c>
      <c r="AQ86" s="12">
        <f t="shared" si="110"/>
        <v>0</v>
      </c>
      <c r="AR86" s="13" t="e">
        <f t="shared" si="111"/>
        <v>#DIV/0!</v>
      </c>
      <c r="AS86" s="17">
        <f t="shared" si="112"/>
        <v>0</v>
      </c>
      <c r="AT86" s="18" t="e">
        <f t="shared" si="113"/>
        <v>#DIV/0!</v>
      </c>
    </row>
    <row r="87" spans="1:46" ht="14.25" customHeight="1">
      <c r="A87" t="s">
        <v>73</v>
      </c>
      <c r="B87">
        <v>710113</v>
      </c>
      <c r="C87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O87" s="7">
        <f t="shared" si="108"/>
        <v>0</v>
      </c>
      <c r="AP87" s="8" t="e">
        <f t="shared" si="109"/>
        <v>#DIV/0!</v>
      </c>
      <c r="AQ87" s="12">
        <f t="shared" si="110"/>
        <v>0</v>
      </c>
      <c r="AR87" s="13" t="e">
        <f t="shared" si="111"/>
        <v>#DIV/0!</v>
      </c>
      <c r="AS87" s="17">
        <f t="shared" si="112"/>
        <v>0</v>
      </c>
      <c r="AT87" s="18" t="e">
        <f t="shared" si="113"/>
        <v>#DIV/0!</v>
      </c>
    </row>
    <row r="88" spans="1:46" ht="14.25" customHeight="1">
      <c r="A88" t="s">
        <v>74</v>
      </c>
      <c r="B88">
        <v>710114</v>
      </c>
      <c r="C88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O88" s="7">
        <f t="shared" si="108"/>
        <v>0</v>
      </c>
      <c r="AP88" s="8" t="e">
        <f t="shared" si="109"/>
        <v>#DIV/0!</v>
      </c>
      <c r="AQ88" s="12">
        <f t="shared" si="110"/>
        <v>0</v>
      </c>
      <c r="AR88" s="13" t="e">
        <f t="shared" si="111"/>
        <v>#DIV/0!</v>
      </c>
      <c r="AS88" s="17">
        <f t="shared" si="112"/>
        <v>0</v>
      </c>
      <c r="AT88" s="18" t="e">
        <f t="shared" si="113"/>
        <v>#DIV/0!</v>
      </c>
    </row>
    <row r="89" spans="1:46" ht="14.25" customHeight="1">
      <c r="A89" t="s">
        <v>11</v>
      </c>
      <c r="B89" t="s">
        <v>12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O89" s="7"/>
      <c r="AP89" s="8"/>
      <c r="AQ89" s="12"/>
      <c r="AR89" s="13"/>
      <c r="AS89" s="17"/>
      <c r="AT89" s="18"/>
    </row>
    <row r="90" spans="1:46" ht="14.25" customHeight="1">
      <c r="A90" t="s">
        <v>75</v>
      </c>
      <c r="C90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O90" s="7">
        <f t="shared" ref="AO90" si="114">+O90-C90</f>
        <v>0</v>
      </c>
      <c r="AP90" s="8" t="e">
        <f t="shared" ref="AP90" si="115">+(O90/C90)-1</f>
        <v>#DIV/0!</v>
      </c>
      <c r="AQ90" s="12">
        <f t="shared" ref="AQ90" si="116">+(AA90-O90)</f>
        <v>0</v>
      </c>
      <c r="AR90" s="13" t="e">
        <f t="shared" ref="AR90" si="117">+(AA90/O90)-1</f>
        <v>#DIV/0!</v>
      </c>
      <c r="AS90" s="17">
        <f t="shared" ref="AS90" si="118">+AM90-AA90</f>
        <v>0</v>
      </c>
      <c r="AT90" s="18" t="e">
        <f t="shared" ref="AT90" si="119">+(AM90/AA90)-1</f>
        <v>#DIV/0!</v>
      </c>
    </row>
    <row r="91" spans="1:46" ht="14.25" customHeight="1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O91" s="7"/>
      <c r="AP91" s="8"/>
      <c r="AQ91" s="12"/>
      <c r="AR91" s="13"/>
      <c r="AS91" s="17"/>
      <c r="AT91" s="18"/>
    </row>
    <row r="92" spans="1:46" ht="14.25" customHeight="1">
      <c r="A92" t="s">
        <v>76</v>
      </c>
      <c r="B92">
        <v>710130</v>
      </c>
      <c r="C92">
        <v>208386474</v>
      </c>
      <c r="D92" s="1">
        <v>207316668</v>
      </c>
      <c r="E92" s="1">
        <v>205720841</v>
      </c>
      <c r="F92" s="1">
        <v>202844355</v>
      </c>
      <c r="G92" s="1">
        <v>198973908</v>
      </c>
      <c r="H92" s="1">
        <v>195732622</v>
      </c>
      <c r="I92" s="1">
        <v>193475738</v>
      </c>
      <c r="J92" s="1">
        <v>190795183</v>
      </c>
      <c r="K92" s="1">
        <v>188062256</v>
      </c>
      <c r="L92" s="1">
        <v>185333417</v>
      </c>
      <c r="M92" s="1">
        <v>183028292</v>
      </c>
      <c r="N92" s="1">
        <v>180090002</v>
      </c>
      <c r="O92" s="1">
        <v>177926919</v>
      </c>
      <c r="P92" s="1">
        <v>175414520</v>
      </c>
      <c r="Q92" s="1">
        <v>173355114</v>
      </c>
      <c r="R92" s="1">
        <v>170737311</v>
      </c>
      <c r="S92" s="1">
        <v>168529047</v>
      </c>
      <c r="T92" s="1">
        <v>166498646</v>
      </c>
      <c r="U92" s="1">
        <v>164479872</v>
      </c>
      <c r="V92" s="1">
        <v>162288205</v>
      </c>
      <c r="W92" s="1">
        <v>160280450</v>
      </c>
      <c r="X92" s="1">
        <v>157885233</v>
      </c>
      <c r="Y92" s="1">
        <v>155516974</v>
      </c>
      <c r="Z92" s="1">
        <v>153174788</v>
      </c>
      <c r="AA92" s="1">
        <v>150857798</v>
      </c>
      <c r="AB92" s="1">
        <v>148565128</v>
      </c>
      <c r="AC92" s="1">
        <v>146096622</v>
      </c>
      <c r="AD92" s="1">
        <v>143656740</v>
      </c>
      <c r="AE92" s="1">
        <v>141244928</v>
      </c>
      <c r="AF92" s="1">
        <v>138860651</v>
      </c>
      <c r="AG92" s="1">
        <v>136503385</v>
      </c>
      <c r="AH92" s="1">
        <v>134172618</v>
      </c>
      <c r="AI92" s="1">
        <v>131867857</v>
      </c>
      <c r="AJ92" s="1">
        <v>129588621</v>
      </c>
      <c r="AK92" s="1">
        <v>127334444</v>
      </c>
      <c r="AL92" s="1">
        <v>125104876</v>
      </c>
      <c r="AM92" s="1">
        <v>122899482</v>
      </c>
      <c r="AO92" s="7">
        <f t="shared" ref="AO92:AO94" si="120">+O92-C92</f>
        <v>-30459555</v>
      </c>
      <c r="AP92" s="8">
        <f t="shared" ref="AP92:AP94" si="121">+(O92/C92)-1</f>
        <v>-0.1461685800202176</v>
      </c>
      <c r="AQ92" s="12">
        <f t="shared" ref="AQ92:AQ94" si="122">+(AA92-O92)</f>
        <v>-27069121</v>
      </c>
      <c r="AR92" s="13">
        <f t="shared" ref="AR92:AR94" si="123">+(AA92/O92)-1</f>
        <v>-0.15213617563961757</v>
      </c>
      <c r="AS92" s="17">
        <f t="shared" ref="AS92:AS94" si="124">+AM92-AA92</f>
        <v>-27958316</v>
      </c>
      <c r="AT92" s="18">
        <f t="shared" ref="AT92:AT94" si="125">+(AM92/AA92)-1</f>
        <v>-0.18532894136503308</v>
      </c>
    </row>
    <row r="93" spans="1:46" ht="14.25" customHeight="1">
      <c r="A93" t="s">
        <v>77</v>
      </c>
      <c r="B93">
        <v>710131</v>
      </c>
      <c r="C93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O93" s="7">
        <f t="shared" si="120"/>
        <v>0</v>
      </c>
      <c r="AP93" s="8" t="e">
        <f t="shared" si="121"/>
        <v>#DIV/0!</v>
      </c>
      <c r="AQ93" s="12">
        <f t="shared" si="122"/>
        <v>0</v>
      </c>
      <c r="AR93" s="13" t="e">
        <f t="shared" si="123"/>
        <v>#DIV/0!</v>
      </c>
      <c r="AS93" s="17">
        <f t="shared" si="124"/>
        <v>0</v>
      </c>
      <c r="AT93" s="18" t="e">
        <f t="shared" si="125"/>
        <v>#DIV/0!</v>
      </c>
    </row>
    <row r="94" spans="1:46" ht="14.25" customHeight="1">
      <c r="A94" t="s">
        <v>78</v>
      </c>
      <c r="B94">
        <v>710132</v>
      </c>
      <c r="C94">
        <v>-25445195</v>
      </c>
      <c r="D94" s="1">
        <v>-25299634</v>
      </c>
      <c r="E94" s="1">
        <v>-25118339</v>
      </c>
      <c r="F94" s="1">
        <v>-24967054</v>
      </c>
      <c r="G94" s="1">
        <v>-24783270</v>
      </c>
      <c r="H94" s="1">
        <v>-24561344</v>
      </c>
      <c r="I94" s="1">
        <v>-24412058</v>
      </c>
      <c r="J94" s="1">
        <v>-24170561</v>
      </c>
      <c r="K94" s="1">
        <v>-23876953</v>
      </c>
      <c r="L94" s="1">
        <v>-23645841</v>
      </c>
      <c r="M94" s="1">
        <v>-23437039</v>
      </c>
      <c r="N94" s="1">
        <v>-23187310</v>
      </c>
      <c r="O94" s="1">
        <v>-22997068</v>
      </c>
      <c r="P94" s="1">
        <v>-22823277</v>
      </c>
      <c r="Q94" s="1">
        <v>-22641358</v>
      </c>
      <c r="R94" s="1">
        <v>-22398547</v>
      </c>
      <c r="S94" s="1">
        <v>-22154473</v>
      </c>
      <c r="T94" s="1">
        <v>-21966770</v>
      </c>
      <c r="U94" s="1">
        <v>-21748190</v>
      </c>
      <c r="V94" s="1">
        <v>-21488865</v>
      </c>
      <c r="W94" s="1">
        <v>-21292107</v>
      </c>
      <c r="X94" s="1">
        <v>-21142360</v>
      </c>
      <c r="Y94" s="1">
        <v>-20983295</v>
      </c>
      <c r="Z94" s="1">
        <v>-20814611</v>
      </c>
      <c r="AA94" s="1">
        <v>-20636008</v>
      </c>
      <c r="AB94" s="1">
        <v>-20447179</v>
      </c>
      <c r="AC94" s="1">
        <v>-20048523</v>
      </c>
      <c r="AD94" s="1">
        <v>-19645051</v>
      </c>
      <c r="AE94" s="1">
        <v>-19236751</v>
      </c>
      <c r="AF94" s="1">
        <v>-18823616</v>
      </c>
      <c r="AG94" s="1">
        <v>-18405647</v>
      </c>
      <c r="AH94" s="1">
        <v>-17982846</v>
      </c>
      <c r="AI94" s="1">
        <v>-17555226</v>
      </c>
      <c r="AJ94" s="1">
        <v>-17122804</v>
      </c>
      <c r="AK94" s="1">
        <v>-16685605</v>
      </c>
      <c r="AL94" s="1">
        <v>-16243660</v>
      </c>
      <c r="AM94" s="1">
        <v>-15797008</v>
      </c>
      <c r="AO94" s="7">
        <f t="shared" si="120"/>
        <v>2448127</v>
      </c>
      <c r="AP94" s="8">
        <f t="shared" si="121"/>
        <v>-9.6211760216418085E-2</v>
      </c>
      <c r="AQ94" s="12">
        <f t="shared" si="122"/>
        <v>2361060</v>
      </c>
      <c r="AR94" s="13">
        <f t="shared" si="123"/>
        <v>-0.10266787053027804</v>
      </c>
      <c r="AS94" s="17">
        <f t="shared" si="124"/>
        <v>4839000</v>
      </c>
      <c r="AT94" s="18">
        <f t="shared" si="125"/>
        <v>-0.23449302791508897</v>
      </c>
    </row>
    <row r="95" spans="1:46" ht="14.25" customHeight="1">
      <c r="A95" t="s">
        <v>11</v>
      </c>
      <c r="B95" t="s">
        <v>12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46">
      <c r="A96" t="s">
        <v>79</v>
      </c>
      <c r="C96">
        <v>182941279</v>
      </c>
      <c r="D96" s="1">
        <v>182017034</v>
      </c>
      <c r="E96" s="1">
        <v>180602502</v>
      </c>
      <c r="F96" s="1">
        <v>177877301</v>
      </c>
      <c r="G96" s="1">
        <v>174190638</v>
      </c>
      <c r="H96" s="1">
        <v>171171278</v>
      </c>
      <c r="I96" s="1">
        <v>169063680</v>
      </c>
      <c r="J96" s="1">
        <v>166624622</v>
      </c>
      <c r="K96" s="1">
        <v>164185302</v>
      </c>
      <c r="L96" s="1">
        <v>161687576</v>
      </c>
      <c r="M96" s="1">
        <v>159591253</v>
      </c>
      <c r="N96" s="1">
        <v>156902692</v>
      </c>
      <c r="O96" s="1">
        <v>154929851</v>
      </c>
      <c r="P96" s="1">
        <v>152591244</v>
      </c>
      <c r="Q96" s="1">
        <v>150713756</v>
      </c>
      <c r="R96" s="1">
        <v>148338764</v>
      </c>
      <c r="S96" s="1">
        <v>146374574</v>
      </c>
      <c r="T96" s="1">
        <v>144531876</v>
      </c>
      <c r="U96" s="1">
        <v>142731683</v>
      </c>
      <c r="V96" s="1">
        <v>140799340</v>
      </c>
      <c r="W96" s="1">
        <v>138988343</v>
      </c>
      <c r="X96" s="1">
        <v>136742872</v>
      </c>
      <c r="Y96" s="1">
        <v>134533679</v>
      </c>
      <c r="Z96" s="1">
        <v>132360177</v>
      </c>
      <c r="AA96" s="1">
        <v>130221789</v>
      </c>
      <c r="AB96" s="1">
        <v>128117949</v>
      </c>
      <c r="AC96" s="1">
        <v>126048099</v>
      </c>
      <c r="AD96" s="1">
        <v>124011688</v>
      </c>
      <c r="AE96" s="1">
        <v>122008177</v>
      </c>
      <c r="AF96" s="1">
        <v>120037035</v>
      </c>
      <c r="AG96" s="1">
        <v>118097738</v>
      </c>
      <c r="AH96" s="1">
        <v>116189772</v>
      </c>
      <c r="AI96" s="1">
        <v>114312631</v>
      </c>
      <c r="AJ96" s="1">
        <v>112465817</v>
      </c>
      <c r="AK96" s="1">
        <v>110648839</v>
      </c>
      <c r="AL96" s="1">
        <v>108861216</v>
      </c>
      <c r="AM96" s="1">
        <v>107102474</v>
      </c>
      <c r="AO96" s="7">
        <f t="shared" ref="AO96" si="126">+O96-C96</f>
        <v>-28011428</v>
      </c>
      <c r="AP96" s="8">
        <f t="shared" ref="AP96" si="127">+(O96/C96)-1</f>
        <v>-0.15311704473215149</v>
      </c>
      <c r="AQ96" s="12">
        <f t="shared" ref="AQ96" si="128">+(AA96-O96)</f>
        <v>-24708062</v>
      </c>
      <c r="AR96" s="13">
        <f t="shared" ref="AR96" si="129">+(AA96/O96)-1</f>
        <v>-0.15947902770525479</v>
      </c>
      <c r="AS96" s="17">
        <f t="shared" ref="AS96" si="130">+AM96-AA96</f>
        <v>-23119315</v>
      </c>
      <c r="AT96" s="18">
        <f t="shared" ref="AT96" si="131">+(AM96/AA96)-1</f>
        <v>-0.17753799250907232</v>
      </c>
    </row>
    <row r="97" spans="1:46" ht="14.25" customHeight="1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46" ht="14.25" customHeight="1">
      <c r="A98" t="s">
        <v>80</v>
      </c>
      <c r="B98">
        <v>710205</v>
      </c>
      <c r="C98">
        <v>12372683</v>
      </c>
      <c r="D98" s="1">
        <v>12053317</v>
      </c>
      <c r="E98" s="1">
        <v>11905056</v>
      </c>
      <c r="F98" s="1">
        <v>11848121</v>
      </c>
      <c r="G98" s="1">
        <v>11562656</v>
      </c>
      <c r="H98" s="1">
        <v>11571808</v>
      </c>
      <c r="I98" s="1">
        <v>11459979</v>
      </c>
      <c r="J98" s="1">
        <v>11386607</v>
      </c>
      <c r="K98" s="1">
        <v>11384548</v>
      </c>
      <c r="L98" s="1">
        <v>11723715</v>
      </c>
      <c r="M98" s="1">
        <v>11536521</v>
      </c>
      <c r="N98" s="1">
        <v>12066120</v>
      </c>
      <c r="O98" s="1">
        <v>12439921</v>
      </c>
      <c r="P98" s="1">
        <v>12336120</v>
      </c>
      <c r="Q98" s="1">
        <v>12558118</v>
      </c>
      <c r="R98" s="1">
        <v>12829081</v>
      </c>
      <c r="S98" s="1">
        <v>13206852</v>
      </c>
      <c r="T98" s="1">
        <v>13438007</v>
      </c>
      <c r="U98" s="1">
        <v>13652250</v>
      </c>
      <c r="V98" s="1">
        <v>13629920</v>
      </c>
      <c r="W98" s="1">
        <v>13643020</v>
      </c>
      <c r="X98" s="1">
        <v>10047512</v>
      </c>
      <c r="Y98" s="1">
        <v>10388951</v>
      </c>
      <c r="Z98" s="1">
        <v>10713635</v>
      </c>
      <c r="AA98" s="1">
        <v>11007251</v>
      </c>
      <c r="AB98" s="1">
        <v>11365237</v>
      </c>
      <c r="AC98" s="1">
        <v>11645728</v>
      </c>
      <c r="AD98" s="1">
        <v>12002600</v>
      </c>
      <c r="AE98" s="1">
        <v>12649839</v>
      </c>
      <c r="AF98" s="1">
        <v>12972127</v>
      </c>
      <c r="AG98" s="1">
        <v>13258456</v>
      </c>
      <c r="AH98" s="1">
        <v>13556679</v>
      </c>
      <c r="AI98" s="1">
        <v>13845572</v>
      </c>
      <c r="AJ98" s="1">
        <v>14158498</v>
      </c>
      <c r="AK98" s="1">
        <v>14300720</v>
      </c>
      <c r="AL98" s="1">
        <v>14490876</v>
      </c>
      <c r="AM98" s="1">
        <v>14563453</v>
      </c>
      <c r="AO98" s="7">
        <f t="shared" ref="AO98:AO104" si="132">+O98-C98</f>
        <v>67238</v>
      </c>
      <c r="AP98" s="8">
        <f t="shared" ref="AP98:AP104" si="133">+(O98/C98)-1</f>
        <v>5.4343912310692577E-3</v>
      </c>
      <c r="AQ98" s="12">
        <f t="shared" ref="AQ98:AQ104" si="134">+(AA98-O98)</f>
        <v>-1432670</v>
      </c>
      <c r="AR98" s="13">
        <f t="shared" ref="AR98:AR104" si="135">+(AA98/O98)-1</f>
        <v>-0.11516713008064927</v>
      </c>
      <c r="AS98" s="17">
        <f t="shared" ref="AS98:AS104" si="136">+AM98-AA98</f>
        <v>3556202</v>
      </c>
      <c r="AT98" s="18">
        <f t="shared" ref="AT98:AT104" si="137">+(AM98/AA98)-1</f>
        <v>0.32307812368410604</v>
      </c>
    </row>
    <row r="99" spans="1:46" ht="14.25" customHeight="1">
      <c r="A99" t="s">
        <v>81</v>
      </c>
      <c r="B99">
        <v>710210</v>
      </c>
      <c r="C99">
        <v>57858915</v>
      </c>
      <c r="D99" s="1">
        <v>57015496</v>
      </c>
      <c r="E99" s="1">
        <v>55860195</v>
      </c>
      <c r="F99" s="1">
        <v>55251212</v>
      </c>
      <c r="G99" s="1">
        <v>54465543</v>
      </c>
      <c r="H99" s="1">
        <v>53637923</v>
      </c>
      <c r="I99" s="1">
        <v>53245510</v>
      </c>
      <c r="J99" s="1">
        <v>52578943</v>
      </c>
      <c r="K99" s="1">
        <v>52721089</v>
      </c>
      <c r="L99" s="1">
        <v>52294569</v>
      </c>
      <c r="M99" s="1">
        <v>52542819</v>
      </c>
      <c r="N99" s="1">
        <v>52846786</v>
      </c>
      <c r="O99" s="1">
        <v>52669042</v>
      </c>
      <c r="P99" s="1">
        <v>53552601</v>
      </c>
      <c r="Q99" s="1">
        <v>54206480</v>
      </c>
      <c r="R99" s="1">
        <v>55269483</v>
      </c>
      <c r="S99" s="1">
        <v>56929837</v>
      </c>
      <c r="T99" s="1">
        <v>57264083</v>
      </c>
      <c r="U99" s="1">
        <v>58525950</v>
      </c>
      <c r="V99" s="1">
        <v>59041771</v>
      </c>
      <c r="W99" s="1">
        <v>59972756</v>
      </c>
      <c r="X99" s="1">
        <v>45479922</v>
      </c>
      <c r="Y99" s="1">
        <v>46025689</v>
      </c>
      <c r="Z99" s="1">
        <v>47095598</v>
      </c>
      <c r="AA99" s="1">
        <v>48386294</v>
      </c>
      <c r="AB99" s="1">
        <v>49959948</v>
      </c>
      <c r="AC99" s="1">
        <v>51192949</v>
      </c>
      <c r="AD99" s="1">
        <v>52761705</v>
      </c>
      <c r="AE99" s="1">
        <v>55606873</v>
      </c>
      <c r="AF99" s="1">
        <v>57023606</v>
      </c>
      <c r="AG99" s="1">
        <v>58282266</v>
      </c>
      <c r="AH99" s="1">
        <v>59593214</v>
      </c>
      <c r="AI99" s="1">
        <v>60863143</v>
      </c>
      <c r="AJ99" s="1">
        <v>62238721</v>
      </c>
      <c r="AK99" s="1">
        <v>62863910</v>
      </c>
      <c r="AL99" s="1">
        <v>63699810</v>
      </c>
      <c r="AM99" s="1">
        <v>64018846</v>
      </c>
      <c r="AO99" s="7">
        <f t="shared" si="132"/>
        <v>-5189873</v>
      </c>
      <c r="AP99" s="8">
        <f t="shared" si="133"/>
        <v>-8.9698761202141486E-2</v>
      </c>
      <c r="AQ99" s="12">
        <f t="shared" si="134"/>
        <v>-4282748</v>
      </c>
      <c r="AR99" s="13">
        <f t="shared" si="135"/>
        <v>-8.1314332620669227E-2</v>
      </c>
      <c r="AS99" s="17">
        <f t="shared" si="136"/>
        <v>15632552</v>
      </c>
      <c r="AT99" s="18">
        <f t="shared" si="137"/>
        <v>0.32307810141442128</v>
      </c>
    </row>
    <row r="100" spans="1:46" ht="14.25" customHeight="1">
      <c r="A100" t="s">
        <v>82</v>
      </c>
      <c r="B100">
        <v>710215</v>
      </c>
      <c r="C100">
        <v>763347</v>
      </c>
      <c r="D100" s="1">
        <v>738254</v>
      </c>
      <c r="E100" s="1">
        <v>722181</v>
      </c>
      <c r="F100" s="1">
        <v>710424</v>
      </c>
      <c r="G100" s="1">
        <v>725067</v>
      </c>
      <c r="H100" s="1">
        <v>680287</v>
      </c>
      <c r="I100" s="1">
        <v>694577</v>
      </c>
      <c r="J100" s="1">
        <v>694901</v>
      </c>
      <c r="K100" s="1">
        <v>713838</v>
      </c>
      <c r="L100" s="1">
        <v>708415</v>
      </c>
      <c r="M100" s="1">
        <v>699304</v>
      </c>
      <c r="N100" s="1">
        <v>703876</v>
      </c>
      <c r="O100" s="1">
        <v>653790</v>
      </c>
      <c r="P100" s="1">
        <v>649227</v>
      </c>
      <c r="Q100" s="1">
        <v>636730</v>
      </c>
      <c r="R100" s="1">
        <v>639640</v>
      </c>
      <c r="S100" s="1">
        <v>670963</v>
      </c>
      <c r="T100" s="1">
        <v>652136</v>
      </c>
      <c r="U100" s="1">
        <v>682032</v>
      </c>
      <c r="V100" s="1">
        <v>664819</v>
      </c>
      <c r="W100" s="1">
        <v>655752</v>
      </c>
      <c r="X100" s="1">
        <v>629342</v>
      </c>
      <c r="Y100" s="1">
        <v>620973</v>
      </c>
      <c r="Z100" s="1">
        <v>601815</v>
      </c>
      <c r="AA100" s="1">
        <v>578790</v>
      </c>
      <c r="AB100" s="1">
        <v>555688</v>
      </c>
      <c r="AC100" s="1">
        <v>559752</v>
      </c>
      <c r="AD100" s="1">
        <v>576905</v>
      </c>
      <c r="AE100" s="1">
        <v>608014</v>
      </c>
      <c r="AF100" s="1">
        <v>623505</v>
      </c>
      <c r="AG100" s="1">
        <v>637267</v>
      </c>
      <c r="AH100" s="1">
        <v>651602</v>
      </c>
      <c r="AI100" s="1">
        <v>665487</v>
      </c>
      <c r="AJ100" s="1">
        <v>680528</v>
      </c>
      <c r="AK100" s="1">
        <v>687364</v>
      </c>
      <c r="AL100" s="1">
        <v>696504</v>
      </c>
      <c r="AM100" s="1">
        <v>699992</v>
      </c>
      <c r="AO100" s="7">
        <f t="shared" si="132"/>
        <v>-109557</v>
      </c>
      <c r="AP100" s="8">
        <f t="shared" si="133"/>
        <v>-0.14352188454267845</v>
      </c>
      <c r="AQ100" s="12">
        <f t="shared" si="134"/>
        <v>-75000</v>
      </c>
      <c r="AR100" s="13">
        <f t="shared" si="135"/>
        <v>-0.11471573441013172</v>
      </c>
      <c r="AS100" s="17">
        <f t="shared" si="136"/>
        <v>121202</v>
      </c>
      <c r="AT100" s="18">
        <f t="shared" si="137"/>
        <v>0.20940582940271946</v>
      </c>
    </row>
    <row r="101" spans="1:46" ht="14.25" customHeight="1">
      <c r="A101" t="s">
        <v>83</v>
      </c>
      <c r="B101">
        <v>710220</v>
      </c>
      <c r="C101">
        <v>561799</v>
      </c>
      <c r="D101" s="1">
        <v>545740</v>
      </c>
      <c r="E101" s="1">
        <v>560598</v>
      </c>
      <c r="F101" s="1">
        <v>559268</v>
      </c>
      <c r="G101" s="1">
        <v>553514</v>
      </c>
      <c r="H101" s="1">
        <v>516137</v>
      </c>
      <c r="I101" s="1">
        <v>552997</v>
      </c>
      <c r="J101" s="1">
        <v>552878</v>
      </c>
      <c r="K101" s="1">
        <v>532096</v>
      </c>
      <c r="L101" s="1">
        <v>515279</v>
      </c>
      <c r="M101" s="1">
        <v>509128</v>
      </c>
      <c r="N101" s="1">
        <v>517894</v>
      </c>
      <c r="O101" s="1">
        <v>503296</v>
      </c>
      <c r="P101" s="1">
        <v>476202</v>
      </c>
      <c r="Q101" s="1">
        <v>429504</v>
      </c>
      <c r="R101" s="1">
        <v>389813</v>
      </c>
      <c r="S101" s="1">
        <v>382311</v>
      </c>
      <c r="T101" s="1">
        <v>370969</v>
      </c>
      <c r="U101" s="1">
        <v>373714</v>
      </c>
      <c r="V101" s="1">
        <v>376056</v>
      </c>
      <c r="W101" s="1">
        <v>363714</v>
      </c>
      <c r="X101" s="1">
        <v>348867</v>
      </c>
      <c r="Y101" s="1">
        <v>347370</v>
      </c>
      <c r="Z101" s="1">
        <v>339417</v>
      </c>
      <c r="AA101" s="1">
        <v>328461</v>
      </c>
      <c r="AB101" s="1">
        <v>317282</v>
      </c>
      <c r="AC101" s="1">
        <v>310467</v>
      </c>
      <c r="AD101" s="1">
        <v>319981</v>
      </c>
      <c r="AE101" s="1">
        <v>337236</v>
      </c>
      <c r="AF101" s="1">
        <v>345828</v>
      </c>
      <c r="AG101" s="1">
        <v>353462</v>
      </c>
      <c r="AH101" s="1">
        <v>361412</v>
      </c>
      <c r="AI101" s="1">
        <v>369114</v>
      </c>
      <c r="AJ101" s="1">
        <v>377456</v>
      </c>
      <c r="AK101" s="1">
        <v>381248</v>
      </c>
      <c r="AL101" s="1">
        <v>386317</v>
      </c>
      <c r="AM101" s="1">
        <v>388252</v>
      </c>
      <c r="AO101" s="7">
        <f t="shared" si="132"/>
        <v>-58503</v>
      </c>
      <c r="AP101" s="8">
        <f t="shared" si="133"/>
        <v>-0.10413510882005839</v>
      </c>
      <c r="AQ101" s="12">
        <f t="shared" si="134"/>
        <v>-174835</v>
      </c>
      <c r="AR101" s="13">
        <f t="shared" si="135"/>
        <v>-0.34738007057477116</v>
      </c>
      <c r="AS101" s="17">
        <f t="shared" si="136"/>
        <v>59791</v>
      </c>
      <c r="AT101" s="18">
        <f t="shared" si="137"/>
        <v>0.1820337878774041</v>
      </c>
    </row>
    <row r="102" spans="1:46" ht="14.25" customHeight="1">
      <c r="A102" t="s">
        <v>84</v>
      </c>
      <c r="B102">
        <v>710225</v>
      </c>
      <c r="C102">
        <v>11867024</v>
      </c>
      <c r="D102" s="1">
        <v>11597276</v>
      </c>
      <c r="E102" s="1">
        <v>11439881</v>
      </c>
      <c r="F102" s="1">
        <v>11430598</v>
      </c>
      <c r="G102" s="1">
        <v>11385202</v>
      </c>
      <c r="H102" s="1">
        <v>11123615</v>
      </c>
      <c r="I102" s="1">
        <v>11126289</v>
      </c>
      <c r="J102" s="1">
        <v>10835204</v>
      </c>
      <c r="K102" s="1">
        <v>10626149</v>
      </c>
      <c r="L102" s="1">
        <v>10477820</v>
      </c>
      <c r="M102" s="1">
        <v>10199946</v>
      </c>
      <c r="N102" s="1">
        <v>10091188</v>
      </c>
      <c r="O102" s="1">
        <v>10073446</v>
      </c>
      <c r="P102" s="1">
        <v>9759348</v>
      </c>
      <c r="Q102" s="1">
        <v>9649269</v>
      </c>
      <c r="R102" s="1">
        <v>9603972</v>
      </c>
      <c r="S102" s="1">
        <v>9489635</v>
      </c>
      <c r="T102" s="1">
        <v>9440455</v>
      </c>
      <c r="U102" s="1">
        <v>9297133</v>
      </c>
      <c r="V102" s="1">
        <v>9147279</v>
      </c>
      <c r="W102" s="1">
        <v>9152421</v>
      </c>
      <c r="X102" s="1">
        <v>9139435</v>
      </c>
      <c r="Y102" s="1">
        <v>9301406</v>
      </c>
      <c r="Z102" s="1">
        <v>9321987</v>
      </c>
      <c r="AA102" s="1">
        <v>9281120</v>
      </c>
      <c r="AB102" s="1">
        <v>9250081</v>
      </c>
      <c r="AC102" s="1">
        <v>9164688</v>
      </c>
      <c r="AD102" s="1">
        <v>9079069</v>
      </c>
      <c r="AE102" s="1">
        <v>9002845</v>
      </c>
      <c r="AF102" s="1">
        <v>8902296</v>
      </c>
      <c r="AG102" s="1">
        <v>8894435</v>
      </c>
      <c r="AH102" s="1">
        <v>9094499</v>
      </c>
      <c r="AI102" s="1">
        <v>9288302</v>
      </c>
      <c r="AJ102" s="1">
        <v>9498229</v>
      </c>
      <c r="AK102" s="1">
        <v>9593638</v>
      </c>
      <c r="AL102" s="1">
        <v>9721205</v>
      </c>
      <c r="AM102" s="1">
        <v>9769893</v>
      </c>
      <c r="AO102" s="7">
        <f t="shared" si="132"/>
        <v>-1793578</v>
      </c>
      <c r="AP102" s="8">
        <f t="shared" si="133"/>
        <v>-0.15113966231129217</v>
      </c>
      <c r="AQ102" s="12">
        <f t="shared" si="134"/>
        <v>-792326</v>
      </c>
      <c r="AR102" s="13">
        <f t="shared" si="135"/>
        <v>-7.8654911139643735E-2</v>
      </c>
      <c r="AS102" s="17">
        <f t="shared" si="136"/>
        <v>488773</v>
      </c>
      <c r="AT102" s="18">
        <f t="shared" si="137"/>
        <v>5.2663148413122585E-2</v>
      </c>
    </row>
    <row r="103" spans="1:46" ht="14.25" customHeight="1">
      <c r="A103" t="s">
        <v>85</v>
      </c>
      <c r="B103">
        <v>710230</v>
      </c>
      <c r="C103">
        <v>21598889</v>
      </c>
      <c r="D103" s="1">
        <v>21486213</v>
      </c>
      <c r="E103" s="1">
        <v>21311168</v>
      </c>
      <c r="F103" s="1">
        <v>21276978</v>
      </c>
      <c r="G103" s="1">
        <v>21242703</v>
      </c>
      <c r="H103" s="1">
        <v>21503620</v>
      </c>
      <c r="I103" s="1">
        <v>21296331</v>
      </c>
      <c r="J103" s="1">
        <v>21388084</v>
      </c>
      <c r="K103" s="1">
        <v>21064187</v>
      </c>
      <c r="L103" s="1">
        <v>20811733</v>
      </c>
      <c r="M103" s="1">
        <v>20558195</v>
      </c>
      <c r="N103" s="1">
        <v>20433547</v>
      </c>
      <c r="O103" s="1">
        <v>20049569</v>
      </c>
      <c r="P103" s="1">
        <v>19796644</v>
      </c>
      <c r="Q103" s="1">
        <v>19657746</v>
      </c>
      <c r="R103" s="1">
        <v>19577153</v>
      </c>
      <c r="S103" s="1">
        <v>19434594</v>
      </c>
      <c r="T103" s="1">
        <v>19651582</v>
      </c>
      <c r="U103" s="1">
        <v>19760780</v>
      </c>
      <c r="V103" s="1">
        <v>19517651</v>
      </c>
      <c r="W103" s="1">
        <v>19761183</v>
      </c>
      <c r="X103" s="1">
        <v>19810242</v>
      </c>
      <c r="Y103" s="1">
        <v>20163206</v>
      </c>
      <c r="Z103" s="1">
        <v>20212683</v>
      </c>
      <c r="AA103" s="1">
        <v>20134780</v>
      </c>
      <c r="AB103" s="1">
        <v>20078941</v>
      </c>
      <c r="AC103" s="1">
        <v>19905952</v>
      </c>
      <c r="AD103" s="1">
        <v>19733528</v>
      </c>
      <c r="AE103" s="1">
        <v>19581828</v>
      </c>
      <c r="AF103" s="1">
        <v>19395751</v>
      </c>
      <c r="AG103" s="1">
        <v>19211297</v>
      </c>
      <c r="AH103" s="1">
        <v>19636123</v>
      </c>
      <c r="AI103" s="1">
        <v>20054567</v>
      </c>
      <c r="AJ103" s="1">
        <v>20507824</v>
      </c>
      <c r="AK103" s="1">
        <v>20713826</v>
      </c>
      <c r="AL103" s="1">
        <v>20989257</v>
      </c>
      <c r="AM103" s="1">
        <v>21094380</v>
      </c>
      <c r="AO103" s="7">
        <f t="shared" si="132"/>
        <v>-1549320</v>
      </c>
      <c r="AP103" s="8">
        <f t="shared" si="133"/>
        <v>-7.1731467299081864E-2</v>
      </c>
      <c r="AQ103" s="12">
        <f t="shared" si="134"/>
        <v>85211</v>
      </c>
      <c r="AR103" s="13">
        <f t="shared" si="135"/>
        <v>4.2500165464902651E-3</v>
      </c>
      <c r="AS103" s="17">
        <f t="shared" si="136"/>
        <v>959600</v>
      </c>
      <c r="AT103" s="18">
        <f t="shared" si="137"/>
        <v>4.7658827163743478E-2</v>
      </c>
    </row>
    <row r="104" spans="1:46" ht="14.25" customHeight="1">
      <c r="A104" t="s">
        <v>86</v>
      </c>
      <c r="B104">
        <v>710235</v>
      </c>
      <c r="C104">
        <v>7884792</v>
      </c>
      <c r="D104" s="1">
        <v>7785223</v>
      </c>
      <c r="E104" s="1">
        <v>7637338</v>
      </c>
      <c r="F104" s="1">
        <v>7515591</v>
      </c>
      <c r="G104" s="1">
        <v>7436099</v>
      </c>
      <c r="H104" s="1">
        <v>7232808</v>
      </c>
      <c r="I104" s="1">
        <v>7130678</v>
      </c>
      <c r="J104" s="1">
        <v>7245662</v>
      </c>
      <c r="K104" s="1">
        <v>7228435</v>
      </c>
      <c r="L104" s="1">
        <v>6907095</v>
      </c>
      <c r="M104" s="1">
        <v>6724586</v>
      </c>
      <c r="N104" s="1">
        <v>6526432</v>
      </c>
      <c r="O104" s="1">
        <v>6402818</v>
      </c>
      <c r="P104" s="1">
        <v>6327409</v>
      </c>
      <c r="Q104" s="1">
        <v>6325649</v>
      </c>
      <c r="R104" s="1">
        <v>6280698</v>
      </c>
      <c r="S104" s="1">
        <v>6224815</v>
      </c>
      <c r="T104" s="1">
        <v>6255185</v>
      </c>
      <c r="U104" s="1">
        <v>6042643</v>
      </c>
      <c r="V104" s="1">
        <v>6074152</v>
      </c>
      <c r="W104" s="1">
        <v>5912113</v>
      </c>
      <c r="X104" s="1">
        <v>5812385</v>
      </c>
      <c r="Y104" s="1">
        <v>5897451</v>
      </c>
      <c r="Z104" s="1">
        <v>5884454</v>
      </c>
      <c r="AA104" s="1">
        <v>5826525</v>
      </c>
      <c r="AB104" s="1">
        <v>5767104</v>
      </c>
      <c r="AC104" s="1">
        <v>5679631</v>
      </c>
      <c r="AD104" s="1">
        <v>5591848</v>
      </c>
      <c r="AE104" s="1">
        <v>5509589</v>
      </c>
      <c r="AF104" s="1">
        <v>5621386</v>
      </c>
      <c r="AG104" s="1">
        <v>5745465</v>
      </c>
      <c r="AH104" s="1">
        <v>5874698</v>
      </c>
      <c r="AI104" s="1">
        <v>5999887</v>
      </c>
      <c r="AJ104" s="1">
        <v>6135492</v>
      </c>
      <c r="AK104" s="1">
        <v>6197123</v>
      </c>
      <c r="AL104" s="1">
        <v>6279526</v>
      </c>
      <c r="AM104" s="1">
        <v>6310976</v>
      </c>
      <c r="AO104" s="7">
        <f t="shared" si="132"/>
        <v>-1481974</v>
      </c>
      <c r="AP104" s="8">
        <f t="shared" si="133"/>
        <v>-0.18795346789109968</v>
      </c>
      <c r="AQ104" s="12">
        <f t="shared" si="134"/>
        <v>-576293</v>
      </c>
      <c r="AR104" s="13">
        <f t="shared" si="135"/>
        <v>-9.0006150416894526E-2</v>
      </c>
      <c r="AS104" s="17">
        <f t="shared" si="136"/>
        <v>484451</v>
      </c>
      <c r="AT104" s="18">
        <f t="shared" si="137"/>
        <v>8.3145785867219324E-2</v>
      </c>
    </row>
    <row r="105" spans="1:46" ht="14.25" customHeight="1">
      <c r="A105" t="s">
        <v>11</v>
      </c>
      <c r="B105" t="s">
        <v>12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O105" s="7"/>
      <c r="AP105" s="8"/>
      <c r="AQ105" s="12"/>
      <c r="AR105" s="13"/>
      <c r="AS105" s="17"/>
      <c r="AT105" s="18"/>
    </row>
    <row r="106" spans="1:46">
      <c r="A106" t="s">
        <v>87</v>
      </c>
      <c r="C106">
        <v>112907448</v>
      </c>
      <c r="D106" s="1">
        <v>111221519</v>
      </c>
      <c r="E106" s="1">
        <v>109436417</v>
      </c>
      <c r="F106" s="1">
        <v>108592191</v>
      </c>
      <c r="G106" s="1">
        <v>107370783</v>
      </c>
      <c r="H106" s="1">
        <v>106266198</v>
      </c>
      <c r="I106" s="1">
        <v>105506361</v>
      </c>
      <c r="J106" s="1">
        <v>104682278</v>
      </c>
      <c r="K106" s="1">
        <v>104270342</v>
      </c>
      <c r="L106" s="1">
        <v>103438626</v>
      </c>
      <c r="M106" s="1">
        <v>102770499</v>
      </c>
      <c r="N106" s="1">
        <v>103185843</v>
      </c>
      <c r="O106" s="1">
        <v>102791881</v>
      </c>
      <c r="P106" s="1">
        <v>102897551</v>
      </c>
      <c r="Q106" s="1">
        <v>103463496</v>
      </c>
      <c r="R106" s="1">
        <v>104589840</v>
      </c>
      <c r="S106" s="1">
        <v>106339006</v>
      </c>
      <c r="T106" s="1">
        <v>107072417</v>
      </c>
      <c r="U106" s="1">
        <v>108334500</v>
      </c>
      <c r="V106" s="1">
        <v>108451650</v>
      </c>
      <c r="W106" s="1">
        <v>109460959</v>
      </c>
      <c r="X106" s="1">
        <v>91267704</v>
      </c>
      <c r="Y106" s="1">
        <v>92745045</v>
      </c>
      <c r="Z106" s="1">
        <v>94169589</v>
      </c>
      <c r="AA106" s="1">
        <v>95543222</v>
      </c>
      <c r="AB106" s="1">
        <v>97294281</v>
      </c>
      <c r="AC106" s="1">
        <v>98459167</v>
      </c>
      <c r="AD106" s="1">
        <v>100065636</v>
      </c>
      <c r="AE106" s="1">
        <v>103296225</v>
      </c>
      <c r="AF106" s="1">
        <v>104884499</v>
      </c>
      <c r="AG106" s="1">
        <v>106382647</v>
      </c>
      <c r="AH106" s="1">
        <v>108768226</v>
      </c>
      <c r="AI106" s="1">
        <v>111086072</v>
      </c>
      <c r="AJ106" s="1">
        <v>113596747</v>
      </c>
      <c r="AK106" s="1">
        <v>114737829</v>
      </c>
      <c r="AL106" s="1">
        <v>116263495</v>
      </c>
      <c r="AM106" s="1">
        <v>116845792</v>
      </c>
      <c r="AO106" s="7">
        <f t="shared" ref="AO106" si="138">+O106-C106</f>
        <v>-10115567</v>
      </c>
      <c r="AP106" s="8">
        <f t="shared" ref="AP106" si="139">+(O106/C106)-1</f>
        <v>-8.9591671578654442E-2</v>
      </c>
      <c r="AQ106" s="12">
        <f t="shared" ref="AQ106" si="140">+(AA106-O106)</f>
        <v>-7248659</v>
      </c>
      <c r="AR106" s="13">
        <f t="shared" ref="AR106" si="141">+(AA106/O106)-1</f>
        <v>-7.0517816480077822E-2</v>
      </c>
      <c r="AS106" s="17">
        <f t="shared" ref="AS106" si="142">+AM106-AA106</f>
        <v>21302570</v>
      </c>
      <c r="AT106" s="18">
        <f t="shared" ref="AT106" si="143">+(AM106/AA106)-1</f>
        <v>0.22296265034896989</v>
      </c>
    </row>
    <row r="107" spans="1:46" ht="14.25" customHeight="1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O107" s="7"/>
      <c r="AP107" s="8"/>
      <c r="AQ107" s="12"/>
      <c r="AR107" s="13"/>
      <c r="AS107" s="17"/>
      <c r="AT107" s="18"/>
    </row>
    <row r="108" spans="1:46" ht="14.25" customHeight="1">
      <c r="A108" t="s">
        <v>88</v>
      </c>
      <c r="B108">
        <v>710302</v>
      </c>
      <c r="C108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O108" s="7">
        <f t="shared" ref="AO108:AO151" si="144">+O108-C108</f>
        <v>0</v>
      </c>
      <c r="AP108" s="8" t="e">
        <f t="shared" ref="AP108:AP151" si="145">+(O108/C108)-1</f>
        <v>#DIV/0!</v>
      </c>
      <c r="AQ108" s="12">
        <f t="shared" ref="AQ108:AQ151" si="146">+(AA108-O108)</f>
        <v>0</v>
      </c>
      <c r="AR108" s="13" t="e">
        <f t="shared" ref="AR108:AR151" si="147">+(AA108/O108)-1</f>
        <v>#DIV/0!</v>
      </c>
      <c r="AS108" s="17">
        <f t="shared" ref="AS108:AS151" si="148">+AM108-AA108</f>
        <v>0</v>
      </c>
      <c r="AT108" s="18" t="e">
        <f t="shared" ref="AT108:AT151" si="149">+(AM108/AA108)-1</f>
        <v>#DIV/0!</v>
      </c>
    </row>
    <row r="109" spans="1:46" ht="14.25" customHeight="1">
      <c r="A109" t="s">
        <v>89</v>
      </c>
      <c r="B109">
        <v>710303</v>
      </c>
      <c r="C109">
        <v>235977</v>
      </c>
      <c r="D109" s="1">
        <v>228160</v>
      </c>
      <c r="E109" s="1">
        <v>220323</v>
      </c>
      <c r="F109" s="1">
        <v>212466</v>
      </c>
      <c r="G109" s="1">
        <v>204588</v>
      </c>
      <c r="H109" s="1">
        <v>194759</v>
      </c>
      <c r="I109" s="1">
        <v>186836</v>
      </c>
      <c r="J109" s="1">
        <v>178892</v>
      </c>
      <c r="K109" s="1">
        <v>170928</v>
      </c>
      <c r="L109" s="1">
        <v>162943</v>
      </c>
      <c r="M109" s="1">
        <v>152571</v>
      </c>
      <c r="N109" s="1">
        <v>146514</v>
      </c>
      <c r="O109" s="1">
        <v>140442</v>
      </c>
      <c r="P109" s="1">
        <v>126815</v>
      </c>
      <c r="Q109" s="1">
        <v>120020</v>
      </c>
      <c r="R109" s="1">
        <v>113905</v>
      </c>
      <c r="S109" s="1">
        <v>107775</v>
      </c>
      <c r="T109" s="1">
        <v>101631</v>
      </c>
      <c r="U109" s="1">
        <v>94578</v>
      </c>
      <c r="V109" s="1">
        <v>89363</v>
      </c>
      <c r="W109" s="1">
        <v>80142</v>
      </c>
      <c r="X109" s="1">
        <v>80100</v>
      </c>
      <c r="Y109" s="1">
        <v>83371</v>
      </c>
      <c r="Z109" s="1">
        <v>83427</v>
      </c>
      <c r="AA109" s="1">
        <v>86089</v>
      </c>
      <c r="AB109" s="1">
        <v>85967</v>
      </c>
      <c r="AC109" s="1">
        <v>89352</v>
      </c>
      <c r="AD109" s="1">
        <v>87873</v>
      </c>
      <c r="AE109" s="1">
        <v>86774</v>
      </c>
      <c r="AF109" s="1">
        <v>87712</v>
      </c>
      <c r="AG109" s="1">
        <v>88793</v>
      </c>
      <c r="AH109" s="1">
        <v>90337</v>
      </c>
      <c r="AI109" s="1">
        <v>92192</v>
      </c>
      <c r="AJ109" s="1">
        <v>93933</v>
      </c>
      <c r="AK109" s="1">
        <v>95861</v>
      </c>
      <c r="AL109" s="1">
        <v>97931</v>
      </c>
      <c r="AM109" s="1">
        <v>100954</v>
      </c>
      <c r="AO109" s="7">
        <f t="shared" si="144"/>
        <v>-95535</v>
      </c>
      <c r="AP109" s="8">
        <f t="shared" si="145"/>
        <v>-0.40484877763510851</v>
      </c>
      <c r="AQ109" s="12">
        <f t="shared" si="146"/>
        <v>-54353</v>
      </c>
      <c r="AR109" s="13">
        <f t="shared" si="147"/>
        <v>-0.38701385625382723</v>
      </c>
      <c r="AS109" s="17">
        <f t="shared" si="148"/>
        <v>14865</v>
      </c>
      <c r="AT109" s="18">
        <f t="shared" si="149"/>
        <v>0.1726701436885083</v>
      </c>
    </row>
    <row r="110" spans="1:46" ht="14.25" customHeight="1">
      <c r="A110" t="s">
        <v>90</v>
      </c>
      <c r="B110">
        <v>710315</v>
      </c>
      <c r="C110">
        <v>1091014</v>
      </c>
      <c r="D110" s="1">
        <v>1080010</v>
      </c>
      <c r="E110" s="1">
        <v>1067376</v>
      </c>
      <c r="F110" s="1">
        <v>1053261</v>
      </c>
      <c r="G110" s="1">
        <v>1040724</v>
      </c>
      <c r="H110" s="1">
        <v>1028161</v>
      </c>
      <c r="I110" s="1">
        <v>1017189</v>
      </c>
      <c r="J110" s="1">
        <v>1004576</v>
      </c>
      <c r="K110" s="1">
        <v>990312</v>
      </c>
      <c r="L110" s="1">
        <v>979270</v>
      </c>
      <c r="M110" s="1">
        <v>896967</v>
      </c>
      <c r="N110" s="1">
        <v>885186</v>
      </c>
      <c r="O110" s="1">
        <v>871742</v>
      </c>
      <c r="P110" s="1">
        <v>859808</v>
      </c>
      <c r="Q110" s="1">
        <v>847849</v>
      </c>
      <c r="R110" s="1">
        <v>837613</v>
      </c>
      <c r="S110" s="1">
        <v>825608</v>
      </c>
      <c r="T110" s="1">
        <v>813577</v>
      </c>
      <c r="U110" s="1">
        <v>801521</v>
      </c>
      <c r="V110" s="1">
        <v>787374</v>
      </c>
      <c r="W110" s="1">
        <v>775263</v>
      </c>
      <c r="X110" s="1">
        <v>786176</v>
      </c>
      <c r="Y110" s="1">
        <v>797677</v>
      </c>
      <c r="Z110" s="1">
        <v>815979</v>
      </c>
      <c r="AA110" s="1">
        <v>823668</v>
      </c>
      <c r="AB110" s="1">
        <v>840845</v>
      </c>
      <c r="AC110" s="1">
        <v>855258</v>
      </c>
      <c r="AD110" s="1">
        <v>845605</v>
      </c>
      <c r="AE110" s="1">
        <v>844433</v>
      </c>
      <c r="AF110" s="1">
        <v>843459</v>
      </c>
      <c r="AG110" s="1">
        <v>864025</v>
      </c>
      <c r="AH110" s="1">
        <v>868845</v>
      </c>
      <c r="AI110" s="1">
        <v>896923</v>
      </c>
      <c r="AJ110" s="1">
        <v>903596</v>
      </c>
      <c r="AK110" s="1">
        <v>932444</v>
      </c>
      <c r="AL110" s="1">
        <v>942248</v>
      </c>
      <c r="AM110" s="1">
        <v>981710</v>
      </c>
      <c r="AO110" s="7">
        <f t="shared" si="144"/>
        <v>-219272</v>
      </c>
      <c r="AP110" s="8">
        <f t="shared" si="145"/>
        <v>-0.20098000575611308</v>
      </c>
      <c r="AQ110" s="12">
        <f t="shared" si="146"/>
        <v>-48074</v>
      </c>
      <c r="AR110" s="13">
        <f t="shared" si="147"/>
        <v>-5.5147050388761776E-2</v>
      </c>
      <c r="AS110" s="17">
        <f t="shared" si="148"/>
        <v>158042</v>
      </c>
      <c r="AT110" s="18">
        <f t="shared" si="149"/>
        <v>0.19187585289218467</v>
      </c>
    </row>
    <row r="111" spans="1:46" ht="14.25" customHeight="1">
      <c r="A111" t="s">
        <v>91</v>
      </c>
      <c r="B111">
        <v>710319</v>
      </c>
      <c r="C11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O111" s="7">
        <f t="shared" si="144"/>
        <v>0</v>
      </c>
      <c r="AP111" s="8" t="e">
        <f t="shared" si="145"/>
        <v>#DIV/0!</v>
      </c>
      <c r="AQ111" s="12">
        <f t="shared" si="146"/>
        <v>0</v>
      </c>
      <c r="AR111" s="13" t="e">
        <f t="shared" si="147"/>
        <v>#DIV/0!</v>
      </c>
      <c r="AS111" s="17">
        <f t="shared" si="148"/>
        <v>0</v>
      </c>
      <c r="AT111" s="18" t="e">
        <f t="shared" si="149"/>
        <v>#DIV/0!</v>
      </c>
    </row>
    <row r="112" spans="1:46" ht="14.25" customHeight="1">
      <c r="A112" t="s">
        <v>92</v>
      </c>
      <c r="B112">
        <v>710302</v>
      </c>
      <c r="C112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O112" s="7">
        <f t="shared" si="144"/>
        <v>0</v>
      </c>
      <c r="AP112" s="8" t="e">
        <f t="shared" si="145"/>
        <v>#DIV/0!</v>
      </c>
      <c r="AQ112" s="12">
        <f t="shared" si="146"/>
        <v>0</v>
      </c>
      <c r="AR112" s="13" t="e">
        <f t="shared" si="147"/>
        <v>#DIV/0!</v>
      </c>
      <c r="AS112" s="17">
        <f t="shared" si="148"/>
        <v>0</v>
      </c>
      <c r="AT112" s="18" t="e">
        <f t="shared" si="149"/>
        <v>#DIV/0!</v>
      </c>
    </row>
    <row r="113" spans="1:46" ht="14.25" customHeight="1">
      <c r="A113" t="s">
        <v>93</v>
      </c>
      <c r="B113">
        <v>710397</v>
      </c>
      <c r="C113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O113" s="7">
        <f t="shared" si="144"/>
        <v>0</v>
      </c>
      <c r="AP113" s="8" t="e">
        <f t="shared" si="145"/>
        <v>#DIV/0!</v>
      </c>
      <c r="AQ113" s="12">
        <f t="shared" si="146"/>
        <v>0</v>
      </c>
      <c r="AR113" s="13" t="e">
        <f t="shared" si="147"/>
        <v>#DIV/0!</v>
      </c>
      <c r="AS113" s="17">
        <f t="shared" si="148"/>
        <v>0</v>
      </c>
      <c r="AT113" s="18" t="e">
        <f t="shared" si="149"/>
        <v>#DIV/0!</v>
      </c>
    </row>
    <row r="114" spans="1:46" ht="14.25" customHeight="1">
      <c r="A114" t="s">
        <v>94</v>
      </c>
      <c r="B114">
        <v>710304</v>
      </c>
      <c r="C114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O114" s="7">
        <f t="shared" si="144"/>
        <v>0</v>
      </c>
      <c r="AP114" s="8" t="e">
        <f t="shared" si="145"/>
        <v>#DIV/0!</v>
      </c>
      <c r="AQ114" s="12">
        <f t="shared" si="146"/>
        <v>0</v>
      </c>
      <c r="AR114" s="13" t="e">
        <f t="shared" si="147"/>
        <v>#DIV/0!</v>
      </c>
      <c r="AS114" s="17">
        <f t="shared" si="148"/>
        <v>0</v>
      </c>
      <c r="AT114" s="18" t="e">
        <f t="shared" si="149"/>
        <v>#DIV/0!</v>
      </c>
    </row>
    <row r="115" spans="1:46" ht="14.25" customHeight="1">
      <c r="A115" t="s">
        <v>95</v>
      </c>
      <c r="B115">
        <v>710306</v>
      </c>
      <c r="C115">
        <v>239583</v>
      </c>
      <c r="D115" s="1">
        <v>232076</v>
      </c>
      <c r="E115" s="1">
        <v>223228</v>
      </c>
      <c r="F115" s="1">
        <v>215074</v>
      </c>
      <c r="G115" s="1">
        <v>203703</v>
      </c>
      <c r="H115" s="1">
        <v>196784</v>
      </c>
      <c r="I115" s="1">
        <v>189891</v>
      </c>
      <c r="J115" s="1">
        <v>182550</v>
      </c>
      <c r="K115" s="1">
        <v>175087</v>
      </c>
      <c r="L115" s="1">
        <v>167902</v>
      </c>
      <c r="M115" s="1">
        <v>160195</v>
      </c>
      <c r="N115" s="1">
        <v>152565</v>
      </c>
      <c r="O115" s="1">
        <v>145011</v>
      </c>
      <c r="P115" s="1">
        <v>135737</v>
      </c>
      <c r="Q115" s="1">
        <v>128787</v>
      </c>
      <c r="R115" s="1">
        <v>120258</v>
      </c>
      <c r="S115" s="1">
        <v>112699</v>
      </c>
      <c r="T115" s="1">
        <v>106826</v>
      </c>
      <c r="U115" s="1">
        <v>100024</v>
      </c>
      <c r="V115" s="1">
        <v>89538</v>
      </c>
      <c r="W115" s="1">
        <v>79143</v>
      </c>
      <c r="X115" s="1">
        <v>78565</v>
      </c>
      <c r="Y115" s="1">
        <v>82629</v>
      </c>
      <c r="Z115" s="1">
        <v>82084</v>
      </c>
      <c r="AA115" s="1">
        <v>85324</v>
      </c>
      <c r="AB115" s="1">
        <v>84583</v>
      </c>
      <c r="AC115" s="1">
        <v>88546</v>
      </c>
      <c r="AD115" s="1">
        <v>83699</v>
      </c>
      <c r="AE115" s="1">
        <v>88668</v>
      </c>
      <c r="AF115" s="1">
        <v>84628</v>
      </c>
      <c r="AG115" s="1">
        <v>89698</v>
      </c>
      <c r="AH115" s="1">
        <v>87212</v>
      </c>
      <c r="AI115" s="1">
        <v>93063</v>
      </c>
      <c r="AJ115" s="1">
        <v>90749</v>
      </c>
      <c r="AK115" s="1">
        <v>96697</v>
      </c>
      <c r="AL115" s="1">
        <v>94687</v>
      </c>
      <c r="AM115" s="1">
        <v>101727</v>
      </c>
      <c r="AO115" s="7">
        <f t="shared" si="144"/>
        <v>-94572</v>
      </c>
      <c r="AP115" s="8">
        <f t="shared" si="145"/>
        <v>-0.39473585354553542</v>
      </c>
      <c r="AQ115" s="12">
        <f t="shared" si="146"/>
        <v>-59687</v>
      </c>
      <c r="AR115" s="13">
        <f t="shared" si="147"/>
        <v>-0.41160325768389983</v>
      </c>
      <c r="AS115" s="17">
        <f t="shared" si="148"/>
        <v>16403</v>
      </c>
      <c r="AT115" s="18">
        <f t="shared" si="149"/>
        <v>0.19224368290281757</v>
      </c>
    </row>
    <row r="116" spans="1:46" ht="14.25" customHeight="1">
      <c r="A116" t="s">
        <v>96</v>
      </c>
      <c r="B116">
        <v>710306</v>
      </c>
      <c r="C116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O116" s="7">
        <f t="shared" si="144"/>
        <v>0</v>
      </c>
      <c r="AP116" s="8" t="e">
        <f t="shared" si="145"/>
        <v>#DIV/0!</v>
      </c>
      <c r="AQ116" s="12">
        <f t="shared" si="146"/>
        <v>0</v>
      </c>
      <c r="AR116" s="13" t="e">
        <f t="shared" si="147"/>
        <v>#DIV/0!</v>
      </c>
      <c r="AS116" s="17">
        <f t="shared" si="148"/>
        <v>0</v>
      </c>
      <c r="AT116" s="18" t="e">
        <f t="shared" si="149"/>
        <v>#DIV/0!</v>
      </c>
    </row>
    <row r="117" spans="1:46" ht="14.25" customHeight="1">
      <c r="A117" t="s">
        <v>97</v>
      </c>
      <c r="B117">
        <v>710307</v>
      </c>
      <c r="C117">
        <v>2992449</v>
      </c>
      <c r="D117" s="1">
        <v>2960769</v>
      </c>
      <c r="E117" s="1">
        <v>2928008</v>
      </c>
      <c r="F117" s="1">
        <v>2894441</v>
      </c>
      <c r="G117" s="1">
        <v>2859151</v>
      </c>
      <c r="H117" s="1">
        <v>2744382</v>
      </c>
      <c r="I117" s="1">
        <v>2719816</v>
      </c>
      <c r="J117" s="1">
        <v>2685063</v>
      </c>
      <c r="K117" s="1">
        <v>2647455</v>
      </c>
      <c r="L117" s="1">
        <v>2619553</v>
      </c>
      <c r="M117" s="1">
        <v>2584028</v>
      </c>
      <c r="N117" s="1">
        <v>2461068</v>
      </c>
      <c r="O117" s="1">
        <v>2427685</v>
      </c>
      <c r="P117" s="1">
        <v>2358252</v>
      </c>
      <c r="Q117" s="1">
        <v>2327312</v>
      </c>
      <c r="R117" s="1">
        <v>2295458</v>
      </c>
      <c r="S117" s="1">
        <v>2260936</v>
      </c>
      <c r="T117" s="1">
        <v>2205507</v>
      </c>
      <c r="U117" s="1">
        <v>2092728</v>
      </c>
      <c r="V117" s="1">
        <v>2062611</v>
      </c>
      <c r="W117" s="1">
        <v>2031756</v>
      </c>
      <c r="X117" s="1">
        <v>2059657</v>
      </c>
      <c r="Y117" s="1">
        <v>2090289</v>
      </c>
      <c r="Z117" s="1">
        <v>2138674</v>
      </c>
      <c r="AA117" s="1">
        <v>2158398</v>
      </c>
      <c r="AB117" s="1">
        <v>2203847</v>
      </c>
      <c r="AC117" s="1">
        <v>2241188</v>
      </c>
      <c r="AD117" s="1">
        <v>2217715</v>
      </c>
      <c r="AE117" s="1">
        <v>2210438</v>
      </c>
      <c r="AF117" s="1">
        <v>2213088</v>
      </c>
      <c r="AG117" s="1">
        <v>2261752</v>
      </c>
      <c r="AH117" s="1">
        <v>2279619</v>
      </c>
      <c r="AI117" s="1">
        <v>2347958</v>
      </c>
      <c r="AJ117" s="1">
        <v>2370709</v>
      </c>
      <c r="AK117" s="1">
        <v>2441035</v>
      </c>
      <c r="AL117" s="1">
        <v>2472019</v>
      </c>
      <c r="AM117" s="1">
        <v>2570146</v>
      </c>
      <c r="AO117" s="7">
        <f t="shared" si="144"/>
        <v>-564764</v>
      </c>
      <c r="AP117" s="8">
        <f t="shared" si="145"/>
        <v>-0.18872969931985473</v>
      </c>
      <c r="AQ117" s="12">
        <f t="shared" si="146"/>
        <v>-269287</v>
      </c>
      <c r="AR117" s="13">
        <f t="shared" si="147"/>
        <v>-0.11092336938276592</v>
      </c>
      <c r="AS117" s="17">
        <f t="shared" si="148"/>
        <v>411748</v>
      </c>
      <c r="AT117" s="18">
        <f t="shared" si="149"/>
        <v>0.19076555852998389</v>
      </c>
    </row>
    <row r="118" spans="1:46" ht="14.25" customHeight="1">
      <c r="A118" t="s">
        <v>98</v>
      </c>
      <c r="B118">
        <v>710316</v>
      </c>
      <c r="C118">
        <v>30586895</v>
      </c>
      <c r="D118" s="1">
        <v>30353246</v>
      </c>
      <c r="E118" s="1">
        <v>30146196</v>
      </c>
      <c r="F118" s="1">
        <v>29471455</v>
      </c>
      <c r="G118" s="1">
        <v>29270974</v>
      </c>
      <c r="H118" s="1">
        <v>28832858</v>
      </c>
      <c r="I118" s="1">
        <v>28628349</v>
      </c>
      <c r="J118" s="1">
        <v>28272612</v>
      </c>
      <c r="K118" s="1">
        <v>28053185</v>
      </c>
      <c r="L118" s="1">
        <v>27862012</v>
      </c>
      <c r="M118" s="1">
        <v>27651242</v>
      </c>
      <c r="N118" s="1">
        <v>27436907</v>
      </c>
      <c r="O118" s="1">
        <v>27114426</v>
      </c>
      <c r="P118" s="1">
        <v>26863435</v>
      </c>
      <c r="Q118" s="1">
        <v>26650237</v>
      </c>
      <c r="R118" s="1">
        <v>26389380</v>
      </c>
      <c r="S118" s="1">
        <v>26078245</v>
      </c>
      <c r="T118" s="1">
        <v>25792774</v>
      </c>
      <c r="U118" s="1">
        <v>25585457</v>
      </c>
      <c r="V118" s="1">
        <v>25187803</v>
      </c>
      <c r="W118" s="1">
        <v>24833471</v>
      </c>
      <c r="X118" s="1">
        <v>25337014</v>
      </c>
      <c r="Y118" s="1">
        <v>25572260</v>
      </c>
      <c r="Z118" s="1">
        <v>26140870</v>
      </c>
      <c r="AA118" s="1">
        <v>26402976</v>
      </c>
      <c r="AB118" s="1">
        <v>26937474</v>
      </c>
      <c r="AC118" s="1">
        <v>27392707</v>
      </c>
      <c r="AD118" s="1">
        <v>27302665</v>
      </c>
      <c r="AE118" s="1">
        <v>27146477</v>
      </c>
      <c r="AF118" s="1">
        <v>26994661</v>
      </c>
      <c r="AG118" s="1">
        <v>27727597</v>
      </c>
      <c r="AH118" s="1">
        <v>27780636</v>
      </c>
      <c r="AI118" s="1">
        <v>28781600</v>
      </c>
      <c r="AJ118" s="1">
        <v>28893399</v>
      </c>
      <c r="AK118" s="1">
        <v>29919716</v>
      </c>
      <c r="AL118" s="1">
        <v>30131267</v>
      </c>
      <c r="AM118" s="1">
        <v>31497841</v>
      </c>
      <c r="AO118" s="7">
        <f t="shared" si="144"/>
        <v>-3472469</v>
      </c>
      <c r="AP118" s="8">
        <f t="shared" si="145"/>
        <v>-0.11352799949128545</v>
      </c>
      <c r="AQ118" s="12">
        <f t="shared" si="146"/>
        <v>-711450</v>
      </c>
      <c r="AR118" s="13">
        <f t="shared" si="147"/>
        <v>-2.6238799965745185E-2</v>
      </c>
      <c r="AS118" s="17">
        <f t="shared" si="148"/>
        <v>5094865</v>
      </c>
      <c r="AT118" s="18">
        <f t="shared" si="149"/>
        <v>0.19296555812496297</v>
      </c>
    </row>
    <row r="119" spans="1:46" ht="14.25" customHeight="1">
      <c r="A119" t="s">
        <v>99</v>
      </c>
      <c r="B119">
        <v>710321</v>
      </c>
      <c r="C119">
        <v>-11</v>
      </c>
      <c r="D119" s="1">
        <v>-23</v>
      </c>
      <c r="E119" s="1">
        <v>-51</v>
      </c>
      <c r="F119" s="1">
        <v>-73</v>
      </c>
      <c r="G119" s="1">
        <v>-99</v>
      </c>
      <c r="H119" s="1">
        <v>-41</v>
      </c>
      <c r="I119" s="1">
        <v>-181</v>
      </c>
      <c r="J119" s="1">
        <v>-191</v>
      </c>
      <c r="K119" s="1">
        <v>-230</v>
      </c>
      <c r="L119" s="1">
        <v>-239</v>
      </c>
      <c r="M119" s="1">
        <v>-257</v>
      </c>
      <c r="N119" s="1">
        <v>-282</v>
      </c>
      <c r="O119" s="1">
        <v>-296</v>
      </c>
      <c r="P119" s="1">
        <v>-285</v>
      </c>
      <c r="Q119" s="1">
        <v>-301</v>
      </c>
      <c r="R119" s="1">
        <v>-329</v>
      </c>
      <c r="S119" s="1">
        <v>-343</v>
      </c>
      <c r="T119" s="1">
        <v>1804</v>
      </c>
      <c r="U119" s="1">
        <v>1768</v>
      </c>
      <c r="V119" s="1">
        <v>1730</v>
      </c>
      <c r="W119" s="1">
        <v>1700</v>
      </c>
      <c r="X119" s="1">
        <v>1741</v>
      </c>
      <c r="Y119" s="1">
        <v>1765</v>
      </c>
      <c r="Z119" s="1">
        <v>1781</v>
      </c>
      <c r="AA119" s="1">
        <v>1807</v>
      </c>
      <c r="AB119" s="1">
        <v>1819</v>
      </c>
      <c r="AC119" s="1">
        <v>1844</v>
      </c>
      <c r="AD119" s="1">
        <v>1846</v>
      </c>
      <c r="AE119" s="1">
        <v>1845</v>
      </c>
      <c r="AF119" s="1">
        <v>1843</v>
      </c>
      <c r="AG119" s="1">
        <v>1854</v>
      </c>
      <c r="AH119" s="1">
        <v>1881</v>
      </c>
      <c r="AI119" s="1">
        <v>1899</v>
      </c>
      <c r="AJ119" s="1">
        <v>1927</v>
      </c>
      <c r="AK119" s="1">
        <v>1944</v>
      </c>
      <c r="AL119" s="1">
        <v>1974</v>
      </c>
      <c r="AM119" s="1">
        <v>2002</v>
      </c>
      <c r="AO119" s="7">
        <f t="shared" si="144"/>
        <v>-285</v>
      </c>
      <c r="AP119" s="8">
        <f t="shared" si="145"/>
        <v>25.90909090909091</v>
      </c>
      <c r="AQ119" s="12">
        <f t="shared" si="146"/>
        <v>2103</v>
      </c>
      <c r="AR119" s="13">
        <f t="shared" si="147"/>
        <v>-7.1047297297297298</v>
      </c>
      <c r="AS119" s="17">
        <f t="shared" si="148"/>
        <v>195</v>
      </c>
      <c r="AT119" s="18">
        <f t="shared" si="149"/>
        <v>0.1079136690647482</v>
      </c>
    </row>
    <row r="120" spans="1:46" ht="14.25" customHeight="1">
      <c r="A120" t="s">
        <v>100</v>
      </c>
      <c r="B120">
        <v>710309</v>
      </c>
      <c r="C120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O120" s="7">
        <f t="shared" si="144"/>
        <v>0</v>
      </c>
      <c r="AP120" s="8" t="e">
        <f t="shared" si="145"/>
        <v>#DIV/0!</v>
      </c>
      <c r="AQ120" s="12">
        <f t="shared" si="146"/>
        <v>0</v>
      </c>
      <c r="AR120" s="13" t="e">
        <f t="shared" si="147"/>
        <v>#DIV/0!</v>
      </c>
      <c r="AS120" s="17">
        <f t="shared" si="148"/>
        <v>0</v>
      </c>
      <c r="AT120" s="18" t="e">
        <f t="shared" si="149"/>
        <v>#DIV/0!</v>
      </c>
    </row>
    <row r="121" spans="1:46" ht="14.25" customHeight="1">
      <c r="A121" t="s">
        <v>101</v>
      </c>
      <c r="B121">
        <v>710308</v>
      </c>
      <c r="C121">
        <v>229446</v>
      </c>
      <c r="D121" s="1">
        <v>225715</v>
      </c>
      <c r="E121" s="1">
        <v>222556</v>
      </c>
      <c r="F121" s="1">
        <v>218201</v>
      </c>
      <c r="G121" s="1">
        <v>214417</v>
      </c>
      <c r="H121" s="1">
        <v>210615</v>
      </c>
      <c r="I121" s="1">
        <v>206796</v>
      </c>
      <c r="J121" s="1">
        <v>202958</v>
      </c>
      <c r="K121" s="1">
        <v>197102</v>
      </c>
      <c r="L121" s="1">
        <v>193219</v>
      </c>
      <c r="M121" s="1">
        <v>189318</v>
      </c>
      <c r="N121" s="1">
        <v>185398</v>
      </c>
      <c r="O121" s="1">
        <v>181460</v>
      </c>
      <c r="P121" s="1">
        <v>177503</v>
      </c>
      <c r="Q121" s="1">
        <v>173527</v>
      </c>
      <c r="R121" s="1">
        <v>130191</v>
      </c>
      <c r="S121" s="1">
        <v>127060</v>
      </c>
      <c r="T121" s="1">
        <v>120169</v>
      </c>
      <c r="U121" s="1">
        <v>117007</v>
      </c>
      <c r="V121" s="1">
        <v>113350</v>
      </c>
      <c r="W121" s="1">
        <v>110158</v>
      </c>
      <c r="X121" s="1">
        <v>109355</v>
      </c>
      <c r="Y121" s="1">
        <v>115011</v>
      </c>
      <c r="Z121" s="1">
        <v>114252</v>
      </c>
      <c r="AA121" s="1">
        <v>118762</v>
      </c>
      <c r="AB121" s="1">
        <v>117730</v>
      </c>
      <c r="AC121" s="1">
        <v>123246</v>
      </c>
      <c r="AD121" s="1">
        <v>118202</v>
      </c>
      <c r="AE121" s="1">
        <v>121800</v>
      </c>
      <c r="AF121" s="1">
        <v>118026</v>
      </c>
      <c r="AG121" s="1">
        <v>124605</v>
      </c>
      <c r="AH121" s="1">
        <v>121633</v>
      </c>
      <c r="AI121" s="1">
        <v>129287</v>
      </c>
      <c r="AJ121" s="1">
        <v>126558</v>
      </c>
      <c r="AK121" s="1">
        <v>134345</v>
      </c>
      <c r="AL121" s="1">
        <v>132041</v>
      </c>
      <c r="AM121" s="1">
        <v>141346</v>
      </c>
      <c r="AO121" s="7">
        <f t="shared" si="144"/>
        <v>-47986</v>
      </c>
      <c r="AP121" s="8">
        <f t="shared" si="145"/>
        <v>-0.20913853368548596</v>
      </c>
      <c r="AQ121" s="12">
        <f t="shared" si="146"/>
        <v>-62698</v>
      </c>
      <c r="AR121" s="13">
        <f t="shared" si="147"/>
        <v>-0.34551967375730186</v>
      </c>
      <c r="AS121" s="17">
        <f t="shared" si="148"/>
        <v>22584</v>
      </c>
      <c r="AT121" s="18">
        <f t="shared" si="149"/>
        <v>0.1901618362775972</v>
      </c>
    </row>
    <row r="122" spans="1:46" ht="14.25" customHeight="1">
      <c r="A122" t="s">
        <v>102</v>
      </c>
      <c r="B122">
        <v>710308</v>
      </c>
      <c r="C122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O122" s="7">
        <f t="shared" si="144"/>
        <v>0</v>
      </c>
      <c r="AP122" s="8" t="e">
        <f t="shared" si="145"/>
        <v>#DIV/0!</v>
      </c>
      <c r="AQ122" s="12">
        <f t="shared" si="146"/>
        <v>0</v>
      </c>
      <c r="AR122" s="13" t="e">
        <f t="shared" si="147"/>
        <v>#DIV/0!</v>
      </c>
      <c r="AS122" s="17">
        <f t="shared" si="148"/>
        <v>0</v>
      </c>
      <c r="AT122" s="18" t="e">
        <f t="shared" si="149"/>
        <v>#DIV/0!</v>
      </c>
    </row>
    <row r="123" spans="1:46" ht="14.25" customHeight="1">
      <c r="A123" t="s">
        <v>103</v>
      </c>
      <c r="B123">
        <v>710311</v>
      </c>
      <c r="C123">
        <v>2578869</v>
      </c>
      <c r="D123" s="1">
        <v>2566727</v>
      </c>
      <c r="E123" s="1">
        <v>2554916</v>
      </c>
      <c r="F123" s="1">
        <v>2543342</v>
      </c>
      <c r="G123" s="1">
        <v>2530567</v>
      </c>
      <c r="H123" s="1">
        <v>2519250</v>
      </c>
      <c r="I123" s="1">
        <v>2508532</v>
      </c>
      <c r="J123" s="1">
        <v>2497981</v>
      </c>
      <c r="K123" s="1">
        <v>2486495</v>
      </c>
      <c r="L123" s="1">
        <v>2244739</v>
      </c>
      <c r="M123" s="1">
        <v>2233317</v>
      </c>
      <c r="N123" s="1">
        <v>2222423</v>
      </c>
      <c r="O123" s="1">
        <v>2211331</v>
      </c>
      <c r="P123" s="1">
        <v>2199622</v>
      </c>
      <c r="Q123" s="1">
        <v>1984834</v>
      </c>
      <c r="R123" s="1">
        <v>1974200</v>
      </c>
      <c r="S123" s="1">
        <v>1963347</v>
      </c>
      <c r="T123" s="1">
        <v>1953557</v>
      </c>
      <c r="U123" s="1">
        <v>1943147</v>
      </c>
      <c r="V123" s="1">
        <v>1932109</v>
      </c>
      <c r="W123" s="1">
        <v>1920154</v>
      </c>
      <c r="X123" s="1">
        <v>1951011</v>
      </c>
      <c r="Y123" s="1">
        <v>1975456</v>
      </c>
      <c r="Z123" s="1">
        <v>2021215</v>
      </c>
      <c r="AA123" s="1">
        <v>2039824</v>
      </c>
      <c r="AB123" s="1">
        <v>2082809</v>
      </c>
      <c r="AC123" s="1">
        <v>2118066</v>
      </c>
      <c r="AD123" s="1">
        <v>2110429</v>
      </c>
      <c r="AE123" s="1">
        <v>2097745</v>
      </c>
      <c r="AF123" s="1">
        <v>2089827</v>
      </c>
      <c r="AG123" s="1">
        <v>2139227</v>
      </c>
      <c r="AH123" s="1">
        <v>2152704</v>
      </c>
      <c r="AI123" s="1">
        <v>2220705</v>
      </c>
      <c r="AJ123" s="1">
        <v>2238778</v>
      </c>
      <c r="AK123" s="1">
        <v>2308679</v>
      </c>
      <c r="AL123" s="1">
        <v>2334515</v>
      </c>
      <c r="AM123" s="1">
        <v>2430699</v>
      </c>
      <c r="AO123" s="7">
        <f t="shared" si="144"/>
        <v>-367538</v>
      </c>
      <c r="AP123" s="8">
        <f t="shared" si="145"/>
        <v>-0.14251906552833815</v>
      </c>
      <c r="AQ123" s="12">
        <f t="shared" si="146"/>
        <v>-171507</v>
      </c>
      <c r="AR123" s="13">
        <f t="shared" si="147"/>
        <v>-7.7558266944206866E-2</v>
      </c>
      <c r="AS123" s="17">
        <f t="shared" si="148"/>
        <v>390875</v>
      </c>
      <c r="AT123" s="18">
        <f t="shared" si="149"/>
        <v>0.19162192424444457</v>
      </c>
    </row>
    <row r="124" spans="1:46" ht="14.25" customHeight="1">
      <c r="A124" t="s">
        <v>104</v>
      </c>
      <c r="B124">
        <v>710317</v>
      </c>
      <c r="C124">
        <v>12745352</v>
      </c>
      <c r="D124" s="1">
        <v>12695253</v>
      </c>
      <c r="E124" s="1">
        <v>12642425</v>
      </c>
      <c r="F124" s="1">
        <v>12586220</v>
      </c>
      <c r="G124" s="1">
        <v>12529800</v>
      </c>
      <c r="H124" s="1">
        <v>12177878</v>
      </c>
      <c r="I124" s="1">
        <v>11692066</v>
      </c>
      <c r="J124" s="1">
        <v>11639212</v>
      </c>
      <c r="K124" s="1">
        <v>11584365</v>
      </c>
      <c r="L124" s="1">
        <v>11533206</v>
      </c>
      <c r="M124" s="1">
        <v>11480767</v>
      </c>
      <c r="N124" s="1">
        <v>11428647</v>
      </c>
      <c r="O124" s="1">
        <v>11374458</v>
      </c>
      <c r="P124" s="1">
        <v>11317857</v>
      </c>
      <c r="Q124" s="1">
        <v>11261629</v>
      </c>
      <c r="R124" s="1">
        <v>11206283</v>
      </c>
      <c r="S124" s="1">
        <v>11150201</v>
      </c>
      <c r="T124" s="1">
        <v>11092645</v>
      </c>
      <c r="U124" s="1">
        <v>11038268</v>
      </c>
      <c r="V124" s="1">
        <v>10574372</v>
      </c>
      <c r="W124" s="1">
        <v>10519139</v>
      </c>
      <c r="X124" s="1">
        <v>10753618</v>
      </c>
      <c r="Y124" s="1">
        <v>10884609</v>
      </c>
      <c r="Z124" s="1">
        <v>11022665</v>
      </c>
      <c r="AA124" s="1">
        <v>11225843</v>
      </c>
      <c r="AB124" s="1">
        <v>11358480</v>
      </c>
      <c r="AC124" s="1">
        <v>11654341</v>
      </c>
      <c r="AD124" s="1">
        <v>11650663</v>
      </c>
      <c r="AE124" s="1">
        <v>11619039</v>
      </c>
      <c r="AF124" s="1">
        <v>11589481</v>
      </c>
      <c r="AG124" s="1">
        <v>11607973</v>
      </c>
      <c r="AH124" s="1">
        <v>11903640</v>
      </c>
      <c r="AI124" s="1">
        <v>12053878</v>
      </c>
      <c r="AJ124" s="1">
        <v>12375971</v>
      </c>
      <c r="AK124" s="1">
        <v>12535200</v>
      </c>
      <c r="AL124" s="1">
        <v>12900995</v>
      </c>
      <c r="AM124" s="1">
        <v>13203605</v>
      </c>
      <c r="AO124" s="7">
        <f t="shared" si="144"/>
        <v>-1370894</v>
      </c>
      <c r="AP124" s="8">
        <f t="shared" si="145"/>
        <v>-0.10756030904442659</v>
      </c>
      <c r="AQ124" s="12">
        <f t="shared" si="146"/>
        <v>-148615</v>
      </c>
      <c r="AR124" s="13">
        <f t="shared" si="147"/>
        <v>-1.3065677503051099E-2</v>
      </c>
      <c r="AS124" s="17">
        <f t="shared" si="148"/>
        <v>1977762</v>
      </c>
      <c r="AT124" s="18">
        <f t="shared" si="149"/>
        <v>0.17617937468036926</v>
      </c>
    </row>
    <row r="125" spans="1:46" ht="14.25" customHeight="1">
      <c r="A125" t="s">
        <v>105</v>
      </c>
      <c r="B125">
        <v>710323</v>
      </c>
      <c r="C125">
        <v>3395</v>
      </c>
      <c r="D125" s="1">
        <v>3369</v>
      </c>
      <c r="E125" s="1">
        <v>3343</v>
      </c>
      <c r="F125" s="1">
        <v>3318</v>
      </c>
      <c r="G125" s="1">
        <v>3292</v>
      </c>
      <c r="H125" s="1">
        <v>3318</v>
      </c>
      <c r="I125" s="1">
        <v>3240</v>
      </c>
      <c r="J125" s="1">
        <v>3215</v>
      </c>
      <c r="K125" s="1">
        <v>3189</v>
      </c>
      <c r="L125" s="1">
        <v>3164</v>
      </c>
      <c r="M125" s="1">
        <v>3138</v>
      </c>
      <c r="N125" s="1">
        <v>3113</v>
      </c>
      <c r="O125" s="1">
        <v>3088</v>
      </c>
      <c r="P125" s="1">
        <v>3062</v>
      </c>
      <c r="Q125" s="1">
        <v>3037</v>
      </c>
      <c r="R125" s="1">
        <v>3012</v>
      </c>
      <c r="S125" s="1">
        <v>2984</v>
      </c>
      <c r="T125" s="1">
        <v>2957</v>
      </c>
      <c r="U125" s="1">
        <v>2932</v>
      </c>
      <c r="V125" s="1">
        <v>2907</v>
      </c>
      <c r="W125" s="1">
        <v>2882</v>
      </c>
      <c r="X125" s="1">
        <v>2954</v>
      </c>
      <c r="Y125" s="1">
        <v>2998</v>
      </c>
      <c r="Z125" s="1">
        <v>3029</v>
      </c>
      <c r="AA125" s="1">
        <v>3077</v>
      </c>
      <c r="AB125" s="1">
        <v>3101</v>
      </c>
      <c r="AC125" s="1">
        <v>3147</v>
      </c>
      <c r="AD125" s="1">
        <v>3156</v>
      </c>
      <c r="AE125" s="1">
        <v>3156</v>
      </c>
      <c r="AF125" s="1">
        <v>3158</v>
      </c>
      <c r="AG125" s="1">
        <v>3180</v>
      </c>
      <c r="AH125" s="1">
        <v>3230</v>
      </c>
      <c r="AI125" s="1">
        <v>3266</v>
      </c>
      <c r="AJ125" s="1">
        <v>3317</v>
      </c>
      <c r="AK125" s="1">
        <v>3352</v>
      </c>
      <c r="AL125" s="1">
        <v>3409</v>
      </c>
      <c r="AM125" s="1">
        <v>3461</v>
      </c>
      <c r="AO125" s="7">
        <f t="shared" si="144"/>
        <v>-307</v>
      </c>
      <c r="AP125" s="8">
        <f t="shared" si="145"/>
        <v>-9.0427098674521367E-2</v>
      </c>
      <c r="AQ125" s="12">
        <f t="shared" si="146"/>
        <v>-11</v>
      </c>
      <c r="AR125" s="13">
        <f t="shared" si="147"/>
        <v>-3.5621761658031215E-3</v>
      </c>
      <c r="AS125" s="17">
        <f t="shared" si="148"/>
        <v>384</v>
      </c>
      <c r="AT125" s="18">
        <f t="shared" si="149"/>
        <v>0.12479688007799794</v>
      </c>
    </row>
    <row r="126" spans="1:46" ht="14.25" customHeight="1">
      <c r="A126" t="s">
        <v>106</v>
      </c>
      <c r="B126">
        <v>710310</v>
      </c>
      <c r="C126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O126" s="7">
        <f t="shared" si="144"/>
        <v>0</v>
      </c>
      <c r="AP126" s="8" t="e">
        <f t="shared" si="145"/>
        <v>#DIV/0!</v>
      </c>
      <c r="AQ126" s="12">
        <f t="shared" si="146"/>
        <v>0</v>
      </c>
      <c r="AR126" s="13" t="e">
        <f t="shared" si="147"/>
        <v>#DIV/0!</v>
      </c>
      <c r="AS126" s="17">
        <f t="shared" si="148"/>
        <v>0</v>
      </c>
      <c r="AT126" s="18" t="e">
        <f t="shared" si="149"/>
        <v>#DIV/0!</v>
      </c>
    </row>
    <row r="127" spans="1:46" ht="14.25" customHeight="1">
      <c r="A127" t="s">
        <v>107</v>
      </c>
      <c r="B127">
        <v>710312</v>
      </c>
      <c r="C127">
        <v>4401680</v>
      </c>
      <c r="D127" s="1">
        <v>4382745</v>
      </c>
      <c r="E127" s="1">
        <v>4359942</v>
      </c>
      <c r="F127" s="1">
        <v>4336126</v>
      </c>
      <c r="G127" s="1">
        <v>4315169</v>
      </c>
      <c r="H127" s="1">
        <v>4296210</v>
      </c>
      <c r="I127" s="1">
        <v>4247147</v>
      </c>
      <c r="J127" s="1">
        <v>4185785</v>
      </c>
      <c r="K127" s="1">
        <v>3977926</v>
      </c>
      <c r="L127" s="1">
        <v>3826702</v>
      </c>
      <c r="M127" s="1">
        <v>3789235</v>
      </c>
      <c r="N127" s="1">
        <v>3602049</v>
      </c>
      <c r="O127" s="1">
        <v>3410977</v>
      </c>
      <c r="P127" s="1">
        <v>3302142</v>
      </c>
      <c r="Q127" s="1">
        <v>3281436</v>
      </c>
      <c r="R127" s="1">
        <v>3262013</v>
      </c>
      <c r="S127" s="1">
        <v>3241948</v>
      </c>
      <c r="T127" s="1">
        <v>3196064</v>
      </c>
      <c r="U127" s="1">
        <v>3178290</v>
      </c>
      <c r="V127" s="1">
        <v>3159428</v>
      </c>
      <c r="W127" s="1">
        <v>3140024</v>
      </c>
      <c r="X127" s="1">
        <v>3176339</v>
      </c>
      <c r="Y127" s="1">
        <v>3230509</v>
      </c>
      <c r="Z127" s="1">
        <v>3305239</v>
      </c>
      <c r="AA127" s="1">
        <v>3335770</v>
      </c>
      <c r="AB127" s="1">
        <v>3405961</v>
      </c>
      <c r="AC127" s="1">
        <v>3463720</v>
      </c>
      <c r="AD127" s="1">
        <v>3436067</v>
      </c>
      <c r="AE127" s="1">
        <v>3407558</v>
      </c>
      <c r="AF127" s="1">
        <v>3428922</v>
      </c>
      <c r="AG127" s="1">
        <v>3486760</v>
      </c>
      <c r="AH127" s="1">
        <v>3531745</v>
      </c>
      <c r="AI127" s="1">
        <v>3619953</v>
      </c>
      <c r="AJ127" s="1">
        <v>3672583</v>
      </c>
      <c r="AK127" s="1">
        <v>3763753</v>
      </c>
      <c r="AL127" s="1">
        <v>3829198</v>
      </c>
      <c r="AM127" s="1">
        <v>3963286</v>
      </c>
      <c r="AO127" s="7">
        <f t="shared" si="144"/>
        <v>-990703</v>
      </c>
      <c r="AP127" s="8">
        <f t="shared" si="145"/>
        <v>-0.22507383544464843</v>
      </c>
      <c r="AQ127" s="12">
        <f t="shared" si="146"/>
        <v>-75207</v>
      </c>
      <c r="AR127" s="13">
        <f t="shared" si="147"/>
        <v>-2.2048521581939706E-2</v>
      </c>
      <c r="AS127" s="17">
        <f t="shared" si="148"/>
        <v>627516</v>
      </c>
      <c r="AT127" s="18">
        <f t="shared" si="149"/>
        <v>0.18811728626374125</v>
      </c>
    </row>
    <row r="128" spans="1:46" ht="14.25" customHeight="1">
      <c r="A128" t="s">
        <v>108</v>
      </c>
      <c r="B128">
        <v>710313</v>
      </c>
      <c r="C128">
        <v>15246605</v>
      </c>
      <c r="D128" s="1">
        <v>15205936</v>
      </c>
      <c r="E128" s="1">
        <v>14891804</v>
      </c>
      <c r="F128" s="1">
        <v>14848065</v>
      </c>
      <c r="G128" s="1">
        <v>14806072</v>
      </c>
      <c r="H128" s="1">
        <v>14764388</v>
      </c>
      <c r="I128" s="1">
        <v>14729960</v>
      </c>
      <c r="J128" s="1">
        <v>14575469</v>
      </c>
      <c r="K128" s="1">
        <v>14529677</v>
      </c>
      <c r="L128" s="1">
        <v>14492399</v>
      </c>
      <c r="M128" s="1">
        <v>14450153</v>
      </c>
      <c r="N128" s="1">
        <v>14401619</v>
      </c>
      <c r="O128" s="1">
        <v>14363006</v>
      </c>
      <c r="P128" s="1">
        <v>14319956</v>
      </c>
      <c r="Q128" s="1">
        <v>14281986</v>
      </c>
      <c r="R128" s="1">
        <v>14243193</v>
      </c>
      <c r="S128" s="1">
        <v>14203247</v>
      </c>
      <c r="T128" s="1">
        <v>14162025</v>
      </c>
      <c r="U128" s="1">
        <v>14123068</v>
      </c>
      <c r="V128" s="1">
        <v>13904055</v>
      </c>
      <c r="W128" s="1">
        <v>13722644</v>
      </c>
      <c r="X128" s="1">
        <v>13935793</v>
      </c>
      <c r="Y128" s="1">
        <v>14117895</v>
      </c>
      <c r="Z128" s="1">
        <v>14444865</v>
      </c>
      <c r="AA128" s="1">
        <v>14577906</v>
      </c>
      <c r="AB128" s="1">
        <v>14885050</v>
      </c>
      <c r="AC128" s="1">
        <v>15137078</v>
      </c>
      <c r="AD128" s="1">
        <v>15068516</v>
      </c>
      <c r="AE128" s="1">
        <v>14964561</v>
      </c>
      <c r="AF128" s="1">
        <v>14912122</v>
      </c>
      <c r="AG128" s="1">
        <v>15311556</v>
      </c>
      <c r="AH128" s="1">
        <v>15361479</v>
      </c>
      <c r="AI128" s="1">
        <v>15893942</v>
      </c>
      <c r="AJ128" s="1">
        <v>15976451</v>
      </c>
      <c r="AK128" s="1">
        <v>16522792</v>
      </c>
      <c r="AL128" s="1">
        <v>16660532</v>
      </c>
      <c r="AM128" s="1">
        <v>17394837</v>
      </c>
      <c r="AO128" s="7">
        <f t="shared" si="144"/>
        <v>-883599</v>
      </c>
      <c r="AP128" s="8">
        <f t="shared" si="145"/>
        <v>-5.7953819883180602E-2</v>
      </c>
      <c r="AQ128" s="12">
        <f t="shared" si="146"/>
        <v>214900</v>
      </c>
      <c r="AR128" s="13">
        <f t="shared" si="147"/>
        <v>1.4962049030683433E-2</v>
      </c>
      <c r="AS128" s="17">
        <f t="shared" si="148"/>
        <v>2816931</v>
      </c>
      <c r="AT128" s="18">
        <f t="shared" si="149"/>
        <v>0.19323289641187147</v>
      </c>
    </row>
    <row r="129" spans="1:46" ht="14.25" customHeight="1">
      <c r="A129" t="s">
        <v>109</v>
      </c>
      <c r="B129">
        <v>710318</v>
      </c>
      <c r="C129">
        <v>109696157</v>
      </c>
      <c r="D129" s="1">
        <v>109535847</v>
      </c>
      <c r="E129" s="1">
        <v>109457275</v>
      </c>
      <c r="F129" s="1">
        <v>108986539</v>
      </c>
      <c r="G129" s="1">
        <v>109540252</v>
      </c>
      <c r="H129" s="1">
        <v>109445816</v>
      </c>
      <c r="I129" s="1">
        <v>109446885</v>
      </c>
      <c r="J129" s="1">
        <v>109473651</v>
      </c>
      <c r="K129" s="1">
        <v>110000341</v>
      </c>
      <c r="L129" s="1">
        <v>109321087</v>
      </c>
      <c r="M129" s="1">
        <v>108968801</v>
      </c>
      <c r="N129" s="1">
        <v>109117712</v>
      </c>
      <c r="O129" s="1">
        <v>109081105</v>
      </c>
      <c r="P129" s="1">
        <v>109317461</v>
      </c>
      <c r="Q129" s="1">
        <v>109182299</v>
      </c>
      <c r="R129" s="1">
        <v>109097059</v>
      </c>
      <c r="S129" s="1">
        <v>108745340</v>
      </c>
      <c r="T129" s="1">
        <v>111253961</v>
      </c>
      <c r="U129" s="1">
        <v>110658233</v>
      </c>
      <c r="V129" s="1">
        <v>110168142</v>
      </c>
      <c r="W129" s="1">
        <v>110730290</v>
      </c>
      <c r="X129" s="1">
        <v>113291277</v>
      </c>
      <c r="Y129" s="1">
        <v>114692737</v>
      </c>
      <c r="Z129" s="1">
        <v>115773979</v>
      </c>
      <c r="AA129" s="1">
        <v>118431300</v>
      </c>
      <c r="AB129" s="1">
        <v>119300701</v>
      </c>
      <c r="AC129" s="1">
        <v>122941202</v>
      </c>
      <c r="AD129" s="1">
        <v>122972408</v>
      </c>
      <c r="AE129" s="1">
        <v>122712915</v>
      </c>
      <c r="AF129" s="1">
        <v>122483155</v>
      </c>
      <c r="AG129" s="1">
        <v>122529401</v>
      </c>
      <c r="AH129" s="1">
        <v>125100080</v>
      </c>
      <c r="AI129" s="1">
        <v>127092310</v>
      </c>
      <c r="AJ129" s="1">
        <v>130070628</v>
      </c>
      <c r="AK129" s="1">
        <v>132160131</v>
      </c>
      <c r="AL129" s="1">
        <v>135596307</v>
      </c>
      <c r="AM129" s="1">
        <v>139196231</v>
      </c>
      <c r="AO129" s="7">
        <f t="shared" si="144"/>
        <v>-615052</v>
      </c>
      <c r="AP129" s="8">
        <f t="shared" si="145"/>
        <v>-5.606869163155781E-3</v>
      </c>
      <c r="AQ129" s="12">
        <f t="shared" si="146"/>
        <v>9350195</v>
      </c>
      <c r="AR129" s="13">
        <f t="shared" si="147"/>
        <v>8.5717824365640682E-2</v>
      </c>
      <c r="AS129" s="17">
        <f t="shared" si="148"/>
        <v>20764931</v>
      </c>
      <c r="AT129" s="18">
        <f t="shared" si="149"/>
        <v>0.17533313406168816</v>
      </c>
    </row>
    <row r="130" spans="1:46" ht="14.25" customHeight="1">
      <c r="A130" t="s">
        <v>110</v>
      </c>
      <c r="B130">
        <v>710325</v>
      </c>
      <c r="C130">
        <v>-67104</v>
      </c>
      <c r="D130" s="1">
        <v>-65652</v>
      </c>
      <c r="E130" s="1">
        <v>-64072</v>
      </c>
      <c r="F130" s="1">
        <v>-63689</v>
      </c>
      <c r="G130" s="1">
        <v>-61840</v>
      </c>
      <c r="H130" s="1">
        <v>-68943</v>
      </c>
      <c r="I130" s="1">
        <v>-61544</v>
      </c>
      <c r="J130" s="1">
        <v>-59700</v>
      </c>
      <c r="K130" s="1">
        <v>-56678</v>
      </c>
      <c r="L130" s="1">
        <v>-51363</v>
      </c>
      <c r="M130" s="1">
        <v>-50168</v>
      </c>
      <c r="N130" s="1">
        <v>-49783</v>
      </c>
      <c r="O130" s="1">
        <v>-50568</v>
      </c>
      <c r="P130" s="1">
        <v>-56838</v>
      </c>
      <c r="Q130" s="1">
        <v>-53056</v>
      </c>
      <c r="R130" s="1">
        <v>-55089</v>
      </c>
      <c r="S130" s="1">
        <v>-56315</v>
      </c>
      <c r="T130" s="1">
        <v>-60422</v>
      </c>
      <c r="U130" s="1">
        <v>-60756</v>
      </c>
      <c r="V130" s="1">
        <v>-67644</v>
      </c>
      <c r="W130" s="1">
        <v>-63866</v>
      </c>
      <c r="X130" s="1">
        <v>-65551</v>
      </c>
      <c r="Y130" s="1">
        <v>-66619</v>
      </c>
      <c r="Z130" s="1">
        <v>-67397</v>
      </c>
      <c r="AA130" s="1">
        <v>-68562</v>
      </c>
      <c r="AB130" s="1">
        <v>-69207</v>
      </c>
      <c r="AC130" s="1">
        <v>-70335</v>
      </c>
      <c r="AD130" s="1">
        <v>-70623</v>
      </c>
      <c r="AE130" s="1">
        <v>-70744</v>
      </c>
      <c r="AF130" s="1">
        <v>-70882</v>
      </c>
      <c r="AG130" s="1">
        <v>-71491</v>
      </c>
      <c r="AH130" s="1">
        <v>-72723</v>
      </c>
      <c r="AI130" s="1">
        <v>-73637</v>
      </c>
      <c r="AJ130" s="1">
        <v>-74910</v>
      </c>
      <c r="AK130" s="1">
        <v>-75819</v>
      </c>
      <c r="AL130" s="1">
        <v>-77205</v>
      </c>
      <c r="AM130" s="1">
        <v>-78528</v>
      </c>
      <c r="AO130" s="7">
        <f t="shared" si="144"/>
        <v>16536</v>
      </c>
      <c r="AP130" s="8">
        <f t="shared" si="145"/>
        <v>-0.24642346208869814</v>
      </c>
      <c r="AQ130" s="12">
        <f t="shared" si="146"/>
        <v>-17994</v>
      </c>
      <c r="AR130" s="13">
        <f t="shared" si="147"/>
        <v>0.35583768391077353</v>
      </c>
      <c r="AS130" s="17">
        <f t="shared" si="148"/>
        <v>-9966</v>
      </c>
      <c r="AT130" s="18">
        <f t="shared" si="149"/>
        <v>0.14535748665441495</v>
      </c>
    </row>
    <row r="131" spans="1:46" ht="14.25" customHeight="1">
      <c r="A131" t="s">
        <v>111</v>
      </c>
      <c r="B131">
        <v>710335</v>
      </c>
      <c r="C131">
        <v>100569</v>
      </c>
      <c r="D131" s="1">
        <v>99756</v>
      </c>
      <c r="E131" s="1">
        <v>98938</v>
      </c>
      <c r="F131" s="1">
        <v>97516</v>
      </c>
      <c r="G131" s="1">
        <v>97242</v>
      </c>
      <c r="H131" s="1">
        <v>96419</v>
      </c>
      <c r="I131" s="1">
        <v>95592</v>
      </c>
      <c r="J131" s="1">
        <v>94186</v>
      </c>
      <c r="K131" s="1">
        <v>48668</v>
      </c>
      <c r="L131" s="1">
        <v>48100</v>
      </c>
      <c r="M131" s="1">
        <v>47528</v>
      </c>
      <c r="N131" s="1">
        <v>46953</v>
      </c>
      <c r="O131" s="1">
        <v>46375</v>
      </c>
      <c r="P131" s="1">
        <v>45806</v>
      </c>
      <c r="Q131" s="1">
        <v>45223</v>
      </c>
      <c r="R131" s="1">
        <v>44647</v>
      </c>
      <c r="S131" s="1">
        <v>44068</v>
      </c>
      <c r="T131" s="1">
        <v>43486</v>
      </c>
      <c r="U131" s="1">
        <v>42900</v>
      </c>
      <c r="V131" s="1">
        <v>42311</v>
      </c>
      <c r="W131" s="1">
        <v>41719</v>
      </c>
      <c r="X131" s="1">
        <v>42284</v>
      </c>
      <c r="Y131" s="1">
        <v>42921</v>
      </c>
      <c r="Z131" s="1">
        <v>43914</v>
      </c>
      <c r="AA131" s="1">
        <v>44319</v>
      </c>
      <c r="AB131" s="1">
        <v>45252</v>
      </c>
      <c r="AC131" s="1">
        <v>46019</v>
      </c>
      <c r="AD131" s="1">
        <v>45617</v>
      </c>
      <c r="AE131" s="1">
        <v>45237</v>
      </c>
      <c r="AF131" s="1">
        <v>45594</v>
      </c>
      <c r="AG131" s="1">
        <v>46289</v>
      </c>
      <c r="AH131" s="1">
        <v>46960</v>
      </c>
      <c r="AI131" s="1">
        <v>48058</v>
      </c>
      <c r="AJ131" s="1">
        <v>48832</v>
      </c>
      <c r="AK131" s="1">
        <v>49968</v>
      </c>
      <c r="AL131" s="1">
        <v>50913</v>
      </c>
      <c r="AM131" s="1">
        <v>52619</v>
      </c>
      <c r="AO131" s="7">
        <f t="shared" si="144"/>
        <v>-54194</v>
      </c>
      <c r="AP131" s="8">
        <f t="shared" si="145"/>
        <v>-0.53887380803229623</v>
      </c>
      <c r="AQ131" s="12">
        <f t="shared" si="146"/>
        <v>-2056</v>
      </c>
      <c r="AR131" s="13">
        <f t="shared" si="147"/>
        <v>-4.433423180592988E-2</v>
      </c>
      <c r="AS131" s="17">
        <f t="shared" si="148"/>
        <v>8300</v>
      </c>
      <c r="AT131" s="18">
        <f t="shared" si="149"/>
        <v>0.18727859383108814</v>
      </c>
    </row>
    <row r="132" spans="1:46" ht="14.25" customHeight="1">
      <c r="A132" t="s">
        <v>112</v>
      </c>
      <c r="B132">
        <v>710312</v>
      </c>
      <c r="C132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O132" s="7">
        <f t="shared" si="144"/>
        <v>0</v>
      </c>
      <c r="AP132" s="8" t="e">
        <f t="shared" si="145"/>
        <v>#DIV/0!</v>
      </c>
      <c r="AQ132" s="12">
        <f t="shared" si="146"/>
        <v>0</v>
      </c>
      <c r="AR132" s="13" t="e">
        <f t="shared" si="147"/>
        <v>#DIV/0!</v>
      </c>
      <c r="AS132" s="17">
        <f t="shared" si="148"/>
        <v>0</v>
      </c>
      <c r="AT132" s="18" t="e">
        <f t="shared" si="149"/>
        <v>#DIV/0!</v>
      </c>
    </row>
    <row r="133" spans="1:46" ht="14.25" customHeight="1">
      <c r="A133" t="s">
        <v>113</v>
      </c>
      <c r="B133">
        <v>710314</v>
      </c>
      <c r="C133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O133" s="7">
        <f t="shared" si="144"/>
        <v>0</v>
      </c>
      <c r="AP133" s="8" t="e">
        <f t="shared" si="145"/>
        <v>#DIV/0!</v>
      </c>
      <c r="AQ133" s="12">
        <f t="shared" si="146"/>
        <v>0</v>
      </c>
      <c r="AR133" s="13" t="e">
        <f t="shared" si="147"/>
        <v>#DIV/0!</v>
      </c>
      <c r="AS133" s="17">
        <f t="shared" si="148"/>
        <v>0</v>
      </c>
      <c r="AT133" s="18" t="e">
        <f t="shared" si="149"/>
        <v>#DIV/0!</v>
      </c>
    </row>
    <row r="134" spans="1:46" ht="14.25" customHeight="1">
      <c r="A134" t="s">
        <v>114</v>
      </c>
      <c r="B134">
        <v>710322</v>
      </c>
      <c r="C134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O134" s="7">
        <f t="shared" si="144"/>
        <v>0</v>
      </c>
      <c r="AP134" s="8" t="e">
        <f t="shared" si="145"/>
        <v>#DIV/0!</v>
      </c>
      <c r="AQ134" s="12">
        <f t="shared" si="146"/>
        <v>0</v>
      </c>
      <c r="AR134" s="13" t="e">
        <f t="shared" si="147"/>
        <v>#DIV/0!</v>
      </c>
      <c r="AS134" s="17">
        <f t="shared" si="148"/>
        <v>0</v>
      </c>
      <c r="AT134" s="18" t="e">
        <f t="shared" si="149"/>
        <v>#DIV/0!</v>
      </c>
    </row>
    <row r="135" spans="1:46" ht="14.25" customHeight="1">
      <c r="A135" t="s">
        <v>115</v>
      </c>
      <c r="B135">
        <v>710324</v>
      </c>
      <c r="C135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O135" s="7">
        <f t="shared" si="144"/>
        <v>0</v>
      </c>
      <c r="AP135" s="8" t="e">
        <f t="shared" si="145"/>
        <v>#DIV/0!</v>
      </c>
      <c r="AQ135" s="12">
        <f t="shared" si="146"/>
        <v>0</v>
      </c>
      <c r="AR135" s="13" t="e">
        <f t="shared" si="147"/>
        <v>#DIV/0!</v>
      </c>
      <c r="AS135" s="17">
        <f t="shared" si="148"/>
        <v>0</v>
      </c>
      <c r="AT135" s="18" t="e">
        <f t="shared" si="149"/>
        <v>#DIV/0!</v>
      </c>
    </row>
    <row r="136" spans="1:46" ht="14.25" customHeight="1">
      <c r="A136" t="s">
        <v>116</v>
      </c>
      <c r="B136">
        <v>710326</v>
      </c>
      <c r="C136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O136" s="7">
        <f t="shared" si="144"/>
        <v>0</v>
      </c>
      <c r="AP136" s="8" t="e">
        <f t="shared" si="145"/>
        <v>#DIV/0!</v>
      </c>
      <c r="AQ136" s="12">
        <f t="shared" si="146"/>
        <v>0</v>
      </c>
      <c r="AR136" s="13" t="e">
        <f t="shared" si="147"/>
        <v>#DIV/0!</v>
      </c>
      <c r="AS136" s="17">
        <f t="shared" si="148"/>
        <v>0</v>
      </c>
      <c r="AT136" s="18" t="e">
        <f t="shared" si="149"/>
        <v>#DIV/0!</v>
      </c>
    </row>
    <row r="137" spans="1:46" ht="14.25" customHeight="1">
      <c r="A137" t="s">
        <v>117</v>
      </c>
      <c r="B137">
        <v>710327</v>
      </c>
      <c r="C137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O137" s="7">
        <f t="shared" si="144"/>
        <v>0</v>
      </c>
      <c r="AP137" s="8" t="e">
        <f t="shared" si="145"/>
        <v>#DIV/0!</v>
      </c>
      <c r="AQ137" s="12">
        <f t="shared" si="146"/>
        <v>0</v>
      </c>
      <c r="AR137" s="13" t="e">
        <f t="shared" si="147"/>
        <v>#DIV/0!</v>
      </c>
      <c r="AS137" s="17">
        <f t="shared" si="148"/>
        <v>0</v>
      </c>
      <c r="AT137" s="18" t="e">
        <f t="shared" si="149"/>
        <v>#DIV/0!</v>
      </c>
    </row>
    <row r="138" spans="1:46" ht="14.25" customHeight="1">
      <c r="A138" t="s">
        <v>118</v>
      </c>
      <c r="B138">
        <v>710328</v>
      </c>
      <c r="C138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O138" s="7">
        <f t="shared" si="144"/>
        <v>0</v>
      </c>
      <c r="AP138" s="8" t="e">
        <f t="shared" si="145"/>
        <v>#DIV/0!</v>
      </c>
      <c r="AQ138" s="12">
        <f t="shared" si="146"/>
        <v>0</v>
      </c>
      <c r="AR138" s="13" t="e">
        <f t="shared" si="147"/>
        <v>#DIV/0!</v>
      </c>
      <c r="AS138" s="17">
        <f t="shared" si="148"/>
        <v>0</v>
      </c>
      <c r="AT138" s="18" t="e">
        <f t="shared" si="149"/>
        <v>#DIV/0!</v>
      </c>
    </row>
    <row r="139" spans="1:46" ht="14.25" customHeight="1">
      <c r="A139" t="s">
        <v>119</v>
      </c>
      <c r="B139">
        <v>710329</v>
      </c>
      <c r="C139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O139" s="7">
        <f t="shared" si="144"/>
        <v>0</v>
      </c>
      <c r="AP139" s="8" t="e">
        <f t="shared" si="145"/>
        <v>#DIV/0!</v>
      </c>
      <c r="AQ139" s="12">
        <f t="shared" si="146"/>
        <v>0</v>
      </c>
      <c r="AR139" s="13" t="e">
        <f t="shared" si="147"/>
        <v>#DIV/0!</v>
      </c>
      <c r="AS139" s="17">
        <f t="shared" si="148"/>
        <v>0</v>
      </c>
      <c r="AT139" s="18" t="e">
        <f t="shared" si="149"/>
        <v>#DIV/0!</v>
      </c>
    </row>
    <row r="140" spans="1:46" ht="14.25" customHeight="1">
      <c r="A140" t="s">
        <v>120</v>
      </c>
      <c r="B140">
        <v>710330</v>
      </c>
      <c r="C140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O140" s="7">
        <f t="shared" si="144"/>
        <v>0</v>
      </c>
      <c r="AP140" s="8" t="e">
        <f t="shared" si="145"/>
        <v>#DIV/0!</v>
      </c>
      <c r="AQ140" s="12">
        <f t="shared" si="146"/>
        <v>0</v>
      </c>
      <c r="AR140" s="13" t="e">
        <f t="shared" si="147"/>
        <v>#DIV/0!</v>
      </c>
      <c r="AS140" s="17">
        <f t="shared" si="148"/>
        <v>0</v>
      </c>
      <c r="AT140" s="18" t="e">
        <f t="shared" si="149"/>
        <v>#DIV/0!</v>
      </c>
    </row>
    <row r="141" spans="1:46" ht="14.25" customHeight="1">
      <c r="A141" t="s">
        <v>121</v>
      </c>
      <c r="B141">
        <v>710331</v>
      </c>
      <c r="C14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O141" s="7">
        <f t="shared" si="144"/>
        <v>0</v>
      </c>
      <c r="AP141" s="8" t="e">
        <f t="shared" si="145"/>
        <v>#DIV/0!</v>
      </c>
      <c r="AQ141" s="12">
        <f t="shared" si="146"/>
        <v>0</v>
      </c>
      <c r="AR141" s="13" t="e">
        <f t="shared" si="147"/>
        <v>#DIV/0!</v>
      </c>
      <c r="AS141" s="17">
        <f t="shared" si="148"/>
        <v>0</v>
      </c>
      <c r="AT141" s="18" t="e">
        <f t="shared" si="149"/>
        <v>#DIV/0!</v>
      </c>
    </row>
    <row r="142" spans="1:46" ht="14.25" customHeight="1">
      <c r="A142" t="s">
        <v>122</v>
      </c>
      <c r="B142">
        <v>710332</v>
      </c>
      <c r="C142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O142" s="7">
        <f t="shared" si="144"/>
        <v>0</v>
      </c>
      <c r="AP142" s="8" t="e">
        <f t="shared" si="145"/>
        <v>#DIV/0!</v>
      </c>
      <c r="AQ142" s="12">
        <f t="shared" si="146"/>
        <v>0</v>
      </c>
      <c r="AR142" s="13" t="e">
        <f t="shared" si="147"/>
        <v>#DIV/0!</v>
      </c>
      <c r="AS142" s="17">
        <f t="shared" si="148"/>
        <v>0</v>
      </c>
      <c r="AT142" s="18" t="e">
        <f t="shared" si="149"/>
        <v>#DIV/0!</v>
      </c>
    </row>
    <row r="143" spans="1:46" ht="14.25" customHeight="1">
      <c r="A143" t="s">
        <v>123</v>
      </c>
      <c r="B143">
        <v>710333</v>
      </c>
      <c r="C143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O143" s="7">
        <f t="shared" si="144"/>
        <v>0</v>
      </c>
      <c r="AP143" s="8" t="e">
        <f t="shared" si="145"/>
        <v>#DIV/0!</v>
      </c>
      <c r="AQ143" s="12">
        <f t="shared" si="146"/>
        <v>0</v>
      </c>
      <c r="AR143" s="13" t="e">
        <f t="shared" si="147"/>
        <v>#DIV/0!</v>
      </c>
      <c r="AS143" s="17">
        <f t="shared" si="148"/>
        <v>0</v>
      </c>
      <c r="AT143" s="18" t="e">
        <f t="shared" si="149"/>
        <v>#DIV/0!</v>
      </c>
    </row>
    <row r="144" spans="1:46" ht="14.25" customHeight="1">
      <c r="A144" t="s">
        <v>124</v>
      </c>
      <c r="B144">
        <v>710334</v>
      </c>
      <c r="C144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O144" s="7">
        <f t="shared" si="144"/>
        <v>0</v>
      </c>
      <c r="AP144" s="8" t="e">
        <f t="shared" si="145"/>
        <v>#DIV/0!</v>
      </c>
      <c r="AQ144" s="12">
        <f t="shared" si="146"/>
        <v>0</v>
      </c>
      <c r="AR144" s="13" t="e">
        <f t="shared" si="147"/>
        <v>#DIV/0!</v>
      </c>
      <c r="AS144" s="17">
        <f t="shared" si="148"/>
        <v>0</v>
      </c>
      <c r="AT144" s="18" t="e">
        <f t="shared" si="149"/>
        <v>#DIV/0!</v>
      </c>
    </row>
    <row r="145" spans="1:46" ht="14.25" customHeight="1">
      <c r="A145" t="s">
        <v>125</v>
      </c>
      <c r="B145">
        <v>710320</v>
      </c>
      <c r="C145">
        <v>402462</v>
      </c>
      <c r="D145" s="1">
        <v>400918</v>
      </c>
      <c r="E145" s="1">
        <v>399368</v>
      </c>
      <c r="F145" s="1">
        <v>397811</v>
      </c>
      <c r="G145" s="1">
        <v>396247</v>
      </c>
      <c r="H145" s="1">
        <v>394677</v>
      </c>
      <c r="I145" s="1">
        <v>394677</v>
      </c>
      <c r="J145" s="1">
        <v>391518</v>
      </c>
      <c r="K145" s="1">
        <v>389928</v>
      </c>
      <c r="L145" s="1">
        <v>388332</v>
      </c>
      <c r="M145" s="1">
        <v>386729</v>
      </c>
      <c r="N145" s="1">
        <v>385120</v>
      </c>
      <c r="O145" s="1">
        <v>383504</v>
      </c>
      <c r="P145" s="1">
        <v>378881</v>
      </c>
      <c r="Q145" s="1">
        <v>380251</v>
      </c>
      <c r="R145" s="1">
        <v>378614</v>
      </c>
      <c r="S145" s="1">
        <v>376971</v>
      </c>
      <c r="T145" s="1">
        <v>375321</v>
      </c>
      <c r="U145" s="1">
        <v>375321</v>
      </c>
      <c r="V145" s="1">
        <v>373664</v>
      </c>
      <c r="W145" s="1">
        <v>370329</v>
      </c>
      <c r="X145" s="1">
        <v>381155</v>
      </c>
      <c r="Y145" s="1">
        <v>385339</v>
      </c>
      <c r="Z145" s="1">
        <v>387767</v>
      </c>
      <c r="AA145" s="1">
        <v>392337</v>
      </c>
      <c r="AB145" s="1">
        <v>393854</v>
      </c>
      <c r="AC145" s="1">
        <v>398045</v>
      </c>
      <c r="AD145" s="1">
        <v>397496</v>
      </c>
      <c r="AE145" s="1">
        <v>395966</v>
      </c>
      <c r="AF145" s="1">
        <v>394498</v>
      </c>
      <c r="AG145" s="1">
        <v>394837</v>
      </c>
      <c r="AH145" s="1">
        <v>399867</v>
      </c>
      <c r="AI145" s="1">
        <v>401660</v>
      </c>
      <c r="AJ145" s="1">
        <v>406749</v>
      </c>
      <c r="AK145" s="1">
        <v>408262</v>
      </c>
      <c r="AL145" s="1">
        <v>413786</v>
      </c>
      <c r="AM145" s="1">
        <v>417244</v>
      </c>
      <c r="AO145" s="7">
        <f t="shared" si="144"/>
        <v>-18958</v>
      </c>
      <c r="AP145" s="8">
        <f t="shared" si="145"/>
        <v>-4.7105068304585274E-2</v>
      </c>
      <c r="AQ145" s="12">
        <f t="shared" si="146"/>
        <v>8833</v>
      </c>
      <c r="AR145" s="13">
        <f t="shared" si="147"/>
        <v>2.3032354290959178E-2</v>
      </c>
      <c r="AS145" s="17">
        <f t="shared" si="148"/>
        <v>24907</v>
      </c>
      <c r="AT145" s="18">
        <f t="shared" si="149"/>
        <v>6.3483688767564717E-2</v>
      </c>
    </row>
    <row r="146" spans="1:46" ht="14.25" customHeight="1">
      <c r="A146" t="s">
        <v>126</v>
      </c>
      <c r="B146">
        <v>710336</v>
      </c>
      <c r="C146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O146" s="7">
        <f t="shared" si="144"/>
        <v>0</v>
      </c>
      <c r="AP146" s="8" t="e">
        <f t="shared" si="145"/>
        <v>#DIV/0!</v>
      </c>
      <c r="AQ146" s="12">
        <f t="shared" si="146"/>
        <v>0</v>
      </c>
      <c r="AR146" s="13" t="e">
        <f t="shared" si="147"/>
        <v>#DIV/0!</v>
      </c>
      <c r="AS146" s="17">
        <f t="shared" si="148"/>
        <v>0</v>
      </c>
      <c r="AT146" s="18" t="e">
        <f t="shared" si="149"/>
        <v>#DIV/0!</v>
      </c>
    </row>
    <row r="147" spans="1:46" ht="14.25" customHeight="1">
      <c r="A147" t="s">
        <v>127</v>
      </c>
      <c r="B147">
        <v>710337</v>
      </c>
      <c r="C147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O147" s="7">
        <f t="shared" si="144"/>
        <v>0</v>
      </c>
      <c r="AP147" s="8" t="e">
        <f t="shared" si="145"/>
        <v>#DIV/0!</v>
      </c>
      <c r="AQ147" s="12">
        <f t="shared" si="146"/>
        <v>0</v>
      </c>
      <c r="AR147" s="13" t="e">
        <f t="shared" si="147"/>
        <v>#DIV/0!</v>
      </c>
      <c r="AS147" s="17">
        <f t="shared" si="148"/>
        <v>0</v>
      </c>
      <c r="AT147" s="18" t="e">
        <f t="shared" si="149"/>
        <v>#DIV/0!</v>
      </c>
    </row>
    <row r="148" spans="1:46" ht="14.25" customHeight="1">
      <c r="A148" t="s">
        <v>128</v>
      </c>
      <c r="B148">
        <v>710338</v>
      </c>
      <c r="C148">
        <v>517223</v>
      </c>
      <c r="D148" s="1">
        <v>514044</v>
      </c>
      <c r="E148" s="1">
        <v>510850</v>
      </c>
      <c r="F148" s="1">
        <v>507598</v>
      </c>
      <c r="G148" s="1">
        <v>503706</v>
      </c>
      <c r="H148" s="1">
        <v>500015</v>
      </c>
      <c r="I148" s="1">
        <v>496332</v>
      </c>
      <c r="J148" s="1">
        <v>492593</v>
      </c>
      <c r="K148" s="1">
        <v>488901</v>
      </c>
      <c r="L148" s="1">
        <v>485818</v>
      </c>
      <c r="M148" s="1">
        <v>483395</v>
      </c>
      <c r="N148" s="1">
        <v>480479</v>
      </c>
      <c r="O148" s="1">
        <v>478601</v>
      </c>
      <c r="P148" s="1">
        <v>441293</v>
      </c>
      <c r="Q148" s="1">
        <v>439584</v>
      </c>
      <c r="R148" s="1">
        <v>436964</v>
      </c>
      <c r="S148" s="1">
        <v>434673</v>
      </c>
      <c r="T148" s="1">
        <v>431425</v>
      </c>
      <c r="U148" s="1">
        <v>429950</v>
      </c>
      <c r="V148" s="1">
        <v>427386</v>
      </c>
      <c r="W148" s="1">
        <v>424577</v>
      </c>
      <c r="X148" s="1">
        <v>429845</v>
      </c>
      <c r="Y148" s="1">
        <v>429370</v>
      </c>
      <c r="Z148" s="1">
        <v>426925</v>
      </c>
      <c r="AA148" s="1">
        <v>426822</v>
      </c>
      <c r="AB148" s="1">
        <v>423394</v>
      </c>
      <c r="AC148" s="1">
        <v>419764</v>
      </c>
      <c r="AD148" s="1">
        <v>415893</v>
      </c>
      <c r="AE148" s="1">
        <v>411049</v>
      </c>
      <c r="AF148" s="1">
        <v>406331</v>
      </c>
      <c r="AG148" s="1">
        <v>403935</v>
      </c>
      <c r="AH148" s="1">
        <v>405727</v>
      </c>
      <c r="AI148" s="1">
        <v>404754</v>
      </c>
      <c r="AJ148" s="1">
        <v>406632</v>
      </c>
      <c r="AK148" s="1">
        <v>405318</v>
      </c>
      <c r="AL148" s="1">
        <v>407651</v>
      </c>
      <c r="AM148" s="1">
        <v>408189</v>
      </c>
      <c r="AO148" s="7">
        <f t="shared" si="144"/>
        <v>-38622</v>
      </c>
      <c r="AP148" s="8">
        <f t="shared" si="145"/>
        <v>-7.4671853339855376E-2</v>
      </c>
      <c r="AQ148" s="12">
        <f t="shared" si="146"/>
        <v>-51779</v>
      </c>
      <c r="AR148" s="13">
        <f t="shared" si="147"/>
        <v>-0.1081882403087332</v>
      </c>
      <c r="AS148" s="17">
        <f t="shared" si="148"/>
        <v>-18633</v>
      </c>
      <c r="AT148" s="18">
        <f t="shared" si="149"/>
        <v>-4.3655200528557536E-2</v>
      </c>
    </row>
    <row r="149" spans="1:46" ht="14.25" customHeight="1">
      <c r="A149" t="s">
        <v>129</v>
      </c>
      <c r="B149">
        <v>710339</v>
      </c>
      <c r="C149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O149" s="7">
        <f t="shared" si="144"/>
        <v>0</v>
      </c>
      <c r="AP149" s="8" t="e">
        <f t="shared" si="145"/>
        <v>#DIV/0!</v>
      </c>
      <c r="AQ149" s="12">
        <f t="shared" si="146"/>
        <v>0</v>
      </c>
      <c r="AR149" s="13" t="e">
        <f t="shared" si="147"/>
        <v>#DIV/0!</v>
      </c>
      <c r="AS149" s="17">
        <f t="shared" si="148"/>
        <v>0</v>
      </c>
      <c r="AT149" s="18" t="e">
        <f t="shared" si="149"/>
        <v>#DIV/0!</v>
      </c>
    </row>
    <row r="150" spans="1:46" ht="14.25" customHeight="1">
      <c r="A150" t="s">
        <v>130</v>
      </c>
      <c r="B150">
        <v>710397</v>
      </c>
      <c r="C150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O150" s="7">
        <f t="shared" si="144"/>
        <v>0</v>
      </c>
      <c r="AP150" s="8" t="e">
        <f t="shared" si="145"/>
        <v>#DIV/0!</v>
      </c>
      <c r="AQ150" s="12">
        <f t="shared" si="146"/>
        <v>0</v>
      </c>
      <c r="AR150" s="13" t="e">
        <f t="shared" si="147"/>
        <v>#DIV/0!</v>
      </c>
      <c r="AS150" s="17">
        <f t="shared" si="148"/>
        <v>0</v>
      </c>
      <c r="AT150" s="18" t="e">
        <f t="shared" si="149"/>
        <v>#DIV/0!</v>
      </c>
    </row>
    <row r="151" spans="1:46" ht="14.25" customHeight="1">
      <c r="A151" t="s">
        <v>131</v>
      </c>
      <c r="C15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O151" s="7">
        <f t="shared" si="144"/>
        <v>0</v>
      </c>
      <c r="AP151" s="8" t="e">
        <f t="shared" si="145"/>
        <v>#DIV/0!</v>
      </c>
      <c r="AQ151" s="12">
        <f t="shared" si="146"/>
        <v>0</v>
      </c>
      <c r="AR151" s="13" t="e">
        <f t="shared" si="147"/>
        <v>#DIV/0!</v>
      </c>
      <c r="AS151" s="17">
        <f t="shared" si="148"/>
        <v>0</v>
      </c>
      <c r="AT151" s="18" t="e">
        <f t="shared" si="149"/>
        <v>#DIV/0!</v>
      </c>
    </row>
    <row r="152" spans="1:46" ht="14.25" customHeight="1">
      <c r="A152" t="s">
        <v>11</v>
      </c>
      <c r="B152" t="s">
        <v>12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O152" s="7"/>
      <c r="AP152" s="8"/>
      <c r="AQ152" s="12"/>
      <c r="AR152" s="13"/>
      <c r="AS152" s="17"/>
      <c r="AT152" s="18"/>
    </row>
    <row r="153" spans="1:46">
      <c r="A153" t="s">
        <v>132</v>
      </c>
      <c r="C153">
        <v>181000560</v>
      </c>
      <c r="D153" s="1">
        <v>180418894</v>
      </c>
      <c r="E153" s="1">
        <v>179662424</v>
      </c>
      <c r="F153" s="1">
        <v>178307668</v>
      </c>
      <c r="G153" s="1">
        <v>178453965</v>
      </c>
      <c r="H153" s="1">
        <v>177336547</v>
      </c>
      <c r="I153" s="1">
        <v>176501585</v>
      </c>
      <c r="J153" s="1">
        <v>175820370</v>
      </c>
      <c r="K153" s="1">
        <v>175686651</v>
      </c>
      <c r="L153" s="1">
        <v>174276844</v>
      </c>
      <c r="M153" s="1">
        <v>173426961</v>
      </c>
      <c r="N153" s="1">
        <v>172905687</v>
      </c>
      <c r="O153" s="1">
        <v>172182347</v>
      </c>
      <c r="P153" s="1">
        <v>171790506</v>
      </c>
      <c r="Q153" s="1">
        <v>171054654</v>
      </c>
      <c r="R153" s="1">
        <v>170477370</v>
      </c>
      <c r="S153" s="1">
        <v>169618444</v>
      </c>
      <c r="T153" s="1">
        <v>171593308</v>
      </c>
      <c r="U153" s="1">
        <v>170524435</v>
      </c>
      <c r="V153" s="1">
        <v>168848499</v>
      </c>
      <c r="W153" s="1">
        <v>168719524</v>
      </c>
      <c r="X153" s="1">
        <v>172351330</v>
      </c>
      <c r="Y153" s="1">
        <v>174438215</v>
      </c>
      <c r="Z153" s="1">
        <v>176739267</v>
      </c>
      <c r="AA153" s="1">
        <v>180085659</v>
      </c>
      <c r="AB153" s="1">
        <v>182101659</v>
      </c>
      <c r="AC153" s="1">
        <v>186903189</v>
      </c>
      <c r="AD153" s="1">
        <v>186687226</v>
      </c>
      <c r="AE153" s="1">
        <v>186086917</v>
      </c>
      <c r="AF153" s="1">
        <v>185625621</v>
      </c>
      <c r="AG153" s="1">
        <v>187009990</v>
      </c>
      <c r="AH153" s="1">
        <v>190062871</v>
      </c>
      <c r="AI153" s="1">
        <v>194007810</v>
      </c>
      <c r="AJ153" s="1">
        <v>197605899</v>
      </c>
      <c r="AK153" s="1">
        <v>201703680</v>
      </c>
      <c r="AL153" s="1">
        <v>205992266</v>
      </c>
      <c r="AM153" s="1">
        <v>212387369</v>
      </c>
      <c r="AO153" s="7">
        <f t="shared" ref="AO153" si="150">+O153-C153</f>
        <v>-8818213</v>
      </c>
      <c r="AP153" s="8">
        <f t="shared" ref="AP153" si="151">+(O153/C153)-1</f>
        <v>-4.8719258106162733E-2</v>
      </c>
      <c r="AQ153" s="12">
        <f t="shared" ref="AQ153" si="152">+(AA153-O153)</f>
        <v>7903312</v>
      </c>
      <c r="AR153" s="13">
        <f t="shared" ref="AR153" si="153">+(AA153/O153)-1</f>
        <v>4.5900826290862451E-2</v>
      </c>
      <c r="AS153" s="17">
        <f t="shared" ref="AS153" si="154">+AM153-AA153</f>
        <v>32301710</v>
      </c>
      <c r="AT153" s="18">
        <f t="shared" ref="AT153" si="155">+(AM153/AA153)-1</f>
        <v>0.17936858592387961</v>
      </c>
    </row>
    <row r="154" spans="1:46" ht="14.25" hidden="1" customHeight="1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O154" s="7"/>
      <c r="AP154" s="8"/>
      <c r="AQ154" s="12"/>
      <c r="AR154" s="13"/>
      <c r="AS154" s="17"/>
      <c r="AT154" s="18"/>
    </row>
    <row r="155" spans="1:46" ht="14.25" hidden="1" customHeight="1">
      <c r="A155" t="s">
        <v>133</v>
      </c>
      <c r="B155">
        <v>710340</v>
      </c>
      <c r="C155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O155" s="7">
        <f t="shared" ref="AO155:AO179" si="156">+O155-C155</f>
        <v>0</v>
      </c>
      <c r="AP155" s="8" t="e">
        <f t="shared" ref="AP155:AP179" si="157">+(O155/C155)-1</f>
        <v>#DIV/0!</v>
      </c>
      <c r="AQ155" s="12">
        <f t="shared" ref="AQ155:AQ179" si="158">+(AA155-O155)</f>
        <v>0</v>
      </c>
      <c r="AR155" s="13" t="e">
        <f t="shared" ref="AR155:AR179" si="159">+(AA155/O155)-1</f>
        <v>#DIV/0!</v>
      </c>
      <c r="AS155" s="17">
        <f t="shared" ref="AS155:AS179" si="160">+AM155-AA155</f>
        <v>0</v>
      </c>
      <c r="AT155" s="18" t="e">
        <f t="shared" ref="AT155:AT179" si="161">+(AM155/AA155)-1</f>
        <v>#DIV/0!</v>
      </c>
    </row>
    <row r="156" spans="1:46" ht="14.25" hidden="1" customHeight="1">
      <c r="A156" t="s">
        <v>134</v>
      </c>
      <c r="B156">
        <v>710341</v>
      </c>
      <c r="C156">
        <v>0</v>
      </c>
      <c r="D156" s="1">
        <v>0</v>
      </c>
      <c r="E156" s="1">
        <v>0</v>
      </c>
      <c r="F156" s="1">
        <v>0</v>
      </c>
      <c r="G156" s="1">
        <v>0</v>
      </c>
      <c r="H156" s="1">
        <v>975000</v>
      </c>
      <c r="I156" s="1">
        <v>1429400</v>
      </c>
      <c r="J156" s="1">
        <v>1428282</v>
      </c>
      <c r="K156" s="1">
        <v>1426674</v>
      </c>
      <c r="L156" s="1">
        <v>1425059</v>
      </c>
      <c r="M156" s="1">
        <v>1422944</v>
      </c>
      <c r="N156" s="1">
        <v>1421305</v>
      </c>
      <c r="O156" s="1">
        <v>1419774</v>
      </c>
      <c r="P156" s="1">
        <v>1418235</v>
      </c>
      <c r="Q156" s="1">
        <v>1416689</v>
      </c>
      <c r="R156" s="1">
        <v>1415136</v>
      </c>
      <c r="S156" s="1">
        <v>1413070</v>
      </c>
      <c r="T156" s="1">
        <v>1411997</v>
      </c>
      <c r="U156" s="1">
        <v>1410421</v>
      </c>
      <c r="V156" s="1">
        <v>1408838</v>
      </c>
      <c r="W156" s="1">
        <v>1407247</v>
      </c>
      <c r="X156" s="1">
        <v>1436632</v>
      </c>
      <c r="Y156" s="1">
        <v>1457824</v>
      </c>
      <c r="Z156" s="1">
        <v>1472191</v>
      </c>
      <c r="AA156" s="1">
        <v>1494732</v>
      </c>
      <c r="AB156" s="1">
        <v>1505061</v>
      </c>
      <c r="AC156" s="1">
        <v>1505166</v>
      </c>
      <c r="AD156" s="1">
        <v>1501085</v>
      </c>
      <c r="AE156" s="1">
        <v>1496379</v>
      </c>
      <c r="AF156" s="1">
        <v>1491638</v>
      </c>
      <c r="AG156" s="1">
        <v>1493093</v>
      </c>
      <c r="AH156" s="1">
        <v>1496678</v>
      </c>
      <c r="AI156" s="1">
        <v>1508774</v>
      </c>
      <c r="AJ156" s="1">
        <v>1526721</v>
      </c>
      <c r="AK156" s="1">
        <v>1538256</v>
      </c>
      <c r="AL156" s="1">
        <v>1558243</v>
      </c>
      <c r="AM156" s="1">
        <v>1577634</v>
      </c>
      <c r="AO156" s="7">
        <f t="shared" si="156"/>
        <v>1419774</v>
      </c>
      <c r="AP156" s="8" t="e">
        <f t="shared" si="157"/>
        <v>#DIV/0!</v>
      </c>
      <c r="AQ156" s="12">
        <f t="shared" si="158"/>
        <v>74958</v>
      </c>
      <c r="AR156" s="13">
        <f t="shared" si="159"/>
        <v>5.2795726643817931E-2</v>
      </c>
      <c r="AS156" s="17">
        <f t="shared" si="160"/>
        <v>82902</v>
      </c>
      <c r="AT156" s="18">
        <f t="shared" si="161"/>
        <v>5.5462785301980455E-2</v>
      </c>
    </row>
    <row r="157" spans="1:46" ht="14.25" hidden="1" customHeight="1">
      <c r="A157" t="s">
        <v>135</v>
      </c>
      <c r="B157">
        <v>710345</v>
      </c>
      <c r="C157">
        <v>0</v>
      </c>
      <c r="D157" s="1">
        <v>0</v>
      </c>
      <c r="E157" s="1">
        <v>0</v>
      </c>
      <c r="F157" s="1">
        <v>0</v>
      </c>
      <c r="G157" s="1">
        <v>0</v>
      </c>
      <c r="H157" s="1">
        <v>218</v>
      </c>
      <c r="I157" s="1">
        <v>-471</v>
      </c>
      <c r="J157" s="1">
        <v>-469</v>
      </c>
      <c r="K157" s="1">
        <v>-469</v>
      </c>
      <c r="L157" s="1">
        <v>-467</v>
      </c>
      <c r="M157" s="1">
        <v>-466</v>
      </c>
      <c r="N157" s="1">
        <v>-463</v>
      </c>
      <c r="O157" s="1">
        <v>-461</v>
      </c>
      <c r="P157" s="1">
        <v>-460</v>
      </c>
      <c r="Q157" s="1">
        <v>-459</v>
      </c>
      <c r="R157" s="1">
        <v>-457</v>
      </c>
      <c r="S157" s="1">
        <v>-456</v>
      </c>
      <c r="T157" s="1">
        <v>-454</v>
      </c>
      <c r="U157" s="1">
        <v>-453</v>
      </c>
      <c r="V157" s="1">
        <v>-452</v>
      </c>
      <c r="W157" s="1">
        <v>-450</v>
      </c>
      <c r="X157" s="1">
        <v>-462</v>
      </c>
      <c r="Y157" s="1">
        <v>-470</v>
      </c>
      <c r="Z157" s="1">
        <v>-476</v>
      </c>
      <c r="AA157" s="1">
        <v>-484</v>
      </c>
      <c r="AB157" s="1">
        <v>-489</v>
      </c>
      <c r="AC157" s="1">
        <v>-497</v>
      </c>
      <c r="AD157" s="1">
        <v>-500</v>
      </c>
      <c r="AE157" s="1">
        <v>-501</v>
      </c>
      <c r="AF157" s="1">
        <v>-502</v>
      </c>
      <c r="AG157" s="1">
        <v>-507</v>
      </c>
      <c r="AH157" s="1">
        <v>-516</v>
      </c>
      <c r="AI157" s="1">
        <v>-523</v>
      </c>
      <c r="AJ157" s="1">
        <v>-532</v>
      </c>
      <c r="AK157" s="1">
        <v>-539</v>
      </c>
      <c r="AL157" s="1">
        <v>-549</v>
      </c>
      <c r="AM157" s="1">
        <v>-559</v>
      </c>
      <c r="AO157" s="7">
        <f t="shared" si="156"/>
        <v>-461</v>
      </c>
      <c r="AP157" s="8" t="e">
        <f t="shared" si="157"/>
        <v>#DIV/0!</v>
      </c>
      <c r="AQ157" s="12">
        <f t="shared" si="158"/>
        <v>-23</v>
      </c>
      <c r="AR157" s="13">
        <f t="shared" si="159"/>
        <v>4.9891540130151846E-2</v>
      </c>
      <c r="AS157" s="17">
        <f t="shared" si="160"/>
        <v>-75</v>
      </c>
      <c r="AT157" s="18">
        <f t="shared" si="161"/>
        <v>0.1549586776859504</v>
      </c>
    </row>
    <row r="158" spans="1:46" ht="14.25" hidden="1" customHeight="1">
      <c r="A158" t="s">
        <v>136</v>
      </c>
      <c r="B158">
        <v>710342</v>
      </c>
      <c r="C158">
        <v>1109493</v>
      </c>
      <c r="D158" s="1">
        <v>979426</v>
      </c>
      <c r="E158" s="1">
        <v>960913</v>
      </c>
      <c r="F158" s="1">
        <v>957816</v>
      </c>
      <c r="G158" s="1">
        <v>955052</v>
      </c>
      <c r="H158" s="1">
        <v>951018</v>
      </c>
      <c r="I158" s="1">
        <v>949002</v>
      </c>
      <c r="J158" s="1">
        <v>945642</v>
      </c>
      <c r="K158" s="1">
        <v>850487</v>
      </c>
      <c r="L158" s="1">
        <v>848086</v>
      </c>
      <c r="M158" s="1">
        <v>844959</v>
      </c>
      <c r="N158" s="1">
        <v>842633</v>
      </c>
      <c r="O158" s="1">
        <v>838394</v>
      </c>
      <c r="P158" s="1">
        <v>836139</v>
      </c>
      <c r="Q158" s="1">
        <v>833240</v>
      </c>
      <c r="R158" s="1">
        <v>830696</v>
      </c>
      <c r="S158" s="1">
        <v>827735</v>
      </c>
      <c r="T158" s="1">
        <v>824812</v>
      </c>
      <c r="U158" s="1">
        <v>821773</v>
      </c>
      <c r="V158" s="1">
        <v>818236</v>
      </c>
      <c r="W158" s="1">
        <v>815499</v>
      </c>
      <c r="X158" s="1">
        <v>836809</v>
      </c>
      <c r="Y158" s="1">
        <v>849659</v>
      </c>
      <c r="Z158" s="1">
        <v>858499</v>
      </c>
      <c r="AA158" s="1">
        <v>872212</v>
      </c>
      <c r="AB158" s="1">
        <v>879201</v>
      </c>
      <c r="AC158" s="1">
        <v>905072</v>
      </c>
      <c r="AD158" s="1">
        <v>907095</v>
      </c>
      <c r="AE158" s="1">
        <v>906884</v>
      </c>
      <c r="AF158" s="1">
        <v>906723</v>
      </c>
      <c r="AG158" s="1">
        <v>908584</v>
      </c>
      <c r="AH158" s="1">
        <v>926554</v>
      </c>
      <c r="AI158" s="1">
        <v>934588</v>
      </c>
      <c r="AJ158" s="1">
        <v>959343</v>
      </c>
      <c r="AK158" s="1">
        <v>971903</v>
      </c>
      <c r="AL158" s="1">
        <v>1000045</v>
      </c>
      <c r="AM158" s="1">
        <v>1023721</v>
      </c>
      <c r="AO158" s="7">
        <f t="shared" si="156"/>
        <v>-271099</v>
      </c>
      <c r="AP158" s="8">
        <f t="shared" si="157"/>
        <v>-0.24434493953544545</v>
      </c>
      <c r="AQ158" s="12">
        <f t="shared" si="158"/>
        <v>33818</v>
      </c>
      <c r="AR158" s="13">
        <f t="shared" si="159"/>
        <v>4.0336643630560332E-2</v>
      </c>
      <c r="AS158" s="17">
        <f t="shared" si="160"/>
        <v>151509</v>
      </c>
      <c r="AT158" s="18">
        <f t="shared" si="161"/>
        <v>0.17370662178461194</v>
      </c>
    </row>
    <row r="159" spans="1:46" ht="14.25" hidden="1" customHeight="1">
      <c r="A159" t="s">
        <v>137</v>
      </c>
      <c r="B159">
        <v>710343</v>
      </c>
      <c r="C159">
        <v>7254</v>
      </c>
      <c r="D159" s="1">
        <v>7005</v>
      </c>
      <c r="E159" s="1">
        <v>6755</v>
      </c>
      <c r="F159" s="1">
        <v>6502</v>
      </c>
      <c r="G159" s="1">
        <v>6299</v>
      </c>
      <c r="H159" s="1">
        <v>6043</v>
      </c>
      <c r="I159" s="1">
        <v>5786</v>
      </c>
      <c r="J159" s="1">
        <v>5627</v>
      </c>
      <c r="K159" s="1">
        <v>5417</v>
      </c>
      <c r="L159" s="1">
        <v>5155</v>
      </c>
      <c r="M159" s="1">
        <v>5042</v>
      </c>
      <c r="N159" s="1">
        <v>4777</v>
      </c>
      <c r="O159" s="1">
        <v>4561</v>
      </c>
      <c r="P159" s="1">
        <v>4444</v>
      </c>
      <c r="Q159" s="1">
        <v>4325</v>
      </c>
      <c r="R159" s="1">
        <v>4056</v>
      </c>
      <c r="S159" s="1">
        <v>3784</v>
      </c>
      <c r="T159" s="1">
        <v>3511</v>
      </c>
      <c r="U159" s="1">
        <v>3236</v>
      </c>
      <c r="V159" s="1">
        <v>2959</v>
      </c>
      <c r="W159" s="1">
        <v>2959</v>
      </c>
      <c r="X159" s="1">
        <v>2975</v>
      </c>
      <c r="Y159" s="1">
        <v>3061</v>
      </c>
      <c r="Z159" s="1">
        <v>3098</v>
      </c>
      <c r="AA159" s="1">
        <v>3160</v>
      </c>
      <c r="AB159" s="1">
        <v>3193</v>
      </c>
      <c r="AC159" s="1">
        <v>3281</v>
      </c>
      <c r="AD159" s="1">
        <v>3222</v>
      </c>
      <c r="AE159" s="1">
        <v>3223</v>
      </c>
      <c r="AF159" s="1">
        <v>3219</v>
      </c>
      <c r="AG159" s="1">
        <v>3298</v>
      </c>
      <c r="AH159" s="1">
        <v>3316</v>
      </c>
      <c r="AI159" s="1">
        <v>3423</v>
      </c>
      <c r="AJ159" s="1">
        <v>3449</v>
      </c>
      <c r="AK159" s="1">
        <v>3559</v>
      </c>
      <c r="AL159" s="1">
        <v>3597</v>
      </c>
      <c r="AM159" s="1">
        <v>3747</v>
      </c>
      <c r="AO159" s="7">
        <f t="shared" si="156"/>
        <v>-2693</v>
      </c>
      <c r="AP159" s="8">
        <f t="shared" si="157"/>
        <v>-0.37124345188861319</v>
      </c>
      <c r="AQ159" s="12">
        <f t="shared" si="158"/>
        <v>-1401</v>
      </c>
      <c r="AR159" s="13">
        <f t="shared" si="159"/>
        <v>-0.30716948037711034</v>
      </c>
      <c r="AS159" s="17">
        <f t="shared" si="160"/>
        <v>587</v>
      </c>
      <c r="AT159" s="18">
        <f t="shared" si="161"/>
        <v>0.18575949367088618</v>
      </c>
    </row>
    <row r="160" spans="1:46" ht="14.25" hidden="1" customHeight="1">
      <c r="A160" t="s">
        <v>138</v>
      </c>
      <c r="B160">
        <v>710344</v>
      </c>
      <c r="C160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O160" s="7">
        <f t="shared" si="156"/>
        <v>0</v>
      </c>
      <c r="AP160" s="8" t="e">
        <f t="shared" si="157"/>
        <v>#DIV/0!</v>
      </c>
      <c r="AQ160" s="12">
        <f t="shared" si="158"/>
        <v>0</v>
      </c>
      <c r="AR160" s="13" t="e">
        <f t="shared" si="159"/>
        <v>#DIV/0!</v>
      </c>
      <c r="AS160" s="17">
        <f t="shared" si="160"/>
        <v>0</v>
      </c>
      <c r="AT160" s="18" t="e">
        <f t="shared" si="161"/>
        <v>#DIV/0!</v>
      </c>
    </row>
    <row r="161" spans="1:46" ht="14.25" hidden="1" customHeight="1">
      <c r="A161" t="s">
        <v>139</v>
      </c>
      <c r="B161">
        <v>710346</v>
      </c>
      <c r="C161">
        <v>53073</v>
      </c>
      <c r="D161" s="1">
        <v>52651</v>
      </c>
      <c r="E161" s="1">
        <v>52207</v>
      </c>
      <c r="F161" s="1">
        <v>51760</v>
      </c>
      <c r="G161" s="1">
        <v>51311</v>
      </c>
      <c r="H161" s="1">
        <v>50860</v>
      </c>
      <c r="I161" s="1">
        <v>50469</v>
      </c>
      <c r="J161" s="1">
        <v>50075</v>
      </c>
      <c r="K161" s="1">
        <v>49679</v>
      </c>
      <c r="L161" s="1">
        <v>49061</v>
      </c>
      <c r="M161" s="1">
        <v>48658</v>
      </c>
      <c r="N161" s="1">
        <v>48253</v>
      </c>
      <c r="O161" s="1">
        <v>47846</v>
      </c>
      <c r="P161" s="1">
        <v>47436</v>
      </c>
      <c r="Q161" s="1">
        <v>47023</v>
      </c>
      <c r="R161" s="1">
        <v>46618</v>
      </c>
      <c r="S161" s="1">
        <v>46201</v>
      </c>
      <c r="T161" s="1">
        <v>45755</v>
      </c>
      <c r="U161" s="1">
        <v>45317</v>
      </c>
      <c r="V161" s="1">
        <v>44878</v>
      </c>
      <c r="W161" s="1">
        <v>44437</v>
      </c>
      <c r="X161" s="1">
        <v>44734</v>
      </c>
      <c r="Y161" s="1">
        <v>46013</v>
      </c>
      <c r="Z161" s="1">
        <v>46475</v>
      </c>
      <c r="AA161" s="1">
        <v>47513</v>
      </c>
      <c r="AB161" s="1">
        <v>47891</v>
      </c>
      <c r="AC161" s="1">
        <v>49323</v>
      </c>
      <c r="AD161" s="1">
        <v>48653</v>
      </c>
      <c r="AE161" s="1">
        <v>48272</v>
      </c>
      <c r="AF161" s="1">
        <v>48476</v>
      </c>
      <c r="AG161" s="1">
        <v>49394</v>
      </c>
      <c r="AH161" s="1">
        <v>49931</v>
      </c>
      <c r="AI161" s="1">
        <v>51279</v>
      </c>
      <c r="AJ161" s="1">
        <v>51924</v>
      </c>
      <c r="AK161" s="1">
        <v>53314</v>
      </c>
      <c r="AL161" s="1">
        <v>54140</v>
      </c>
      <c r="AM161" s="1">
        <v>56138</v>
      </c>
      <c r="AO161" s="7">
        <f t="shared" si="156"/>
        <v>-5227</v>
      </c>
      <c r="AP161" s="8">
        <f t="shared" si="157"/>
        <v>-9.8486989618073228E-2</v>
      </c>
      <c r="AQ161" s="12">
        <f t="shared" si="158"/>
        <v>-333</v>
      </c>
      <c r="AR161" s="13">
        <f t="shared" si="159"/>
        <v>-6.9598294528278037E-3</v>
      </c>
      <c r="AS161" s="17">
        <f t="shared" si="160"/>
        <v>8625</v>
      </c>
      <c r="AT161" s="18">
        <f t="shared" si="161"/>
        <v>0.18152926567465744</v>
      </c>
    </row>
    <row r="162" spans="1:46" ht="14.25" hidden="1" customHeight="1">
      <c r="A162" t="s">
        <v>140</v>
      </c>
      <c r="B162">
        <v>710347</v>
      </c>
      <c r="C162">
        <v>3966651</v>
      </c>
      <c r="D162" s="1">
        <v>3961561</v>
      </c>
      <c r="E162" s="1">
        <v>4635702</v>
      </c>
      <c r="F162" s="1">
        <v>4330103</v>
      </c>
      <c r="G162" s="1">
        <v>5127165</v>
      </c>
      <c r="H162" s="1">
        <v>6020779</v>
      </c>
      <c r="I162" s="1">
        <v>8991858</v>
      </c>
      <c r="J162" s="1">
        <v>9827487</v>
      </c>
      <c r="K162" s="1">
        <v>10601569</v>
      </c>
      <c r="L162" s="1">
        <v>10588939</v>
      </c>
      <c r="M162" s="1">
        <v>10569128</v>
      </c>
      <c r="N162" s="1">
        <v>10551283</v>
      </c>
      <c r="O162" s="1">
        <v>10533818</v>
      </c>
      <c r="P162" s="1">
        <v>10517387</v>
      </c>
      <c r="Q162" s="1">
        <v>9881717</v>
      </c>
      <c r="R162" s="1">
        <v>10925745</v>
      </c>
      <c r="S162" s="1">
        <v>11493571</v>
      </c>
      <c r="T162" s="1">
        <v>11922259</v>
      </c>
      <c r="U162" s="1">
        <v>11893421</v>
      </c>
      <c r="V162" s="1">
        <v>11866357</v>
      </c>
      <c r="W162" s="1">
        <v>11322556</v>
      </c>
      <c r="X162" s="1">
        <v>11503480</v>
      </c>
      <c r="Y162" s="1">
        <v>11600115</v>
      </c>
      <c r="Z162" s="1">
        <v>11642775</v>
      </c>
      <c r="AA162" s="1">
        <v>11748725</v>
      </c>
      <c r="AB162" s="1">
        <v>11762360</v>
      </c>
      <c r="AC162" s="1">
        <v>11715898</v>
      </c>
      <c r="AD162" s="1">
        <v>11663290</v>
      </c>
      <c r="AE162" s="1">
        <v>11621258</v>
      </c>
      <c r="AF162" s="1">
        <v>11581076</v>
      </c>
      <c r="AG162" s="1">
        <v>11567076</v>
      </c>
      <c r="AH162" s="1">
        <v>11618920</v>
      </c>
      <c r="AI162" s="1">
        <v>11672127</v>
      </c>
      <c r="AJ162" s="1">
        <v>11786519</v>
      </c>
      <c r="AK162" s="1">
        <v>11833747</v>
      </c>
      <c r="AL162" s="1">
        <v>11963211</v>
      </c>
      <c r="AM162" s="1">
        <v>12069021</v>
      </c>
      <c r="AO162" s="7">
        <f t="shared" si="156"/>
        <v>6567167</v>
      </c>
      <c r="AP162" s="8">
        <f t="shared" si="157"/>
        <v>1.655594858231793</v>
      </c>
      <c r="AQ162" s="12">
        <f t="shared" si="158"/>
        <v>1214907</v>
      </c>
      <c r="AR162" s="13">
        <f t="shared" si="159"/>
        <v>0.11533396532956997</v>
      </c>
      <c r="AS162" s="17">
        <f t="shared" si="160"/>
        <v>320296</v>
      </c>
      <c r="AT162" s="18">
        <f t="shared" si="161"/>
        <v>2.7262192280439024E-2</v>
      </c>
    </row>
    <row r="163" spans="1:46" ht="14.25" hidden="1" customHeight="1">
      <c r="A163" t="s">
        <v>141</v>
      </c>
      <c r="B163">
        <v>710351</v>
      </c>
      <c r="C163">
        <v>4469</v>
      </c>
      <c r="D163" s="1">
        <v>4467</v>
      </c>
      <c r="E163" s="1">
        <v>4284</v>
      </c>
      <c r="F163" s="1">
        <v>3847</v>
      </c>
      <c r="G163" s="1">
        <v>3329</v>
      </c>
      <c r="H163" s="1">
        <v>4834</v>
      </c>
      <c r="I163" s="1">
        <v>10435</v>
      </c>
      <c r="J163" s="1">
        <v>11330</v>
      </c>
      <c r="K163" s="1">
        <v>16044</v>
      </c>
      <c r="L163" s="1">
        <v>16007</v>
      </c>
      <c r="M163" s="1">
        <v>15964</v>
      </c>
      <c r="N163" s="1">
        <v>15910</v>
      </c>
      <c r="O163" s="1">
        <v>15851</v>
      </c>
      <c r="P163" s="1">
        <v>15798</v>
      </c>
      <c r="Q163" s="1">
        <v>21889</v>
      </c>
      <c r="R163" s="1">
        <v>22465</v>
      </c>
      <c r="S163" s="1">
        <v>26748</v>
      </c>
      <c r="T163" s="1">
        <v>29058</v>
      </c>
      <c r="U163" s="1">
        <v>28808</v>
      </c>
      <c r="V163" s="1">
        <v>28625</v>
      </c>
      <c r="W163" s="1">
        <v>28254</v>
      </c>
      <c r="X163" s="1">
        <v>29000</v>
      </c>
      <c r="Y163" s="1">
        <v>29473</v>
      </c>
      <c r="Z163" s="1">
        <v>29817</v>
      </c>
      <c r="AA163" s="1">
        <v>30333</v>
      </c>
      <c r="AB163" s="1">
        <v>30619</v>
      </c>
      <c r="AC163" s="1">
        <v>31118</v>
      </c>
      <c r="AD163" s="1">
        <v>31246</v>
      </c>
      <c r="AE163" s="1">
        <v>31300</v>
      </c>
      <c r="AF163" s="1">
        <v>31361</v>
      </c>
      <c r="AG163" s="1">
        <v>31631</v>
      </c>
      <c r="AH163" s="1">
        <v>32176</v>
      </c>
      <c r="AI163" s="1">
        <v>32581</v>
      </c>
      <c r="AJ163" s="1">
        <v>33144</v>
      </c>
      <c r="AK163" s="1">
        <v>33547</v>
      </c>
      <c r="AL163" s="1">
        <v>34161</v>
      </c>
      <c r="AM163" s="1">
        <v>34747</v>
      </c>
      <c r="AO163" s="7">
        <f t="shared" si="156"/>
        <v>11382</v>
      </c>
      <c r="AP163" s="8">
        <f t="shared" si="157"/>
        <v>2.5468784963078988</v>
      </c>
      <c r="AQ163" s="12">
        <f t="shared" si="158"/>
        <v>14482</v>
      </c>
      <c r="AR163" s="13">
        <f t="shared" si="159"/>
        <v>0.91363320926124536</v>
      </c>
      <c r="AS163" s="17">
        <f t="shared" si="160"/>
        <v>4414</v>
      </c>
      <c r="AT163" s="18">
        <f t="shared" si="161"/>
        <v>0.14551808261629251</v>
      </c>
    </row>
    <row r="164" spans="1:46" ht="14.25" hidden="1" customHeight="1">
      <c r="A164" t="s">
        <v>142</v>
      </c>
      <c r="B164">
        <v>710348</v>
      </c>
      <c r="C164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O164" s="7">
        <f t="shared" si="156"/>
        <v>0</v>
      </c>
      <c r="AP164" s="8" t="e">
        <f t="shared" si="157"/>
        <v>#DIV/0!</v>
      </c>
      <c r="AQ164" s="12">
        <f t="shared" si="158"/>
        <v>0</v>
      </c>
      <c r="AR164" s="13" t="e">
        <f t="shared" si="159"/>
        <v>#DIV/0!</v>
      </c>
      <c r="AS164" s="17">
        <f t="shared" si="160"/>
        <v>0</v>
      </c>
      <c r="AT164" s="18" t="e">
        <f t="shared" si="161"/>
        <v>#DIV/0!</v>
      </c>
    </row>
    <row r="165" spans="1:46" ht="14.25" hidden="1" customHeight="1">
      <c r="A165" t="s">
        <v>143</v>
      </c>
      <c r="B165">
        <v>710349</v>
      </c>
      <c r="C165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O165" s="7">
        <f t="shared" si="156"/>
        <v>0</v>
      </c>
      <c r="AP165" s="8" t="e">
        <f t="shared" si="157"/>
        <v>#DIV/0!</v>
      </c>
      <c r="AQ165" s="12">
        <f t="shared" si="158"/>
        <v>0</v>
      </c>
      <c r="AR165" s="13" t="e">
        <f t="shared" si="159"/>
        <v>#DIV/0!</v>
      </c>
      <c r="AS165" s="17">
        <f t="shared" si="160"/>
        <v>0</v>
      </c>
      <c r="AT165" s="18" t="e">
        <f t="shared" si="161"/>
        <v>#DIV/0!</v>
      </c>
    </row>
    <row r="166" spans="1:46" ht="14.25" hidden="1" customHeight="1">
      <c r="A166" t="s">
        <v>144</v>
      </c>
      <c r="B166">
        <v>710350</v>
      </c>
      <c r="C166">
        <v>44102</v>
      </c>
      <c r="D166" s="1">
        <v>44000</v>
      </c>
      <c r="E166" s="1">
        <v>43897</v>
      </c>
      <c r="F166" s="1">
        <v>43794</v>
      </c>
      <c r="G166" s="1">
        <v>43691</v>
      </c>
      <c r="H166" s="1">
        <v>43586</v>
      </c>
      <c r="I166" s="1">
        <v>43482</v>
      </c>
      <c r="J166" s="1">
        <v>43389</v>
      </c>
      <c r="K166" s="1">
        <v>43295</v>
      </c>
      <c r="L166" s="1">
        <v>43201</v>
      </c>
      <c r="M166" s="1">
        <v>43106</v>
      </c>
      <c r="N166" s="1">
        <v>43010</v>
      </c>
      <c r="O166" s="1">
        <v>42914</v>
      </c>
      <c r="P166" s="1">
        <v>42817</v>
      </c>
      <c r="Q166" s="1">
        <v>42622</v>
      </c>
      <c r="R166" s="1">
        <v>42523</v>
      </c>
      <c r="S166" s="1">
        <v>42523</v>
      </c>
      <c r="T166" s="1">
        <v>42024</v>
      </c>
      <c r="U166" s="1">
        <v>41478</v>
      </c>
      <c r="V166" s="1">
        <v>41362</v>
      </c>
      <c r="W166" s="1">
        <v>41246</v>
      </c>
      <c r="X166" s="1">
        <v>42187</v>
      </c>
      <c r="Y166" s="1">
        <v>42871</v>
      </c>
      <c r="Z166" s="1">
        <v>43368</v>
      </c>
      <c r="AA166" s="1">
        <v>44112</v>
      </c>
      <c r="AB166" s="1">
        <v>44657</v>
      </c>
      <c r="AC166" s="1">
        <v>45579</v>
      </c>
      <c r="AD166" s="1">
        <v>45744</v>
      </c>
      <c r="AE166" s="1">
        <v>45801</v>
      </c>
      <c r="AF166" s="1">
        <v>45867</v>
      </c>
      <c r="AG166" s="1">
        <v>46026</v>
      </c>
      <c r="AH166" s="1">
        <v>46489</v>
      </c>
      <c r="AI166" s="1">
        <v>47452</v>
      </c>
      <c r="AJ166" s="1">
        <v>48340</v>
      </c>
      <c r="AK166" s="1">
        <v>49341</v>
      </c>
      <c r="AL166" s="1">
        <v>50397</v>
      </c>
      <c r="AM166" s="1">
        <v>51962</v>
      </c>
      <c r="AO166" s="7">
        <f t="shared" si="156"/>
        <v>-1188</v>
      </c>
      <c r="AP166" s="8">
        <f t="shared" si="157"/>
        <v>-2.6937553852433016E-2</v>
      </c>
      <c r="AQ166" s="12">
        <f t="shared" si="158"/>
        <v>1198</v>
      </c>
      <c r="AR166" s="13">
        <f t="shared" si="159"/>
        <v>2.7916297711702454E-2</v>
      </c>
      <c r="AS166" s="17">
        <f t="shared" si="160"/>
        <v>7850</v>
      </c>
      <c r="AT166" s="18">
        <f t="shared" si="161"/>
        <v>0.17795611171563297</v>
      </c>
    </row>
    <row r="167" spans="1:46" ht="14.25" hidden="1" customHeight="1">
      <c r="A167" t="s">
        <v>145</v>
      </c>
      <c r="B167">
        <v>710352</v>
      </c>
      <c r="C167">
        <v>1895728</v>
      </c>
      <c r="D167" s="1">
        <v>1893151</v>
      </c>
      <c r="E167" s="1">
        <v>2349447</v>
      </c>
      <c r="F167" s="1">
        <v>2347393</v>
      </c>
      <c r="G167" s="1">
        <v>4192984</v>
      </c>
      <c r="H167" s="1">
        <v>5088431</v>
      </c>
      <c r="I167" s="1">
        <v>5696395</v>
      </c>
      <c r="J167" s="1">
        <v>5193855</v>
      </c>
      <c r="K167" s="1">
        <v>5186438</v>
      </c>
      <c r="L167" s="1">
        <v>5178985</v>
      </c>
      <c r="M167" s="1">
        <v>5171498</v>
      </c>
      <c r="N167" s="1">
        <v>5163976</v>
      </c>
      <c r="O167" s="1">
        <v>5156398</v>
      </c>
      <c r="P167" s="1">
        <v>5148805</v>
      </c>
      <c r="Q167" s="1">
        <v>5141177</v>
      </c>
      <c r="R167" s="1">
        <v>5133512</v>
      </c>
      <c r="S167" s="1">
        <v>5125989</v>
      </c>
      <c r="T167" s="1">
        <v>5118254</v>
      </c>
      <c r="U167" s="1">
        <v>5110693</v>
      </c>
      <c r="V167" s="1">
        <v>5102885</v>
      </c>
      <c r="W167" s="1">
        <v>5095041</v>
      </c>
      <c r="X167" s="1">
        <v>5237637</v>
      </c>
      <c r="Y167" s="1">
        <v>5331298</v>
      </c>
      <c r="Z167" s="1">
        <v>5401909</v>
      </c>
      <c r="AA167" s="1">
        <v>5503788</v>
      </c>
      <c r="AB167" s="1">
        <v>5564240</v>
      </c>
      <c r="AC167" s="1">
        <v>5663937</v>
      </c>
      <c r="AD167" s="1">
        <v>5694295</v>
      </c>
      <c r="AE167" s="1">
        <v>5711275</v>
      </c>
      <c r="AF167" s="1">
        <v>5729752</v>
      </c>
      <c r="AG167" s="1">
        <v>5798585</v>
      </c>
      <c r="AH167" s="1">
        <v>5897082</v>
      </c>
      <c r="AI167" s="1">
        <v>5991417</v>
      </c>
      <c r="AJ167" s="1">
        <v>6093528</v>
      </c>
      <c r="AK167" s="1">
        <v>6188279</v>
      </c>
      <c r="AL167" s="1">
        <v>6300067</v>
      </c>
      <c r="AM167" s="1">
        <v>6429412</v>
      </c>
      <c r="AO167" s="7">
        <f t="shared" si="156"/>
        <v>3260670</v>
      </c>
      <c r="AP167" s="8">
        <f t="shared" si="157"/>
        <v>1.7200094106327488</v>
      </c>
      <c r="AQ167" s="12">
        <f t="shared" si="158"/>
        <v>347390</v>
      </c>
      <c r="AR167" s="13">
        <f t="shared" si="159"/>
        <v>6.7370672318157077E-2</v>
      </c>
      <c r="AS167" s="17">
        <f t="shared" si="160"/>
        <v>925624</v>
      </c>
      <c r="AT167" s="18">
        <f t="shared" si="161"/>
        <v>0.16817944295819531</v>
      </c>
    </row>
    <row r="168" spans="1:46" ht="14.25" hidden="1" customHeight="1">
      <c r="A168" t="s">
        <v>146</v>
      </c>
      <c r="B168">
        <v>710353</v>
      </c>
      <c r="C168">
        <v>32966</v>
      </c>
      <c r="D168" s="1">
        <v>32874</v>
      </c>
      <c r="E168" s="1">
        <v>40768</v>
      </c>
      <c r="F168" s="1">
        <v>40632</v>
      </c>
      <c r="G168" s="1">
        <v>72738</v>
      </c>
      <c r="H168" s="1">
        <v>88215</v>
      </c>
      <c r="I168" s="1">
        <v>98676</v>
      </c>
      <c r="J168" s="1">
        <v>98398</v>
      </c>
      <c r="K168" s="1">
        <v>98121</v>
      </c>
      <c r="L168" s="1">
        <v>97843</v>
      </c>
      <c r="M168" s="1">
        <v>97566</v>
      </c>
      <c r="N168" s="1">
        <v>97288</v>
      </c>
      <c r="O168" s="1">
        <v>97011</v>
      </c>
      <c r="P168" s="1">
        <v>96733</v>
      </c>
      <c r="Q168" s="1">
        <v>96456</v>
      </c>
      <c r="R168" s="1">
        <v>87898</v>
      </c>
      <c r="S168" s="1">
        <v>87645</v>
      </c>
      <c r="T168" s="1">
        <v>87391</v>
      </c>
      <c r="U168" s="1">
        <v>87138</v>
      </c>
      <c r="V168" s="1">
        <v>86885</v>
      </c>
      <c r="W168" s="1">
        <v>86632</v>
      </c>
      <c r="X168" s="1">
        <v>88917</v>
      </c>
      <c r="Y168" s="1">
        <v>90366</v>
      </c>
      <c r="Z168" s="1">
        <v>91421</v>
      </c>
      <c r="AA168" s="1">
        <v>93001</v>
      </c>
      <c r="AB168" s="1">
        <v>93877</v>
      </c>
      <c r="AC168" s="1">
        <v>95407</v>
      </c>
      <c r="AD168" s="1">
        <v>95798</v>
      </c>
      <c r="AE168" s="1">
        <v>95962</v>
      </c>
      <c r="AF168" s="1">
        <v>96149</v>
      </c>
      <c r="AG168" s="1">
        <v>96974</v>
      </c>
      <c r="AH168" s="1">
        <v>98647</v>
      </c>
      <c r="AI168" s="1">
        <v>99886</v>
      </c>
      <c r="AJ168" s="1">
        <v>101613</v>
      </c>
      <c r="AK168" s="1">
        <v>102846</v>
      </c>
      <c r="AL168" s="1">
        <v>104727</v>
      </c>
      <c r="AM168" s="1">
        <v>106521</v>
      </c>
      <c r="AO168" s="7">
        <f t="shared" si="156"/>
        <v>64045</v>
      </c>
      <c r="AP168" s="8">
        <f t="shared" si="157"/>
        <v>1.9427592064551358</v>
      </c>
      <c r="AQ168" s="12">
        <f t="shared" si="158"/>
        <v>-4010</v>
      </c>
      <c r="AR168" s="13">
        <f t="shared" si="159"/>
        <v>-4.1335518652523939E-2</v>
      </c>
      <c r="AS168" s="17">
        <f t="shared" si="160"/>
        <v>13520</v>
      </c>
      <c r="AT168" s="18">
        <f t="shared" si="161"/>
        <v>0.14537478091633416</v>
      </c>
    </row>
    <row r="169" spans="1:46" ht="14.25" hidden="1" customHeight="1">
      <c r="A169" t="s">
        <v>147</v>
      </c>
      <c r="B169">
        <v>710354</v>
      </c>
      <c r="C169">
        <v>0</v>
      </c>
      <c r="D169" s="1">
        <v>0</v>
      </c>
      <c r="E169" s="1">
        <v>0</v>
      </c>
      <c r="F169" s="1">
        <v>0</v>
      </c>
      <c r="G169" s="1">
        <v>0</v>
      </c>
      <c r="H169" s="1">
        <v>832500</v>
      </c>
      <c r="I169" s="1">
        <v>3378065</v>
      </c>
      <c r="J169" s="1">
        <v>3375745</v>
      </c>
      <c r="K169" s="1">
        <v>3372897</v>
      </c>
      <c r="L169" s="1">
        <v>3054343</v>
      </c>
      <c r="M169" s="1">
        <v>3051019</v>
      </c>
      <c r="N169" s="1">
        <v>3032678</v>
      </c>
      <c r="O169" s="1">
        <v>3028356</v>
      </c>
      <c r="P169" s="1">
        <v>3024907</v>
      </c>
      <c r="Q169" s="1">
        <v>3021441</v>
      </c>
      <c r="R169" s="1">
        <v>3018867</v>
      </c>
      <c r="S169" s="1">
        <v>3015372</v>
      </c>
      <c r="T169" s="1">
        <v>3010945</v>
      </c>
      <c r="U169" s="1">
        <v>3008333</v>
      </c>
      <c r="V169" s="1">
        <v>3004788</v>
      </c>
      <c r="W169" s="1">
        <v>2999564</v>
      </c>
      <c r="X169" s="1">
        <v>3085280</v>
      </c>
      <c r="Y169" s="1">
        <v>3140509</v>
      </c>
      <c r="Z169" s="1">
        <v>3182164</v>
      </c>
      <c r="AA169" s="1">
        <v>3242241</v>
      </c>
      <c r="AB169" s="1">
        <v>3277917</v>
      </c>
      <c r="AC169" s="1">
        <v>3336704</v>
      </c>
      <c r="AD169" s="1">
        <v>3354626</v>
      </c>
      <c r="AE169" s="1">
        <v>3364657</v>
      </c>
      <c r="AF169" s="1">
        <v>3375549</v>
      </c>
      <c r="AG169" s="1">
        <v>3416462</v>
      </c>
      <c r="AH169" s="1">
        <v>3474196</v>
      </c>
      <c r="AI169" s="1">
        <v>3530203</v>
      </c>
      <c r="AJ169" s="1">
        <v>3590068</v>
      </c>
      <c r="AK169" s="1">
        <v>3646327</v>
      </c>
      <c r="AL169" s="1">
        <v>3711895</v>
      </c>
      <c r="AM169" s="1">
        <v>3788544</v>
      </c>
      <c r="AO169" s="7">
        <f t="shared" si="156"/>
        <v>3028356</v>
      </c>
      <c r="AP169" s="8" t="e">
        <f t="shared" si="157"/>
        <v>#DIV/0!</v>
      </c>
      <c r="AQ169" s="12">
        <f t="shared" si="158"/>
        <v>213885</v>
      </c>
      <c r="AR169" s="13">
        <f t="shared" si="159"/>
        <v>7.062742953602541E-2</v>
      </c>
      <c r="AS169" s="17">
        <f t="shared" si="160"/>
        <v>546303</v>
      </c>
      <c r="AT169" s="18">
        <f t="shared" si="161"/>
        <v>0.16849549432013222</v>
      </c>
    </row>
    <row r="170" spans="1:46" ht="14.25" hidden="1" customHeight="1">
      <c r="A170" t="s">
        <v>148</v>
      </c>
      <c r="B170">
        <v>710355</v>
      </c>
      <c r="C170">
        <v>0</v>
      </c>
      <c r="D170" s="1">
        <v>0</v>
      </c>
      <c r="E170" s="1">
        <v>0</v>
      </c>
      <c r="F170" s="1">
        <v>0</v>
      </c>
      <c r="G170" s="1">
        <v>0</v>
      </c>
      <c r="H170" s="1">
        <v>14503</v>
      </c>
      <c r="I170" s="1">
        <v>58794</v>
      </c>
      <c r="J170" s="1">
        <v>58631</v>
      </c>
      <c r="K170" s="1">
        <v>58467</v>
      </c>
      <c r="L170" s="1">
        <v>58303</v>
      </c>
      <c r="M170" s="1">
        <v>58139</v>
      </c>
      <c r="N170" s="1">
        <v>57975</v>
      </c>
      <c r="O170" s="1">
        <v>57811</v>
      </c>
      <c r="P170" s="1">
        <v>57647</v>
      </c>
      <c r="Q170" s="1">
        <v>57483</v>
      </c>
      <c r="R170" s="1">
        <v>57320</v>
      </c>
      <c r="S170" s="1">
        <v>57156</v>
      </c>
      <c r="T170" s="1">
        <v>56992</v>
      </c>
      <c r="U170" s="1">
        <v>56828</v>
      </c>
      <c r="V170" s="1">
        <v>56664</v>
      </c>
      <c r="W170" s="1">
        <v>56500</v>
      </c>
      <c r="X170" s="1">
        <v>57991</v>
      </c>
      <c r="Y170" s="1">
        <v>58937</v>
      </c>
      <c r="Z170" s="1">
        <v>59625</v>
      </c>
      <c r="AA170" s="1">
        <v>60656</v>
      </c>
      <c r="AB170" s="1">
        <v>61228</v>
      </c>
      <c r="AC170" s="1">
        <v>62227</v>
      </c>
      <c r="AD170" s="1">
        <v>62482</v>
      </c>
      <c r="AE170" s="1">
        <v>62590</v>
      </c>
      <c r="AF170" s="1">
        <v>62713</v>
      </c>
      <c r="AG170" s="1">
        <v>63252</v>
      </c>
      <c r="AH170" s="1">
        <v>64343</v>
      </c>
      <c r="AI170" s="1">
        <v>65152</v>
      </c>
      <c r="AJ170" s="1">
        <v>66279</v>
      </c>
      <c r="AK170" s="1">
        <v>67084</v>
      </c>
      <c r="AL170" s="1">
        <v>68311</v>
      </c>
      <c r="AM170" s="1">
        <v>69483</v>
      </c>
      <c r="AO170" s="7">
        <f t="shared" si="156"/>
        <v>57811</v>
      </c>
      <c r="AP170" s="8" t="e">
        <f t="shared" si="157"/>
        <v>#DIV/0!</v>
      </c>
      <c r="AQ170" s="12">
        <f t="shared" si="158"/>
        <v>2845</v>
      </c>
      <c r="AR170" s="13">
        <f t="shared" si="159"/>
        <v>4.9212087664977311E-2</v>
      </c>
      <c r="AS170" s="17">
        <f t="shared" si="160"/>
        <v>8827</v>
      </c>
      <c r="AT170" s="18">
        <f t="shared" si="161"/>
        <v>0.14552558691638096</v>
      </c>
    </row>
    <row r="171" spans="1:46" ht="14.25" hidden="1" customHeight="1">
      <c r="A171" t="s">
        <v>149</v>
      </c>
      <c r="B171">
        <v>710356</v>
      </c>
      <c r="C171">
        <v>404119</v>
      </c>
      <c r="D171" s="1">
        <v>404119</v>
      </c>
      <c r="E171" s="1">
        <v>402046</v>
      </c>
      <c r="F171" s="1">
        <v>397870</v>
      </c>
      <c r="G171" s="1">
        <v>397870</v>
      </c>
      <c r="H171" s="1">
        <v>395985</v>
      </c>
      <c r="I171" s="1">
        <v>394088</v>
      </c>
      <c r="J171" s="1">
        <v>392179</v>
      </c>
      <c r="K171" s="1">
        <v>390258</v>
      </c>
      <c r="L171" s="1">
        <v>388325</v>
      </c>
      <c r="M171" s="1">
        <v>384423</v>
      </c>
      <c r="N171" s="1">
        <v>384423</v>
      </c>
      <c r="O171" s="1">
        <v>382453</v>
      </c>
      <c r="P171" s="1">
        <v>380472</v>
      </c>
      <c r="Q171" s="1">
        <v>378478</v>
      </c>
      <c r="R171" s="1">
        <v>376471</v>
      </c>
      <c r="S171" s="1">
        <v>374452</v>
      </c>
      <c r="T171" s="1">
        <v>372332</v>
      </c>
      <c r="U171" s="1">
        <v>368056</v>
      </c>
      <c r="V171" s="1">
        <v>368056</v>
      </c>
      <c r="W171" s="1">
        <v>365901</v>
      </c>
      <c r="X171" s="1">
        <v>371848</v>
      </c>
      <c r="Y171" s="1">
        <v>376442</v>
      </c>
      <c r="Z171" s="1">
        <v>385156</v>
      </c>
      <c r="AA171" s="1">
        <v>389077</v>
      </c>
      <c r="AB171" s="1">
        <v>396893</v>
      </c>
      <c r="AC171" s="1">
        <v>403617</v>
      </c>
      <c r="AD171" s="1">
        <v>402295</v>
      </c>
      <c r="AE171" s="1">
        <v>399970</v>
      </c>
      <c r="AF171" s="1">
        <v>399648</v>
      </c>
      <c r="AG171" s="1">
        <v>406221</v>
      </c>
      <c r="AH171" s="1">
        <v>411630</v>
      </c>
      <c r="AI171" s="1">
        <v>421742</v>
      </c>
      <c r="AJ171" s="1">
        <v>428042</v>
      </c>
      <c r="AK171" s="1">
        <v>438498</v>
      </c>
      <c r="AL171" s="1">
        <v>446293</v>
      </c>
      <c r="AM171" s="1">
        <v>461749</v>
      </c>
      <c r="AO171" s="7">
        <f t="shared" si="156"/>
        <v>-21666</v>
      </c>
      <c r="AP171" s="8">
        <f t="shared" si="157"/>
        <v>-5.36129209465529E-2</v>
      </c>
      <c r="AQ171" s="12">
        <f t="shared" si="158"/>
        <v>6624</v>
      </c>
      <c r="AR171" s="13">
        <f t="shared" si="159"/>
        <v>1.7319775240356439E-2</v>
      </c>
      <c r="AS171" s="17">
        <f t="shared" si="160"/>
        <v>72672</v>
      </c>
      <c r="AT171" s="18">
        <f t="shared" si="161"/>
        <v>0.18678050874248542</v>
      </c>
    </row>
    <row r="172" spans="1:46" ht="14.25" hidden="1" customHeight="1">
      <c r="A172" t="s">
        <v>150</v>
      </c>
      <c r="B172">
        <v>710357</v>
      </c>
      <c r="C172">
        <v>10943596</v>
      </c>
      <c r="D172" s="1">
        <v>13590627</v>
      </c>
      <c r="E172" s="1">
        <v>17265532</v>
      </c>
      <c r="F172" s="1">
        <v>18701475</v>
      </c>
      <c r="G172" s="1">
        <v>23094138</v>
      </c>
      <c r="H172" s="1">
        <v>28271160</v>
      </c>
      <c r="I172" s="1">
        <v>32947653</v>
      </c>
      <c r="J172" s="1">
        <v>32892480</v>
      </c>
      <c r="K172" s="1">
        <v>32853579</v>
      </c>
      <c r="L172" s="1">
        <v>32783553</v>
      </c>
      <c r="M172" s="1">
        <v>32723620</v>
      </c>
      <c r="N172" s="1">
        <v>32671632</v>
      </c>
      <c r="O172" s="1">
        <v>32619181</v>
      </c>
      <c r="P172" s="1">
        <v>32554552</v>
      </c>
      <c r="Q172" s="1">
        <v>32506221</v>
      </c>
      <c r="R172" s="1">
        <v>31670011</v>
      </c>
      <c r="S172" s="1">
        <v>31611027</v>
      </c>
      <c r="T172" s="1">
        <v>31554923</v>
      </c>
      <c r="U172" s="1">
        <v>31505830</v>
      </c>
      <c r="V172" s="1">
        <v>31458509</v>
      </c>
      <c r="W172" s="1">
        <v>31412952</v>
      </c>
      <c r="X172" s="1">
        <v>31854482</v>
      </c>
      <c r="Y172" s="1">
        <v>31979408</v>
      </c>
      <c r="Z172" s="1">
        <v>31958969</v>
      </c>
      <c r="AA172" s="1">
        <v>32115511</v>
      </c>
      <c r="AB172" s="1">
        <v>32023310</v>
      </c>
      <c r="AC172" s="1">
        <v>32285816</v>
      </c>
      <c r="AD172" s="1">
        <v>32154971</v>
      </c>
      <c r="AE172" s="1">
        <v>31948609</v>
      </c>
      <c r="AF172" s="1">
        <v>31751184</v>
      </c>
      <c r="AG172" s="1">
        <v>31769212</v>
      </c>
      <c r="AH172" s="1">
        <v>32055092</v>
      </c>
      <c r="AI172" s="1">
        <v>32194440</v>
      </c>
      <c r="AJ172" s="1">
        <v>32491091</v>
      </c>
      <c r="AK172" s="1">
        <v>32613406</v>
      </c>
      <c r="AL172" s="1">
        <v>32951352</v>
      </c>
      <c r="AM172" s="1">
        <v>33234434</v>
      </c>
      <c r="AO172" s="7">
        <f t="shared" si="156"/>
        <v>21675585</v>
      </c>
      <c r="AP172" s="8">
        <f t="shared" si="157"/>
        <v>1.9806638512605912</v>
      </c>
      <c r="AQ172" s="12">
        <f t="shared" si="158"/>
        <v>-503670</v>
      </c>
      <c r="AR172" s="13">
        <f t="shared" si="159"/>
        <v>-1.544091496349953E-2</v>
      </c>
      <c r="AS172" s="17">
        <f t="shared" si="160"/>
        <v>1118923</v>
      </c>
      <c r="AT172" s="18">
        <f t="shared" si="161"/>
        <v>3.4840579058511567E-2</v>
      </c>
    </row>
    <row r="173" spans="1:46" ht="14.25" hidden="1" customHeight="1">
      <c r="A173" t="s">
        <v>151</v>
      </c>
      <c r="B173">
        <v>710358</v>
      </c>
      <c r="C173">
        <v>194016</v>
      </c>
      <c r="D173" s="1">
        <v>240042</v>
      </c>
      <c r="E173" s="1">
        <v>305438</v>
      </c>
      <c r="F173" s="1">
        <v>334054</v>
      </c>
      <c r="G173" s="1">
        <v>410485</v>
      </c>
      <c r="H173" s="1">
        <v>503563</v>
      </c>
      <c r="I173" s="1">
        <v>592805</v>
      </c>
      <c r="J173" s="1">
        <v>591137</v>
      </c>
      <c r="K173" s="1">
        <v>589469</v>
      </c>
      <c r="L173" s="1">
        <v>587801</v>
      </c>
      <c r="M173" s="1">
        <v>586133</v>
      </c>
      <c r="N173" s="1">
        <v>584464</v>
      </c>
      <c r="O173" s="1">
        <v>582796</v>
      </c>
      <c r="P173" s="1">
        <v>581128</v>
      </c>
      <c r="Q173" s="1">
        <v>579460</v>
      </c>
      <c r="R173" s="1">
        <v>577792</v>
      </c>
      <c r="S173" s="1">
        <v>562864</v>
      </c>
      <c r="T173" s="1">
        <v>561234</v>
      </c>
      <c r="U173" s="1">
        <v>559605</v>
      </c>
      <c r="V173" s="1">
        <v>557975</v>
      </c>
      <c r="W173" s="1">
        <v>556345</v>
      </c>
      <c r="X173" s="1">
        <v>567029</v>
      </c>
      <c r="Y173" s="1">
        <v>574448</v>
      </c>
      <c r="Z173" s="1">
        <v>585628</v>
      </c>
      <c r="AA173" s="1">
        <v>593562</v>
      </c>
      <c r="AB173" s="1">
        <v>603474</v>
      </c>
      <c r="AC173" s="1">
        <v>613687</v>
      </c>
      <c r="AD173" s="1">
        <v>614186</v>
      </c>
      <c r="AE173" s="1">
        <v>613228</v>
      </c>
      <c r="AF173" s="1">
        <v>612366</v>
      </c>
      <c r="AG173" s="1">
        <v>619131</v>
      </c>
      <c r="AH173" s="1">
        <v>624407</v>
      </c>
      <c r="AI173" s="1">
        <v>642736</v>
      </c>
      <c r="AJ173" s="1">
        <v>649351</v>
      </c>
      <c r="AK173" s="1">
        <v>668222</v>
      </c>
      <c r="AL173" s="1">
        <v>677093</v>
      </c>
      <c r="AM173" s="1">
        <v>703575</v>
      </c>
      <c r="AO173" s="7">
        <f t="shared" si="156"/>
        <v>388780</v>
      </c>
      <c r="AP173" s="8">
        <f t="shared" si="157"/>
        <v>2.0038553521359064</v>
      </c>
      <c r="AQ173" s="12">
        <f t="shared" si="158"/>
        <v>10766</v>
      </c>
      <c r="AR173" s="13">
        <f t="shared" si="159"/>
        <v>1.8473016287002597E-2</v>
      </c>
      <c r="AS173" s="17">
        <f t="shared" si="160"/>
        <v>110013</v>
      </c>
      <c r="AT173" s="18">
        <f t="shared" si="161"/>
        <v>0.18534373831208861</v>
      </c>
    </row>
    <row r="174" spans="1:46" ht="14.25" hidden="1" customHeight="1">
      <c r="A174" t="s">
        <v>152</v>
      </c>
      <c r="B174">
        <v>710397</v>
      </c>
      <c r="C174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O174" s="7">
        <f t="shared" si="156"/>
        <v>0</v>
      </c>
      <c r="AP174" s="8" t="e">
        <f t="shared" si="157"/>
        <v>#DIV/0!</v>
      </c>
      <c r="AQ174" s="12">
        <f t="shared" si="158"/>
        <v>0</v>
      </c>
      <c r="AR174" s="13" t="e">
        <f t="shared" si="159"/>
        <v>#DIV/0!</v>
      </c>
      <c r="AS174" s="17">
        <f t="shared" si="160"/>
        <v>0</v>
      </c>
      <c r="AT174" s="18" t="e">
        <f t="shared" si="161"/>
        <v>#DIV/0!</v>
      </c>
    </row>
    <row r="175" spans="1:46" ht="14.25" hidden="1" customHeight="1">
      <c r="A175" t="s">
        <v>153</v>
      </c>
      <c r="B175">
        <v>710397</v>
      </c>
      <c r="C175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O175" s="7">
        <f t="shared" si="156"/>
        <v>0</v>
      </c>
      <c r="AP175" s="8" t="e">
        <f t="shared" si="157"/>
        <v>#DIV/0!</v>
      </c>
      <c r="AQ175" s="12">
        <f t="shared" si="158"/>
        <v>0</v>
      </c>
      <c r="AR175" s="13" t="e">
        <f t="shared" si="159"/>
        <v>#DIV/0!</v>
      </c>
      <c r="AS175" s="17">
        <f t="shared" si="160"/>
        <v>0</v>
      </c>
      <c r="AT175" s="18" t="e">
        <f t="shared" si="161"/>
        <v>#DIV/0!</v>
      </c>
    </row>
    <row r="176" spans="1:46" ht="14.25" hidden="1" customHeight="1">
      <c r="A176" t="s">
        <v>154</v>
      </c>
      <c r="B176">
        <v>710397</v>
      </c>
      <c r="C176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O176" s="7">
        <f t="shared" si="156"/>
        <v>0</v>
      </c>
      <c r="AP176" s="8" t="e">
        <f t="shared" si="157"/>
        <v>#DIV/0!</v>
      </c>
      <c r="AQ176" s="12">
        <f t="shared" si="158"/>
        <v>0</v>
      </c>
      <c r="AR176" s="13" t="e">
        <f t="shared" si="159"/>
        <v>#DIV/0!</v>
      </c>
      <c r="AS176" s="17">
        <f t="shared" si="160"/>
        <v>0</v>
      </c>
      <c r="AT176" s="18" t="e">
        <f t="shared" si="161"/>
        <v>#DIV/0!</v>
      </c>
    </row>
    <row r="177" spans="1:46" ht="14.25" hidden="1" customHeight="1">
      <c r="A177" t="s">
        <v>155</v>
      </c>
      <c r="B177">
        <v>710359</v>
      </c>
      <c r="C177">
        <v>105079</v>
      </c>
      <c r="D177" s="1">
        <v>103363</v>
      </c>
      <c r="E177" s="1">
        <v>102127</v>
      </c>
      <c r="F177" s="1">
        <v>100418</v>
      </c>
      <c r="G177" s="1">
        <v>98961</v>
      </c>
      <c r="H177" s="1">
        <v>97130</v>
      </c>
      <c r="I177" s="1">
        <v>96612</v>
      </c>
      <c r="J177" s="1">
        <v>95321</v>
      </c>
      <c r="K177" s="1">
        <v>93731</v>
      </c>
      <c r="L177" s="1">
        <v>92708</v>
      </c>
      <c r="M177" s="1">
        <v>91385</v>
      </c>
      <c r="N177" s="1">
        <v>90051</v>
      </c>
      <c r="O177" s="1">
        <v>88704</v>
      </c>
      <c r="P177" s="1">
        <v>86520</v>
      </c>
      <c r="Q177" s="1">
        <v>85672</v>
      </c>
      <c r="R177" s="1">
        <v>84586</v>
      </c>
      <c r="S177" s="1">
        <v>83712</v>
      </c>
      <c r="T177" s="1">
        <v>82298</v>
      </c>
      <c r="U177" s="1">
        <v>81139</v>
      </c>
      <c r="V177" s="1">
        <v>80009</v>
      </c>
      <c r="W177" s="1">
        <v>77435</v>
      </c>
      <c r="X177" s="1">
        <v>78157</v>
      </c>
      <c r="Y177" s="1">
        <v>79775</v>
      </c>
      <c r="Z177" s="1">
        <v>81400</v>
      </c>
      <c r="AA177" s="1">
        <v>82374</v>
      </c>
      <c r="AB177" s="1">
        <v>83880</v>
      </c>
      <c r="AC177" s="1">
        <v>85530</v>
      </c>
      <c r="AD177" s="1">
        <v>84282</v>
      </c>
      <c r="AE177" s="1">
        <v>84360</v>
      </c>
      <c r="AF177" s="1">
        <v>84231</v>
      </c>
      <c r="AG177" s="1">
        <v>86317</v>
      </c>
      <c r="AH177" s="1">
        <v>86766</v>
      </c>
      <c r="AI177" s="1">
        <v>89603</v>
      </c>
      <c r="AJ177" s="1">
        <v>90237</v>
      </c>
      <c r="AK177" s="1">
        <v>93151</v>
      </c>
      <c r="AL177" s="1">
        <v>94098</v>
      </c>
      <c r="AM177" s="1">
        <v>98072</v>
      </c>
      <c r="AO177" s="7">
        <f t="shared" si="156"/>
        <v>-16375</v>
      </c>
      <c r="AP177" s="8">
        <f t="shared" si="157"/>
        <v>-0.15583513356617407</v>
      </c>
      <c r="AQ177" s="12">
        <f t="shared" si="158"/>
        <v>-6330</v>
      </c>
      <c r="AR177" s="13">
        <f t="shared" si="159"/>
        <v>-7.136093073593075E-2</v>
      </c>
      <c r="AS177" s="17">
        <f t="shared" si="160"/>
        <v>15698</v>
      </c>
      <c r="AT177" s="18">
        <f t="shared" si="161"/>
        <v>0.19056983999805754</v>
      </c>
    </row>
    <row r="178" spans="1:46" ht="14.25" hidden="1" customHeight="1">
      <c r="A178" t="s">
        <v>156</v>
      </c>
      <c r="B178">
        <v>710380</v>
      </c>
      <c r="C178">
        <v>0</v>
      </c>
      <c r="D178" s="1">
        <v>0</v>
      </c>
      <c r="E178" s="1">
        <v>570000</v>
      </c>
      <c r="F178" s="1">
        <v>570000</v>
      </c>
      <c r="G178" s="1">
        <v>569391</v>
      </c>
      <c r="H178" s="1">
        <v>568778</v>
      </c>
      <c r="I178" s="1">
        <v>568163</v>
      </c>
      <c r="J178" s="1">
        <v>567545</v>
      </c>
      <c r="K178" s="1">
        <v>566924</v>
      </c>
      <c r="L178" s="1">
        <v>566924</v>
      </c>
      <c r="M178" s="1">
        <v>565674</v>
      </c>
      <c r="N178" s="1">
        <v>565044</v>
      </c>
      <c r="O178" s="1">
        <v>564412</v>
      </c>
      <c r="P178" s="1">
        <v>563776</v>
      </c>
      <c r="Q178" s="1">
        <v>563138</v>
      </c>
      <c r="R178" s="1">
        <v>562496</v>
      </c>
      <c r="S178" s="1">
        <v>561852</v>
      </c>
      <c r="T178" s="1">
        <v>561204</v>
      </c>
      <c r="U178" s="1">
        <v>560553</v>
      </c>
      <c r="V178" s="1">
        <v>559900</v>
      </c>
      <c r="W178" s="1">
        <v>559243</v>
      </c>
      <c r="X178" s="1">
        <v>567036</v>
      </c>
      <c r="Y178" s="1">
        <v>569287</v>
      </c>
      <c r="Z178" s="1">
        <v>568950</v>
      </c>
      <c r="AA178" s="1">
        <v>571764</v>
      </c>
      <c r="AB178" s="1">
        <v>570150</v>
      </c>
      <c r="AC178" s="1">
        <v>574852</v>
      </c>
      <c r="AD178" s="1">
        <v>572550</v>
      </c>
      <c r="AE178" s="1">
        <v>568904</v>
      </c>
      <c r="AF178" s="1">
        <v>565416</v>
      </c>
      <c r="AG178" s="1">
        <v>565773</v>
      </c>
      <c r="AH178" s="1">
        <v>570888</v>
      </c>
      <c r="AI178" s="1">
        <v>573407</v>
      </c>
      <c r="AJ178" s="1">
        <v>578714</v>
      </c>
      <c r="AK178" s="1">
        <v>580933</v>
      </c>
      <c r="AL178" s="1">
        <v>586977</v>
      </c>
      <c r="AM178" s="1">
        <v>592061</v>
      </c>
      <c r="AO178" s="7">
        <f t="shared" si="156"/>
        <v>564412</v>
      </c>
      <c r="AP178" s="8" t="e">
        <f t="shared" si="157"/>
        <v>#DIV/0!</v>
      </c>
      <c r="AQ178" s="12">
        <f t="shared" si="158"/>
        <v>7352</v>
      </c>
      <c r="AR178" s="13">
        <f t="shared" si="159"/>
        <v>1.3025945585848575E-2</v>
      </c>
      <c r="AS178" s="17">
        <f t="shared" si="160"/>
        <v>20297</v>
      </c>
      <c r="AT178" s="18">
        <f t="shared" si="161"/>
        <v>3.5498912138574701E-2</v>
      </c>
    </row>
    <row r="179" spans="1:46" ht="14.25" hidden="1" customHeight="1">
      <c r="A179" t="s">
        <v>157</v>
      </c>
      <c r="B179">
        <v>710381</v>
      </c>
      <c r="C179">
        <v>0</v>
      </c>
      <c r="D179" s="1">
        <v>0</v>
      </c>
      <c r="E179" s="1">
        <v>94</v>
      </c>
      <c r="F179" s="1">
        <v>94</v>
      </c>
      <c r="G179" s="1">
        <v>94</v>
      </c>
      <c r="H179" s="1">
        <v>94</v>
      </c>
      <c r="I179" s="1">
        <v>93</v>
      </c>
      <c r="J179" s="1">
        <v>93</v>
      </c>
      <c r="K179" s="1">
        <v>92</v>
      </c>
      <c r="L179" s="1">
        <v>92</v>
      </c>
      <c r="M179" s="1">
        <v>92</v>
      </c>
      <c r="N179" s="1">
        <v>92</v>
      </c>
      <c r="O179" s="1">
        <v>91</v>
      </c>
      <c r="P179" s="1">
        <v>91</v>
      </c>
      <c r="Q179" s="1">
        <v>91</v>
      </c>
      <c r="R179" s="1">
        <v>90</v>
      </c>
      <c r="S179" s="1">
        <v>90</v>
      </c>
      <c r="T179" s="1">
        <v>90</v>
      </c>
      <c r="U179" s="1">
        <v>90</v>
      </c>
      <c r="V179" s="1">
        <v>89</v>
      </c>
      <c r="W179" s="1">
        <v>89</v>
      </c>
      <c r="X179" s="1">
        <v>92</v>
      </c>
      <c r="Y179" s="1">
        <v>93</v>
      </c>
      <c r="Z179" s="1">
        <v>95</v>
      </c>
      <c r="AA179" s="1">
        <v>97</v>
      </c>
      <c r="AB179" s="1">
        <v>98</v>
      </c>
      <c r="AC179" s="1">
        <v>100</v>
      </c>
      <c r="AD179" s="1">
        <v>100</v>
      </c>
      <c r="AE179" s="1">
        <v>101</v>
      </c>
      <c r="AF179" s="1">
        <v>101</v>
      </c>
      <c r="AG179" s="1">
        <v>103</v>
      </c>
      <c r="AH179" s="1">
        <v>105</v>
      </c>
      <c r="AI179" s="1">
        <v>106</v>
      </c>
      <c r="AJ179" s="1">
        <v>108</v>
      </c>
      <c r="AK179" s="1">
        <v>110</v>
      </c>
      <c r="AL179" s="1">
        <v>112</v>
      </c>
      <c r="AM179" s="1">
        <v>115</v>
      </c>
      <c r="AO179" s="7">
        <f t="shared" si="156"/>
        <v>91</v>
      </c>
      <c r="AP179" s="8" t="e">
        <f t="shared" si="157"/>
        <v>#DIV/0!</v>
      </c>
      <c r="AQ179" s="12">
        <f t="shared" si="158"/>
        <v>6</v>
      </c>
      <c r="AR179" s="13">
        <f t="shared" si="159"/>
        <v>6.5934065934065922E-2</v>
      </c>
      <c r="AS179" s="17">
        <f t="shared" si="160"/>
        <v>18</v>
      </c>
      <c r="AT179" s="18">
        <f t="shared" si="161"/>
        <v>0.18556701030927836</v>
      </c>
    </row>
    <row r="180" spans="1:46" ht="14.25" hidden="1" customHeight="1">
      <c r="A180" t="s">
        <v>11</v>
      </c>
      <c r="B180" t="s">
        <v>12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46">
      <c r="A181" t="s">
        <v>158</v>
      </c>
      <c r="C181">
        <v>18760545</v>
      </c>
      <c r="D181" s="1">
        <v>21313285</v>
      </c>
      <c r="E181" s="1">
        <v>26739209</v>
      </c>
      <c r="F181" s="1">
        <v>27885758</v>
      </c>
      <c r="G181" s="1">
        <v>35023506</v>
      </c>
      <c r="H181" s="1">
        <v>43912699</v>
      </c>
      <c r="I181" s="1">
        <v>55311305</v>
      </c>
      <c r="J181" s="1">
        <v>55576747</v>
      </c>
      <c r="K181" s="1">
        <v>56202672</v>
      </c>
      <c r="L181" s="1">
        <v>55783917</v>
      </c>
      <c r="M181" s="1">
        <v>55678883</v>
      </c>
      <c r="N181" s="1">
        <v>55574331</v>
      </c>
      <c r="O181" s="1">
        <v>55479909</v>
      </c>
      <c r="P181" s="1">
        <v>55376428</v>
      </c>
      <c r="Q181" s="1">
        <v>54676663</v>
      </c>
      <c r="R181" s="1">
        <v>54855824</v>
      </c>
      <c r="S181" s="1">
        <v>55333335</v>
      </c>
      <c r="T181" s="1">
        <v>55684625</v>
      </c>
      <c r="U181" s="1">
        <v>55582266</v>
      </c>
      <c r="V181" s="1">
        <v>55486565</v>
      </c>
      <c r="W181" s="1">
        <v>54871451</v>
      </c>
      <c r="X181" s="1">
        <v>55803822</v>
      </c>
      <c r="Y181" s="1">
        <v>56229108</v>
      </c>
      <c r="Z181" s="1">
        <v>56411063</v>
      </c>
      <c r="AA181" s="1">
        <v>56892373</v>
      </c>
      <c r="AB181" s="1">
        <v>56947559</v>
      </c>
      <c r="AC181" s="1">
        <v>57376815</v>
      </c>
      <c r="AD181" s="1">
        <v>57235419</v>
      </c>
      <c r="AE181" s="1">
        <v>57002270</v>
      </c>
      <c r="AF181" s="1">
        <v>56784968</v>
      </c>
      <c r="AG181" s="1">
        <v>56920623</v>
      </c>
      <c r="AH181" s="1">
        <v>57456703</v>
      </c>
      <c r="AI181" s="1">
        <v>57858394</v>
      </c>
      <c r="AJ181" s="1">
        <v>58497940</v>
      </c>
      <c r="AK181" s="1">
        <v>58881983</v>
      </c>
      <c r="AL181" s="1">
        <v>59604170</v>
      </c>
      <c r="AM181" s="1">
        <v>60300377</v>
      </c>
      <c r="AO181" s="7">
        <f t="shared" ref="AO181" si="162">+O181-C181</f>
        <v>36719364</v>
      </c>
      <c r="AP181" s="8">
        <f t="shared" ref="AP181" si="163">+(O181/C181)-1</f>
        <v>1.9572653139874134</v>
      </c>
      <c r="AQ181" s="12">
        <f t="shared" ref="AQ181" si="164">+(AA181-O181)</f>
        <v>1412464</v>
      </c>
      <c r="AR181" s="13">
        <f t="shared" ref="AR181" si="165">+(AA181/O181)-1</f>
        <v>2.5459017966305675E-2</v>
      </c>
      <c r="AS181" s="17">
        <f t="shared" ref="AS181" si="166">+AM181-AA181</f>
        <v>3408004</v>
      </c>
      <c r="AT181" s="18">
        <f t="shared" ref="AT181" si="167">+(AM181/AA181)-1</f>
        <v>5.9902651626080106E-2</v>
      </c>
    </row>
    <row r="182" spans="1:46" ht="14.25" hidden="1" customHeight="1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O182" s="7"/>
      <c r="AP182" s="8"/>
      <c r="AQ182" s="12"/>
      <c r="AR182" s="13"/>
      <c r="AS182" s="17"/>
      <c r="AT182" s="18"/>
    </row>
    <row r="183" spans="1:46" ht="14.25" hidden="1" customHeight="1">
      <c r="A183" t="s">
        <v>159</v>
      </c>
      <c r="B183">
        <v>710360</v>
      </c>
      <c r="C183">
        <v>1382351</v>
      </c>
      <c r="D183" s="1">
        <v>1514618</v>
      </c>
      <c r="E183" s="1">
        <v>1588184</v>
      </c>
      <c r="F183" s="1">
        <v>1598184</v>
      </c>
      <c r="G183" s="1">
        <v>1663582</v>
      </c>
      <c r="H183" s="1">
        <v>1697261</v>
      </c>
      <c r="I183" s="1">
        <v>1854714</v>
      </c>
      <c r="J183" s="1">
        <v>1854714</v>
      </c>
      <c r="K183" s="1">
        <v>1977765</v>
      </c>
      <c r="L183" s="1">
        <v>2108686</v>
      </c>
      <c r="M183" s="1">
        <v>2342721</v>
      </c>
      <c r="N183" s="1">
        <v>2704711</v>
      </c>
      <c r="O183" s="1">
        <v>1887742</v>
      </c>
      <c r="P183" s="1">
        <v>2356961</v>
      </c>
      <c r="Q183" s="1">
        <v>2356961</v>
      </c>
      <c r="R183" s="1">
        <v>2356961</v>
      </c>
      <c r="S183" s="1">
        <v>2356961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O183" s="7">
        <f t="shared" ref="AO183:AO184" si="168">+O183-C183</f>
        <v>505391</v>
      </c>
      <c r="AP183" s="8">
        <f t="shared" ref="AP183:AP184" si="169">+(O183/C183)-1</f>
        <v>0.36560251339927419</v>
      </c>
      <c r="AQ183" s="12">
        <f t="shared" ref="AQ183:AQ184" si="170">+(AA183-O183)</f>
        <v>-1887742</v>
      </c>
      <c r="AR183" s="13">
        <f t="shared" ref="AR183:AR184" si="171">+(AA183/O183)-1</f>
        <v>-1</v>
      </c>
      <c r="AS183" s="17">
        <f t="shared" ref="AS183:AS184" si="172">+AM183-AA183</f>
        <v>0</v>
      </c>
      <c r="AT183" s="18" t="e">
        <f t="shared" ref="AT183:AT184" si="173">+(AM183/AA183)-1</f>
        <v>#DIV/0!</v>
      </c>
    </row>
    <row r="184" spans="1:46" ht="14.25" hidden="1" customHeight="1">
      <c r="A184" t="s">
        <v>160</v>
      </c>
      <c r="B184">
        <v>710363</v>
      </c>
      <c r="C184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O184" s="7">
        <f t="shared" si="168"/>
        <v>0</v>
      </c>
      <c r="AP184" s="8" t="e">
        <f t="shared" si="169"/>
        <v>#DIV/0!</v>
      </c>
      <c r="AQ184" s="12">
        <f t="shared" si="170"/>
        <v>0</v>
      </c>
      <c r="AR184" s="13" t="e">
        <f t="shared" si="171"/>
        <v>#DIV/0!</v>
      </c>
      <c r="AS184" s="17">
        <f t="shared" si="172"/>
        <v>0</v>
      </c>
      <c r="AT184" s="18" t="e">
        <f t="shared" si="173"/>
        <v>#DIV/0!</v>
      </c>
    </row>
    <row r="185" spans="1:46" ht="14.25" hidden="1" customHeight="1">
      <c r="A185" t="s">
        <v>11</v>
      </c>
      <c r="B185" t="s">
        <v>12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O185" s="7"/>
      <c r="AP185" s="8"/>
      <c r="AQ185" s="12"/>
      <c r="AR185" s="13"/>
      <c r="AS185" s="17"/>
      <c r="AT185" s="18"/>
    </row>
    <row r="186" spans="1:46">
      <c r="A186" t="s">
        <v>161</v>
      </c>
      <c r="C186">
        <v>1382351</v>
      </c>
      <c r="D186" s="1">
        <v>1514618</v>
      </c>
      <c r="E186" s="1">
        <v>1588184</v>
      </c>
      <c r="F186" s="1">
        <v>1598184</v>
      </c>
      <c r="G186" s="1">
        <v>1663582</v>
      </c>
      <c r="H186" s="1">
        <v>1697261</v>
      </c>
      <c r="I186" s="1">
        <v>1854714</v>
      </c>
      <c r="J186" s="1">
        <v>1854714</v>
      </c>
      <c r="K186" s="1">
        <v>1977765</v>
      </c>
      <c r="L186" s="1">
        <v>2108686</v>
      </c>
      <c r="M186" s="1">
        <v>2342721</v>
      </c>
      <c r="N186" s="1">
        <v>2704711</v>
      </c>
      <c r="O186" s="1">
        <v>1887742</v>
      </c>
      <c r="P186" s="1">
        <v>2356961</v>
      </c>
      <c r="Q186" s="1">
        <v>2356961</v>
      </c>
      <c r="R186" s="1">
        <v>2356961</v>
      </c>
      <c r="S186" s="1">
        <v>2356961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O186" s="7">
        <f t="shared" ref="AO186" si="174">+O186-C186</f>
        <v>505391</v>
      </c>
      <c r="AP186" s="8">
        <f t="shared" ref="AP186" si="175">+(O186/C186)-1</f>
        <v>0.36560251339927419</v>
      </c>
      <c r="AQ186" s="12">
        <f t="shared" ref="AQ186" si="176">+(AA186-O186)</f>
        <v>-1887742</v>
      </c>
      <c r="AR186" s="13">
        <f t="shared" ref="AR186" si="177">+(AA186/O186)-1</f>
        <v>-1</v>
      </c>
      <c r="AS186" s="17">
        <f t="shared" ref="AS186" si="178">+AM186-AA186</f>
        <v>0</v>
      </c>
      <c r="AT186" s="18" t="e">
        <f t="shared" ref="AT186" si="179">+(AM186/AA186)-1</f>
        <v>#DIV/0!</v>
      </c>
    </row>
    <row r="187" spans="1:46" ht="14.25" hidden="1" customHeight="1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O187" s="7"/>
      <c r="AP187" s="8"/>
      <c r="AQ187" s="12"/>
      <c r="AR187" s="13"/>
      <c r="AS187" s="17"/>
      <c r="AT187" s="18"/>
    </row>
    <row r="188" spans="1:46">
      <c r="A188" t="s">
        <v>162</v>
      </c>
      <c r="C188">
        <v>201143455</v>
      </c>
      <c r="D188" s="1">
        <v>203246797</v>
      </c>
      <c r="E188" s="1">
        <v>207989817</v>
      </c>
      <c r="F188" s="1">
        <v>207791611</v>
      </c>
      <c r="G188" s="1">
        <v>215141054</v>
      </c>
      <c r="H188" s="1">
        <v>222946506</v>
      </c>
      <c r="I188" s="1">
        <v>233667603</v>
      </c>
      <c r="J188" s="1">
        <v>233251830</v>
      </c>
      <c r="K188" s="1">
        <v>233867088</v>
      </c>
      <c r="L188" s="1">
        <v>232169447</v>
      </c>
      <c r="M188" s="1">
        <v>231448565</v>
      </c>
      <c r="N188" s="1">
        <v>231184729</v>
      </c>
      <c r="O188" s="1">
        <v>229549998</v>
      </c>
      <c r="P188" s="1">
        <v>229523895</v>
      </c>
      <c r="Q188" s="1">
        <v>228088277</v>
      </c>
      <c r="R188" s="1">
        <v>227690156</v>
      </c>
      <c r="S188" s="1">
        <v>227308740</v>
      </c>
      <c r="T188" s="1">
        <v>227277933</v>
      </c>
      <c r="U188" s="1">
        <v>226106701</v>
      </c>
      <c r="V188" s="1">
        <v>224335064</v>
      </c>
      <c r="W188" s="1">
        <v>223590974</v>
      </c>
      <c r="X188" s="1">
        <v>228155153</v>
      </c>
      <c r="Y188" s="1">
        <v>230667323</v>
      </c>
      <c r="Z188" s="1">
        <v>233150330</v>
      </c>
      <c r="AA188" s="1">
        <v>236978032</v>
      </c>
      <c r="AB188" s="1">
        <v>239049218</v>
      </c>
      <c r="AC188" s="1">
        <v>244280005</v>
      </c>
      <c r="AD188" s="1">
        <v>243922645</v>
      </c>
      <c r="AE188" s="1">
        <v>243089187</v>
      </c>
      <c r="AF188" s="1">
        <v>242410589</v>
      </c>
      <c r="AG188" s="1">
        <v>243930614</v>
      </c>
      <c r="AH188" s="1">
        <v>247519574</v>
      </c>
      <c r="AI188" s="1">
        <v>251866204</v>
      </c>
      <c r="AJ188" s="1">
        <v>256103839</v>
      </c>
      <c r="AK188" s="1">
        <v>260585663</v>
      </c>
      <c r="AL188" s="1">
        <v>265596436</v>
      </c>
      <c r="AM188" s="1">
        <v>272687746</v>
      </c>
      <c r="AO188" s="7">
        <f t="shared" ref="AO188" si="180">+O188-C188</f>
        <v>28406543</v>
      </c>
      <c r="AP188" s="8">
        <f t="shared" ref="AP188" si="181">+(O188/C188)-1</f>
        <v>0.14122529117340665</v>
      </c>
      <c r="AQ188" s="12">
        <f t="shared" ref="AQ188" si="182">+(AA188-O188)</f>
        <v>7428034</v>
      </c>
      <c r="AR188" s="13">
        <f t="shared" ref="AR188" si="183">+(AA188/O188)-1</f>
        <v>3.2359111586661937E-2</v>
      </c>
      <c r="AS188" s="17">
        <f t="shared" ref="AS188" si="184">+AM188-AA188</f>
        <v>35709714</v>
      </c>
      <c r="AT188" s="18">
        <f t="shared" ref="AT188" si="185">+(AM188/AA188)-1</f>
        <v>0.15068786629133624</v>
      </c>
    </row>
    <row r="189" spans="1:46" ht="14.25" hidden="1" customHeight="1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O189" s="7"/>
      <c r="AP189" s="8"/>
      <c r="AQ189" s="12"/>
      <c r="AR189" s="13"/>
      <c r="AS189" s="17"/>
      <c r="AT189" s="18"/>
    </row>
    <row r="190" spans="1:46" ht="14.25" hidden="1" customHeight="1">
      <c r="A190" t="s">
        <v>163</v>
      </c>
      <c r="B190">
        <v>710361</v>
      </c>
      <c r="C190">
        <v>3500479</v>
      </c>
      <c r="D190" s="1">
        <v>3492365</v>
      </c>
      <c r="E190" s="1">
        <v>3486315</v>
      </c>
      <c r="F190" s="1">
        <v>3478659</v>
      </c>
      <c r="G190" s="1">
        <v>3470974</v>
      </c>
      <c r="H190" s="1">
        <v>3463261</v>
      </c>
      <c r="I190" s="1">
        <v>3453554</v>
      </c>
      <c r="J190" s="1">
        <v>3445576</v>
      </c>
      <c r="K190" s="1">
        <v>3438865</v>
      </c>
      <c r="L190" s="1">
        <v>3407945</v>
      </c>
      <c r="M190" s="1">
        <v>3400373</v>
      </c>
      <c r="N190" s="1">
        <v>3391175</v>
      </c>
      <c r="O190" s="1">
        <v>3382820</v>
      </c>
      <c r="P190" s="1">
        <v>3371152</v>
      </c>
      <c r="Q190" s="1">
        <v>3363444</v>
      </c>
      <c r="R190" s="1">
        <v>2253428</v>
      </c>
      <c r="S190" s="1">
        <v>2248077</v>
      </c>
      <c r="T190" s="1">
        <v>2241059</v>
      </c>
      <c r="U190" s="1">
        <v>2234823</v>
      </c>
      <c r="V190" s="1">
        <v>2227845</v>
      </c>
      <c r="W190" s="1">
        <v>2220749</v>
      </c>
      <c r="X190" s="1">
        <v>2141029</v>
      </c>
      <c r="Y190" s="1">
        <v>2064172</v>
      </c>
      <c r="Z190" s="1">
        <v>1990073</v>
      </c>
      <c r="AA190" s="1">
        <v>1918634</v>
      </c>
      <c r="AB190" s="1">
        <v>1849759</v>
      </c>
      <c r="AC190" s="1">
        <v>1783357</v>
      </c>
      <c r="AD190" s="1">
        <v>1719339</v>
      </c>
      <c r="AE190" s="1">
        <v>1657619</v>
      </c>
      <c r="AF190" s="1">
        <v>1598114</v>
      </c>
      <c r="AG190" s="1">
        <v>1540746</v>
      </c>
      <c r="AH190" s="1">
        <v>1485437</v>
      </c>
      <c r="AI190" s="1">
        <v>1432113</v>
      </c>
      <c r="AJ190" s="1">
        <v>1380704</v>
      </c>
      <c r="AK190" s="1">
        <v>1331140</v>
      </c>
      <c r="AL190" s="1">
        <v>1283355</v>
      </c>
      <c r="AM190" s="1">
        <v>1237286</v>
      </c>
      <c r="AO190" s="7">
        <f t="shared" ref="AO190:AO191" si="186">+O190-C190</f>
        <v>-117659</v>
      </c>
      <c r="AP190" s="8">
        <f t="shared" ref="AP190:AP191" si="187">+(O190/C190)-1</f>
        <v>-3.3612257065390172E-2</v>
      </c>
      <c r="AQ190" s="12">
        <f t="shared" ref="AQ190:AQ191" si="188">+(AA190-O190)</f>
        <v>-1464186</v>
      </c>
      <c r="AR190" s="13">
        <f t="shared" ref="AR190:AR191" si="189">+(AA190/O190)-1</f>
        <v>-0.4328300057348603</v>
      </c>
      <c r="AS190" s="17">
        <f t="shared" ref="AS190:AS191" si="190">+AM190-AA190</f>
        <v>-681348</v>
      </c>
      <c r="AT190" s="18">
        <f t="shared" ref="AT190:AT191" si="191">+(AM190/AA190)-1</f>
        <v>-0.35512140408227932</v>
      </c>
    </row>
    <row r="191" spans="1:46" ht="14.25" hidden="1" customHeight="1">
      <c r="A191" t="s">
        <v>164</v>
      </c>
      <c r="B191">
        <v>710362</v>
      </c>
      <c r="C19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O191" s="7">
        <f t="shared" si="186"/>
        <v>0</v>
      </c>
      <c r="AP191" s="8" t="e">
        <f t="shared" si="187"/>
        <v>#DIV/0!</v>
      </c>
      <c r="AQ191" s="12">
        <f t="shared" si="188"/>
        <v>0</v>
      </c>
      <c r="AR191" s="13" t="e">
        <f t="shared" si="189"/>
        <v>#DIV/0!</v>
      </c>
      <c r="AS191" s="17">
        <f t="shared" si="190"/>
        <v>0</v>
      </c>
      <c r="AT191" s="18" t="e">
        <f t="shared" si="191"/>
        <v>#DIV/0!</v>
      </c>
    </row>
    <row r="192" spans="1:46" ht="14.25" hidden="1" customHeight="1">
      <c r="A192" t="s">
        <v>11</v>
      </c>
      <c r="B192" t="s">
        <v>12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O192" s="7"/>
      <c r="AP192" s="8"/>
      <c r="AQ192" s="12"/>
      <c r="AR192" s="13"/>
      <c r="AS192" s="17"/>
      <c r="AT192" s="18"/>
    </row>
    <row r="193" spans="1:46">
      <c r="A193" t="s">
        <v>165</v>
      </c>
      <c r="C193">
        <v>3500479</v>
      </c>
      <c r="D193" s="1">
        <v>3492365</v>
      </c>
      <c r="E193" s="1">
        <v>3486315</v>
      </c>
      <c r="F193" s="1">
        <v>3478659</v>
      </c>
      <c r="G193" s="1">
        <v>3470974</v>
      </c>
      <c r="H193" s="1">
        <v>3463261</v>
      </c>
      <c r="I193" s="1">
        <v>3453554</v>
      </c>
      <c r="J193" s="1">
        <v>3445576</v>
      </c>
      <c r="K193" s="1">
        <v>3438865</v>
      </c>
      <c r="L193" s="1">
        <v>3407945</v>
      </c>
      <c r="M193" s="1">
        <v>3400373</v>
      </c>
      <c r="N193" s="1">
        <v>3391175</v>
      </c>
      <c r="O193" s="1">
        <v>3382820</v>
      </c>
      <c r="P193" s="1">
        <v>3371152</v>
      </c>
      <c r="Q193" s="1">
        <v>3363444</v>
      </c>
      <c r="R193" s="1">
        <v>2253428</v>
      </c>
      <c r="S193" s="1">
        <v>2248077</v>
      </c>
      <c r="T193" s="1">
        <v>2241059</v>
      </c>
      <c r="U193" s="1">
        <v>2234823</v>
      </c>
      <c r="V193" s="1">
        <v>2227845</v>
      </c>
      <c r="W193" s="1">
        <v>2220749</v>
      </c>
      <c r="X193" s="1">
        <v>2141029</v>
      </c>
      <c r="Y193" s="1">
        <v>2064172</v>
      </c>
      <c r="Z193" s="1">
        <v>1990073</v>
      </c>
      <c r="AA193" s="1">
        <v>1918634</v>
      </c>
      <c r="AB193" s="1">
        <v>1849759</v>
      </c>
      <c r="AC193" s="1">
        <v>1783357</v>
      </c>
      <c r="AD193" s="1">
        <v>1719339</v>
      </c>
      <c r="AE193" s="1">
        <v>1657619</v>
      </c>
      <c r="AF193" s="1">
        <v>1598114</v>
      </c>
      <c r="AG193" s="1">
        <v>1540746</v>
      </c>
      <c r="AH193" s="1">
        <v>1485437</v>
      </c>
      <c r="AI193" s="1">
        <v>1432113</v>
      </c>
      <c r="AJ193" s="1">
        <v>1380704</v>
      </c>
      <c r="AK193" s="1">
        <v>1331140</v>
      </c>
      <c r="AL193" s="1">
        <v>1283355</v>
      </c>
      <c r="AM193" s="1">
        <v>1237286</v>
      </c>
      <c r="AO193" s="7">
        <f t="shared" ref="AO193" si="192">+O193-C193</f>
        <v>-117659</v>
      </c>
      <c r="AP193" s="8">
        <f t="shared" ref="AP193" si="193">+(O193/C193)-1</f>
        <v>-3.3612257065390172E-2</v>
      </c>
      <c r="AQ193" s="12">
        <f t="shared" ref="AQ193" si="194">+(AA193-O193)</f>
        <v>-1464186</v>
      </c>
      <c r="AR193" s="13">
        <f t="shared" ref="AR193" si="195">+(AA193/O193)-1</f>
        <v>-0.4328300057348603</v>
      </c>
      <c r="AS193" s="17">
        <f t="shared" ref="AS193" si="196">+AM193-AA193</f>
        <v>-681348</v>
      </c>
      <c r="AT193" s="18">
        <f t="shared" ref="AT193" si="197">+(AM193/AA193)-1</f>
        <v>-0.35512140408227932</v>
      </c>
    </row>
    <row r="194" spans="1:46" ht="14.25" hidden="1" customHeight="1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O194" s="7"/>
      <c r="AP194" s="8"/>
      <c r="AQ194" s="12"/>
      <c r="AR194" s="13"/>
      <c r="AS194" s="17"/>
      <c r="AT194" s="18"/>
    </row>
    <row r="195" spans="1:46" ht="14.25" hidden="1" customHeight="1">
      <c r="A195" t="s">
        <v>166</v>
      </c>
      <c r="B195">
        <v>710370</v>
      </c>
      <c r="C195">
        <v>10389868</v>
      </c>
      <c r="D195" s="1">
        <v>10357198</v>
      </c>
      <c r="E195" s="1">
        <v>10304890</v>
      </c>
      <c r="F195" s="1">
        <v>10101272</v>
      </c>
      <c r="G195" s="1">
        <v>10072242</v>
      </c>
      <c r="H195" s="1">
        <v>9774923</v>
      </c>
      <c r="I195" s="1">
        <v>9745178</v>
      </c>
      <c r="J195" s="1">
        <v>9719187</v>
      </c>
      <c r="K195" s="1">
        <v>9691467</v>
      </c>
      <c r="L195" s="1">
        <v>9334112</v>
      </c>
      <c r="M195" s="1">
        <v>9301812</v>
      </c>
      <c r="N195" s="1">
        <v>9276521</v>
      </c>
      <c r="O195" s="1">
        <v>9153490</v>
      </c>
      <c r="P195" s="1">
        <v>9125636</v>
      </c>
      <c r="Q195" s="1">
        <v>8924275</v>
      </c>
      <c r="R195" s="1">
        <v>8896890</v>
      </c>
      <c r="S195" s="1">
        <v>8865896</v>
      </c>
      <c r="T195" s="1">
        <v>8838432</v>
      </c>
      <c r="U195" s="1">
        <v>8701501</v>
      </c>
      <c r="V195" s="1">
        <v>8667028</v>
      </c>
      <c r="W195" s="1">
        <v>8637629</v>
      </c>
      <c r="X195" s="1">
        <v>8479847</v>
      </c>
      <c r="Y195" s="1">
        <v>8327627</v>
      </c>
      <c r="Z195" s="1">
        <v>8177145</v>
      </c>
      <c r="AA195" s="1">
        <v>8028391</v>
      </c>
      <c r="AB195" s="1">
        <v>7881355</v>
      </c>
      <c r="AC195" s="1">
        <v>7736028</v>
      </c>
      <c r="AD195" s="1">
        <v>7592401</v>
      </c>
      <c r="AE195" s="1">
        <v>7450463</v>
      </c>
      <c r="AF195" s="1">
        <v>7310205</v>
      </c>
      <c r="AG195" s="1">
        <v>7171618</v>
      </c>
      <c r="AH195" s="1">
        <v>7034692</v>
      </c>
      <c r="AI195" s="1">
        <v>6899419</v>
      </c>
      <c r="AJ195" s="1">
        <v>6765788</v>
      </c>
      <c r="AK195" s="1">
        <v>6633791</v>
      </c>
      <c r="AL195" s="1">
        <v>6503419</v>
      </c>
      <c r="AM195" s="1">
        <v>6374662</v>
      </c>
      <c r="AO195" s="7">
        <f t="shared" ref="AO195:AO204" si="198">+O195-C195</f>
        <v>-1236378</v>
      </c>
      <c r="AP195" s="8">
        <f t="shared" ref="AP195:AP204" si="199">+(O195/C195)-1</f>
        <v>-0.11899843193388016</v>
      </c>
      <c r="AQ195" s="12">
        <f t="shared" ref="AQ195:AQ204" si="200">+(AA195-O195)</f>
        <v>-1125099</v>
      </c>
      <c r="AR195" s="13">
        <f t="shared" ref="AR195:AR204" si="201">+(AA195/O195)-1</f>
        <v>-0.12291475710357469</v>
      </c>
      <c r="AS195" s="17">
        <f t="shared" ref="AS195:AS204" si="202">+AM195-AA195</f>
        <v>-1653729</v>
      </c>
      <c r="AT195" s="18">
        <f t="shared" ref="AT195:AT204" si="203">+(AM195/AA195)-1</f>
        <v>-0.20598510959418892</v>
      </c>
    </row>
    <row r="196" spans="1:46" ht="14.25" hidden="1" customHeight="1">
      <c r="A196" t="s">
        <v>167</v>
      </c>
      <c r="B196">
        <v>710371</v>
      </c>
      <c r="C196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O196" s="7">
        <f t="shared" si="198"/>
        <v>0</v>
      </c>
      <c r="AP196" s="8" t="e">
        <f t="shared" si="199"/>
        <v>#DIV/0!</v>
      </c>
      <c r="AQ196" s="12">
        <f t="shared" si="200"/>
        <v>0</v>
      </c>
      <c r="AR196" s="13" t="e">
        <f t="shared" si="201"/>
        <v>#DIV/0!</v>
      </c>
      <c r="AS196" s="17">
        <f t="shared" si="202"/>
        <v>0</v>
      </c>
      <c r="AT196" s="18" t="e">
        <f t="shared" si="203"/>
        <v>#DIV/0!</v>
      </c>
    </row>
    <row r="197" spans="1:46" ht="14.25" hidden="1" customHeight="1">
      <c r="A197" t="s">
        <v>168</v>
      </c>
      <c r="B197">
        <v>710372</v>
      </c>
      <c r="C197">
        <v>19120694</v>
      </c>
      <c r="D197" s="1">
        <v>18961759</v>
      </c>
      <c r="E197" s="1">
        <v>18910540</v>
      </c>
      <c r="F197" s="1">
        <v>18862473</v>
      </c>
      <c r="G197" s="1">
        <v>18810773</v>
      </c>
      <c r="H197" s="1">
        <v>18760838</v>
      </c>
      <c r="I197" s="1">
        <v>18707718</v>
      </c>
      <c r="J197" s="1">
        <v>18506509</v>
      </c>
      <c r="K197" s="1">
        <v>18450261</v>
      </c>
      <c r="L197" s="1">
        <v>18399728</v>
      </c>
      <c r="M197" s="1">
        <v>18253007</v>
      </c>
      <c r="N197" s="1">
        <v>17997669</v>
      </c>
      <c r="O197" s="1">
        <v>17947497</v>
      </c>
      <c r="P197" s="1">
        <v>17573394</v>
      </c>
      <c r="Q197" s="1">
        <v>17332079</v>
      </c>
      <c r="R197" s="1">
        <v>16607844</v>
      </c>
      <c r="S197" s="1">
        <v>16560965</v>
      </c>
      <c r="T197" s="1">
        <v>16509358</v>
      </c>
      <c r="U197" s="1">
        <v>16205738</v>
      </c>
      <c r="V197" s="1">
        <v>16154159</v>
      </c>
      <c r="W197" s="1">
        <v>15980660</v>
      </c>
      <c r="X197" s="1">
        <v>15688745</v>
      </c>
      <c r="Y197" s="1">
        <v>15407119</v>
      </c>
      <c r="Z197" s="1">
        <v>15128708</v>
      </c>
      <c r="AA197" s="1">
        <v>14853495</v>
      </c>
      <c r="AB197" s="1">
        <v>14581461</v>
      </c>
      <c r="AC197" s="1">
        <v>14312589</v>
      </c>
      <c r="AD197" s="1">
        <v>14046861</v>
      </c>
      <c r="AE197" s="1">
        <v>13784258</v>
      </c>
      <c r="AF197" s="1">
        <v>13524764</v>
      </c>
      <c r="AG197" s="1">
        <v>13268362</v>
      </c>
      <c r="AH197" s="1">
        <v>13015033</v>
      </c>
      <c r="AI197" s="1">
        <v>12764760</v>
      </c>
      <c r="AJ197" s="1">
        <v>12517527</v>
      </c>
      <c r="AK197" s="1">
        <v>12273317</v>
      </c>
      <c r="AL197" s="1">
        <v>12032112</v>
      </c>
      <c r="AM197" s="1">
        <v>11793897</v>
      </c>
      <c r="AO197" s="7">
        <f t="shared" si="198"/>
        <v>-1173197</v>
      </c>
      <c r="AP197" s="8">
        <f t="shared" si="199"/>
        <v>-6.1357448636540024E-2</v>
      </c>
      <c r="AQ197" s="12">
        <f t="shared" si="200"/>
        <v>-3094002</v>
      </c>
      <c r="AR197" s="13">
        <f t="shared" si="201"/>
        <v>-0.17239183826023208</v>
      </c>
      <c r="AS197" s="17">
        <f t="shared" si="202"/>
        <v>-3059598</v>
      </c>
      <c r="AT197" s="18">
        <f t="shared" si="203"/>
        <v>-0.20598505604236583</v>
      </c>
    </row>
    <row r="198" spans="1:46" ht="14.25" hidden="1" customHeight="1">
      <c r="A198" t="s">
        <v>169</v>
      </c>
      <c r="B198">
        <v>710373</v>
      </c>
      <c r="C198">
        <v>14070</v>
      </c>
      <c r="D198" s="1">
        <v>12438</v>
      </c>
      <c r="E198" s="1">
        <v>10904</v>
      </c>
      <c r="F198" s="1">
        <v>9469</v>
      </c>
      <c r="G198" s="1">
        <v>8131</v>
      </c>
      <c r="H198" s="1">
        <v>6894</v>
      </c>
      <c r="I198" s="1">
        <v>5756</v>
      </c>
      <c r="J198" s="1">
        <v>4718</v>
      </c>
      <c r="K198" s="1">
        <v>3782</v>
      </c>
      <c r="L198" s="1">
        <v>2947</v>
      </c>
      <c r="M198" s="1">
        <v>2215</v>
      </c>
      <c r="N198" s="1">
        <v>1585</v>
      </c>
      <c r="O198" s="1">
        <v>1059</v>
      </c>
      <c r="P198" s="1">
        <v>636</v>
      </c>
      <c r="Q198" s="1">
        <v>319</v>
      </c>
      <c r="R198" s="1">
        <v>106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O198" s="7">
        <f t="shared" si="198"/>
        <v>-13011</v>
      </c>
      <c r="AP198" s="8">
        <f t="shared" si="199"/>
        <v>-0.92473347547974416</v>
      </c>
      <c r="AQ198" s="12">
        <f t="shared" si="200"/>
        <v>-1059</v>
      </c>
      <c r="AR198" s="13">
        <f t="shared" si="201"/>
        <v>-1</v>
      </c>
      <c r="AS198" s="17">
        <f t="shared" si="202"/>
        <v>0</v>
      </c>
      <c r="AT198" s="18" t="e">
        <f t="shared" si="203"/>
        <v>#DIV/0!</v>
      </c>
    </row>
    <row r="199" spans="1:46" ht="14.25" hidden="1" customHeight="1">
      <c r="A199" t="s">
        <v>170</v>
      </c>
      <c r="B199">
        <v>710374</v>
      </c>
      <c r="C199">
        <v>20108388</v>
      </c>
      <c r="D199" s="1">
        <v>20067752</v>
      </c>
      <c r="E199" s="1">
        <v>19239270</v>
      </c>
      <c r="F199" s="1">
        <v>19200753</v>
      </c>
      <c r="G199" s="1">
        <v>19160061</v>
      </c>
      <c r="H199" s="1">
        <v>19117689</v>
      </c>
      <c r="I199" s="1">
        <v>19075016</v>
      </c>
      <c r="J199" s="1">
        <v>18357892</v>
      </c>
      <c r="K199" s="1">
        <v>18314986</v>
      </c>
      <c r="L199" s="1">
        <v>18274761</v>
      </c>
      <c r="M199" s="1">
        <v>18232877</v>
      </c>
      <c r="N199" s="1">
        <v>18193188</v>
      </c>
      <c r="O199" s="1">
        <v>18152185</v>
      </c>
      <c r="P199" s="1">
        <v>18109857</v>
      </c>
      <c r="Q199" s="1">
        <v>17626548</v>
      </c>
      <c r="R199" s="1">
        <v>17168972</v>
      </c>
      <c r="S199" s="1">
        <v>17128852</v>
      </c>
      <c r="T199" s="1">
        <v>17085886</v>
      </c>
      <c r="U199" s="1">
        <v>17046694</v>
      </c>
      <c r="V199" s="1">
        <v>16567828</v>
      </c>
      <c r="W199" s="1">
        <v>16530704</v>
      </c>
      <c r="X199" s="1">
        <v>16483406</v>
      </c>
      <c r="Y199" s="1">
        <v>16432564</v>
      </c>
      <c r="Z199" s="1">
        <v>16381580</v>
      </c>
      <c r="AA199" s="1">
        <v>16330453</v>
      </c>
      <c r="AB199" s="1">
        <v>16279183</v>
      </c>
      <c r="AC199" s="1">
        <v>16227768</v>
      </c>
      <c r="AD199" s="1">
        <v>16176209</v>
      </c>
      <c r="AE199" s="1">
        <v>16124506</v>
      </c>
      <c r="AF199" s="1">
        <v>16072657</v>
      </c>
      <c r="AG199" s="1">
        <v>16020663</v>
      </c>
      <c r="AH199" s="1">
        <v>15968523</v>
      </c>
      <c r="AI199" s="1">
        <v>15916236</v>
      </c>
      <c r="AJ199" s="1">
        <v>15863803</v>
      </c>
      <c r="AK199" s="1">
        <v>15811222</v>
      </c>
      <c r="AL199" s="1">
        <v>15758494</v>
      </c>
      <c r="AM199" s="1">
        <v>15705618</v>
      </c>
      <c r="AO199" s="7">
        <f t="shared" si="198"/>
        <v>-1956203</v>
      </c>
      <c r="AP199" s="8">
        <f t="shared" si="199"/>
        <v>-9.7282934862804482E-2</v>
      </c>
      <c r="AQ199" s="12">
        <f t="shared" si="200"/>
        <v>-1821732</v>
      </c>
      <c r="AR199" s="13">
        <f t="shared" si="201"/>
        <v>-0.10035882732574619</v>
      </c>
      <c r="AS199" s="17">
        <f t="shared" si="202"/>
        <v>-624835</v>
      </c>
      <c r="AT199" s="18">
        <f t="shared" si="203"/>
        <v>-3.8261951459644172E-2</v>
      </c>
    </row>
    <row r="200" spans="1:46" ht="14.25" hidden="1" customHeight="1">
      <c r="A200" t="s">
        <v>171</v>
      </c>
      <c r="B200">
        <v>710375</v>
      </c>
      <c r="C200">
        <v>216740</v>
      </c>
      <c r="D200" s="1">
        <v>200090</v>
      </c>
      <c r="E200" s="1">
        <v>184077</v>
      </c>
      <c r="F200" s="1">
        <v>168706</v>
      </c>
      <c r="G200" s="1">
        <v>153980</v>
      </c>
      <c r="H200" s="1">
        <v>139904</v>
      </c>
      <c r="I200" s="1">
        <v>126484</v>
      </c>
      <c r="J200" s="1">
        <v>113724</v>
      </c>
      <c r="K200" s="1">
        <v>101627</v>
      </c>
      <c r="L200" s="1">
        <v>90200</v>
      </c>
      <c r="M200" s="1">
        <v>79447</v>
      </c>
      <c r="N200" s="1">
        <v>69372</v>
      </c>
      <c r="O200" s="1">
        <v>59980</v>
      </c>
      <c r="P200" s="1">
        <v>51277</v>
      </c>
      <c r="Q200" s="1">
        <v>43266</v>
      </c>
      <c r="R200" s="1">
        <v>35953</v>
      </c>
      <c r="S200" s="1">
        <v>29342</v>
      </c>
      <c r="T200" s="1">
        <v>23439</v>
      </c>
      <c r="U200" s="1">
        <v>18247</v>
      </c>
      <c r="V200" s="1">
        <v>13773</v>
      </c>
      <c r="W200" s="1">
        <v>10022</v>
      </c>
      <c r="X200" s="1">
        <v>9995</v>
      </c>
      <c r="Y200" s="1">
        <v>9968</v>
      </c>
      <c r="Z200" s="1">
        <v>9941</v>
      </c>
      <c r="AA200" s="1">
        <v>9914</v>
      </c>
      <c r="AB200" s="1">
        <v>9887</v>
      </c>
      <c r="AC200" s="1">
        <v>9860</v>
      </c>
      <c r="AD200" s="1">
        <v>9833</v>
      </c>
      <c r="AE200" s="1">
        <v>9806</v>
      </c>
      <c r="AF200" s="1">
        <v>9779</v>
      </c>
      <c r="AG200" s="1">
        <v>9752</v>
      </c>
      <c r="AH200" s="1">
        <v>9725</v>
      </c>
      <c r="AI200" s="1">
        <v>9698</v>
      </c>
      <c r="AJ200" s="1">
        <v>9671</v>
      </c>
      <c r="AK200" s="1">
        <v>9644</v>
      </c>
      <c r="AL200" s="1">
        <v>9617</v>
      </c>
      <c r="AM200" s="1">
        <v>9590</v>
      </c>
      <c r="AO200" s="7">
        <f t="shared" si="198"/>
        <v>-156760</v>
      </c>
      <c r="AP200" s="8">
        <f t="shared" si="199"/>
        <v>-0.72326289563532342</v>
      </c>
      <c r="AQ200" s="12">
        <f t="shared" si="200"/>
        <v>-50066</v>
      </c>
      <c r="AR200" s="13">
        <f t="shared" si="201"/>
        <v>-0.83471157052350786</v>
      </c>
      <c r="AS200" s="17">
        <f t="shared" si="202"/>
        <v>-324</v>
      </c>
      <c r="AT200" s="18">
        <f t="shared" si="203"/>
        <v>-3.2681057090982457E-2</v>
      </c>
    </row>
    <row r="201" spans="1:46" ht="14.25" hidden="1" customHeight="1">
      <c r="A201" t="s">
        <v>172</v>
      </c>
      <c r="B201">
        <v>710376</v>
      </c>
      <c r="C201">
        <v>23905469</v>
      </c>
      <c r="D201" s="1">
        <v>23855139</v>
      </c>
      <c r="E201" s="1">
        <v>23803951</v>
      </c>
      <c r="F201" s="1">
        <v>23758315</v>
      </c>
      <c r="G201" s="1">
        <v>23714209</v>
      </c>
      <c r="H201" s="1">
        <v>22942411</v>
      </c>
      <c r="I201" s="1">
        <v>22893011</v>
      </c>
      <c r="J201" s="1">
        <v>22850583</v>
      </c>
      <c r="K201" s="1">
        <v>22807775</v>
      </c>
      <c r="L201" s="1">
        <v>22759750</v>
      </c>
      <c r="M201" s="1">
        <v>22716988</v>
      </c>
      <c r="N201" s="1">
        <v>22672223</v>
      </c>
      <c r="O201" s="1">
        <v>22625439</v>
      </c>
      <c r="P201" s="1">
        <v>22581423</v>
      </c>
      <c r="Q201" s="1">
        <v>22534316</v>
      </c>
      <c r="R201" s="1">
        <v>22490069</v>
      </c>
      <c r="S201" s="1">
        <v>22446632</v>
      </c>
      <c r="T201" s="1">
        <v>22402805</v>
      </c>
      <c r="U201" s="1">
        <v>21414008</v>
      </c>
      <c r="V201" s="1">
        <v>21372130</v>
      </c>
      <c r="W201" s="1">
        <v>21328205</v>
      </c>
      <c r="X201" s="1">
        <v>21269339</v>
      </c>
      <c r="Y201" s="1">
        <v>21205473</v>
      </c>
      <c r="Z201" s="1">
        <v>21141454</v>
      </c>
      <c r="AA201" s="1">
        <v>21077280</v>
      </c>
      <c r="AB201" s="1">
        <v>21012952</v>
      </c>
      <c r="AC201" s="1">
        <v>20948469</v>
      </c>
      <c r="AD201" s="1">
        <v>20883831</v>
      </c>
      <c r="AE201" s="1">
        <v>20819037</v>
      </c>
      <c r="AF201" s="1">
        <v>20754088</v>
      </c>
      <c r="AG201" s="1">
        <v>20688982</v>
      </c>
      <c r="AH201" s="1">
        <v>20623719</v>
      </c>
      <c r="AI201" s="1">
        <v>20558299</v>
      </c>
      <c r="AJ201" s="1">
        <v>20492721</v>
      </c>
      <c r="AK201" s="1">
        <v>20426986</v>
      </c>
      <c r="AL201" s="1">
        <v>20361092</v>
      </c>
      <c r="AM201" s="1">
        <v>20295040</v>
      </c>
      <c r="AO201" s="7">
        <f t="shared" si="198"/>
        <v>-1280030</v>
      </c>
      <c r="AP201" s="8">
        <f t="shared" si="199"/>
        <v>-5.3545487854682938E-2</v>
      </c>
      <c r="AQ201" s="12">
        <f t="shared" si="200"/>
        <v>-1548159</v>
      </c>
      <c r="AR201" s="13">
        <f t="shared" si="201"/>
        <v>-6.8425589443811496E-2</v>
      </c>
      <c r="AS201" s="17">
        <f t="shared" si="202"/>
        <v>-782240</v>
      </c>
      <c r="AT201" s="18">
        <f t="shared" si="203"/>
        <v>-3.7112948160293979E-2</v>
      </c>
    </row>
    <row r="202" spans="1:46" ht="14.25" hidden="1" customHeight="1">
      <c r="A202" t="s">
        <v>173</v>
      </c>
      <c r="B202">
        <v>710377</v>
      </c>
      <c r="C202">
        <v>400027</v>
      </c>
      <c r="D202" s="1">
        <v>387602</v>
      </c>
      <c r="E202" s="1">
        <v>375351</v>
      </c>
      <c r="F202" s="1">
        <v>363275</v>
      </c>
      <c r="G202" s="1">
        <v>351375</v>
      </c>
      <c r="H202" s="1">
        <v>339646</v>
      </c>
      <c r="I202" s="1">
        <v>328107</v>
      </c>
      <c r="J202" s="1">
        <v>316741</v>
      </c>
      <c r="K202" s="1">
        <v>305555</v>
      </c>
      <c r="L202" s="1">
        <v>294550</v>
      </c>
      <c r="M202" s="1">
        <v>283728</v>
      </c>
      <c r="N202" s="1">
        <v>273090</v>
      </c>
      <c r="O202" s="1">
        <v>262635</v>
      </c>
      <c r="P202" s="1">
        <v>252366</v>
      </c>
      <c r="Q202" s="1">
        <v>242284</v>
      </c>
      <c r="R202" s="1">
        <v>232390</v>
      </c>
      <c r="S202" s="1">
        <v>226129</v>
      </c>
      <c r="T202" s="1">
        <v>219943</v>
      </c>
      <c r="U202" s="1">
        <v>213833</v>
      </c>
      <c r="V202" s="1">
        <v>207798</v>
      </c>
      <c r="W202" s="1">
        <v>201840</v>
      </c>
      <c r="X202" s="1">
        <v>201280</v>
      </c>
      <c r="Y202" s="1">
        <v>200720</v>
      </c>
      <c r="Z202" s="1">
        <v>200160</v>
      </c>
      <c r="AA202" s="1">
        <v>199600</v>
      </c>
      <c r="AB202" s="1">
        <v>199040</v>
      </c>
      <c r="AC202" s="1">
        <v>198480</v>
      </c>
      <c r="AD202" s="1">
        <v>197920</v>
      </c>
      <c r="AE202" s="1">
        <v>197360</v>
      </c>
      <c r="AF202" s="1">
        <v>196800</v>
      </c>
      <c r="AG202" s="1">
        <v>196240</v>
      </c>
      <c r="AH202" s="1">
        <v>195680</v>
      </c>
      <c r="AI202" s="1">
        <v>195120</v>
      </c>
      <c r="AJ202" s="1">
        <v>194560</v>
      </c>
      <c r="AK202" s="1">
        <v>194000</v>
      </c>
      <c r="AL202" s="1">
        <v>193440</v>
      </c>
      <c r="AM202" s="1">
        <v>192880</v>
      </c>
      <c r="AO202" s="7">
        <f t="shared" si="198"/>
        <v>-137392</v>
      </c>
      <c r="AP202" s="8">
        <f t="shared" si="199"/>
        <v>-0.34345681666487515</v>
      </c>
      <c r="AQ202" s="12">
        <f t="shared" si="200"/>
        <v>-63035</v>
      </c>
      <c r="AR202" s="13">
        <f t="shared" si="201"/>
        <v>-0.24000989967064557</v>
      </c>
      <c r="AS202" s="17">
        <f t="shared" si="202"/>
        <v>-6720</v>
      </c>
      <c r="AT202" s="18">
        <f t="shared" si="203"/>
        <v>-3.3667334669338689E-2</v>
      </c>
    </row>
    <row r="203" spans="1:46" ht="14.25" hidden="1" customHeight="1">
      <c r="A203" t="s">
        <v>174</v>
      </c>
      <c r="B203">
        <v>710378</v>
      </c>
      <c r="C203">
        <v>37904970</v>
      </c>
      <c r="D203" s="1">
        <v>37831847</v>
      </c>
      <c r="E203" s="1">
        <v>37753613</v>
      </c>
      <c r="F203" s="1">
        <v>37665042</v>
      </c>
      <c r="G203" s="1">
        <v>37594924</v>
      </c>
      <c r="H203" s="1">
        <v>37517866</v>
      </c>
      <c r="I203" s="1">
        <v>37433432</v>
      </c>
      <c r="J203" s="1">
        <v>37365896</v>
      </c>
      <c r="K203" s="1">
        <v>37294959</v>
      </c>
      <c r="L203" s="1">
        <v>37217004</v>
      </c>
      <c r="M203" s="1">
        <v>37145620</v>
      </c>
      <c r="N203" s="1">
        <v>37059682</v>
      </c>
      <c r="O203" s="1">
        <v>36948773</v>
      </c>
      <c r="P203" s="1">
        <v>36872184</v>
      </c>
      <c r="Q203" s="1">
        <v>36799885</v>
      </c>
      <c r="R203" s="1">
        <v>35963162</v>
      </c>
      <c r="S203" s="1">
        <v>35890263</v>
      </c>
      <c r="T203" s="1">
        <v>35816503</v>
      </c>
      <c r="U203" s="1">
        <v>35735194</v>
      </c>
      <c r="V203" s="1">
        <v>35646035</v>
      </c>
      <c r="W203" s="1">
        <v>35567152</v>
      </c>
      <c r="X203" s="1">
        <v>35464641</v>
      </c>
      <c r="Y203" s="1">
        <v>35359243</v>
      </c>
      <c r="Z203" s="1">
        <v>35253577</v>
      </c>
      <c r="AA203" s="1">
        <v>35147645</v>
      </c>
      <c r="AB203" s="1">
        <v>35041446</v>
      </c>
      <c r="AC203" s="1">
        <v>34934977</v>
      </c>
      <c r="AD203" s="1">
        <v>34828240</v>
      </c>
      <c r="AE203" s="1">
        <v>34721234</v>
      </c>
      <c r="AF203" s="1">
        <v>34613956</v>
      </c>
      <c r="AG203" s="1">
        <v>34506408</v>
      </c>
      <c r="AH203" s="1">
        <v>34398588</v>
      </c>
      <c r="AI203" s="1">
        <v>34290495</v>
      </c>
      <c r="AJ203" s="1">
        <v>34182130</v>
      </c>
      <c r="AK203" s="1">
        <v>34073490</v>
      </c>
      <c r="AL203" s="1">
        <v>33964576</v>
      </c>
      <c r="AM203" s="1">
        <v>33855386</v>
      </c>
      <c r="AO203" s="7">
        <f t="shared" si="198"/>
        <v>-956197</v>
      </c>
      <c r="AP203" s="8">
        <f t="shared" si="199"/>
        <v>-2.5226164273444929E-2</v>
      </c>
      <c r="AQ203" s="12">
        <f t="shared" si="200"/>
        <v>-1801128</v>
      </c>
      <c r="AR203" s="13">
        <f t="shared" si="201"/>
        <v>-4.8746625496873697E-2</v>
      </c>
      <c r="AS203" s="17">
        <f t="shared" si="202"/>
        <v>-1292259</v>
      </c>
      <c r="AT203" s="18">
        <f t="shared" si="203"/>
        <v>-3.6766588486938478E-2</v>
      </c>
    </row>
    <row r="204" spans="1:46" ht="14.25" hidden="1" customHeight="1">
      <c r="A204" t="s">
        <v>175</v>
      </c>
      <c r="B204">
        <v>710379</v>
      </c>
      <c r="C204">
        <v>-548125</v>
      </c>
      <c r="D204" s="1">
        <v>-520950</v>
      </c>
      <c r="E204" s="1">
        <v>-494366</v>
      </c>
      <c r="F204" s="1">
        <v>-468376</v>
      </c>
      <c r="G204" s="1">
        <v>-443199</v>
      </c>
      <c r="H204" s="1">
        <v>-419514</v>
      </c>
      <c r="I204" s="1">
        <v>-396322</v>
      </c>
      <c r="J204" s="1">
        <v>-373758</v>
      </c>
      <c r="K204" s="1">
        <v>-351810</v>
      </c>
      <c r="L204" s="1">
        <v>-330483</v>
      </c>
      <c r="M204" s="1">
        <v>-309782</v>
      </c>
      <c r="N204" s="1">
        <v>-289710</v>
      </c>
      <c r="O204" s="1">
        <v>-270272</v>
      </c>
      <c r="P204" s="1">
        <v>-251471</v>
      </c>
      <c r="Q204" s="1">
        <v>-233311</v>
      </c>
      <c r="R204" s="1">
        <v>-215797</v>
      </c>
      <c r="S204" s="1">
        <v>-207349</v>
      </c>
      <c r="T204" s="1">
        <v>-199057</v>
      </c>
      <c r="U204" s="1">
        <v>-190919</v>
      </c>
      <c r="V204" s="1">
        <v>-182937</v>
      </c>
      <c r="W204" s="1">
        <v>-175111</v>
      </c>
      <c r="X204" s="1">
        <v>-174625</v>
      </c>
      <c r="Y204" s="1">
        <v>-174139</v>
      </c>
      <c r="Z204" s="1">
        <v>-173653</v>
      </c>
      <c r="AA204" s="1">
        <v>-173167</v>
      </c>
      <c r="AB204" s="1">
        <v>-172681</v>
      </c>
      <c r="AC204" s="1">
        <v>-172195</v>
      </c>
      <c r="AD204" s="1">
        <v>-171709</v>
      </c>
      <c r="AE204" s="1">
        <v>-171223</v>
      </c>
      <c r="AF204" s="1">
        <v>-170737</v>
      </c>
      <c r="AG204" s="1">
        <v>-170251</v>
      </c>
      <c r="AH204" s="1">
        <v>-169765</v>
      </c>
      <c r="AI204" s="1">
        <v>-169279</v>
      </c>
      <c r="AJ204" s="1">
        <v>-168793</v>
      </c>
      <c r="AK204" s="1">
        <v>-168307</v>
      </c>
      <c r="AL204" s="1">
        <v>-167821</v>
      </c>
      <c r="AM204" s="1">
        <v>-167335</v>
      </c>
      <c r="AO204" s="7">
        <f t="shared" si="198"/>
        <v>277853</v>
      </c>
      <c r="AP204" s="8">
        <f t="shared" si="199"/>
        <v>-0.50691539338654512</v>
      </c>
      <c r="AQ204" s="12">
        <f t="shared" si="200"/>
        <v>97105</v>
      </c>
      <c r="AR204" s="13">
        <f t="shared" si="201"/>
        <v>-0.35928620056831639</v>
      </c>
      <c r="AS204" s="17">
        <f t="shared" si="202"/>
        <v>5832</v>
      </c>
      <c r="AT204" s="18">
        <f t="shared" si="203"/>
        <v>-3.3678472226232437E-2</v>
      </c>
    </row>
    <row r="205" spans="1:46" ht="14.25" hidden="1" customHeight="1">
      <c r="A205" t="s">
        <v>11</v>
      </c>
      <c r="B205" t="s">
        <v>12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46">
      <c r="A206" t="s">
        <v>176</v>
      </c>
      <c r="C206">
        <v>111512099</v>
      </c>
      <c r="D206" s="1">
        <v>111152875</v>
      </c>
      <c r="E206" s="1">
        <v>110088229</v>
      </c>
      <c r="F206" s="1">
        <v>109660927</v>
      </c>
      <c r="G206" s="1">
        <v>109422495</v>
      </c>
      <c r="H206" s="1">
        <v>108180657</v>
      </c>
      <c r="I206" s="1">
        <v>107918380</v>
      </c>
      <c r="J206" s="1">
        <v>106861490</v>
      </c>
      <c r="K206" s="1">
        <v>106618601</v>
      </c>
      <c r="L206" s="1">
        <v>106042569</v>
      </c>
      <c r="M206" s="1">
        <v>105705912</v>
      </c>
      <c r="N206" s="1">
        <v>105253619</v>
      </c>
      <c r="O206" s="1">
        <v>104880786</v>
      </c>
      <c r="P206" s="1">
        <v>104315303</v>
      </c>
      <c r="Q206" s="1">
        <v>103269660</v>
      </c>
      <c r="R206" s="1">
        <v>101179590</v>
      </c>
      <c r="S206" s="1">
        <v>100940729</v>
      </c>
      <c r="T206" s="1">
        <v>100697309</v>
      </c>
      <c r="U206" s="1">
        <v>99144296</v>
      </c>
      <c r="V206" s="1">
        <v>98445815</v>
      </c>
      <c r="W206" s="1">
        <v>98081101</v>
      </c>
      <c r="X206" s="1">
        <v>97422627</v>
      </c>
      <c r="Y206" s="1">
        <v>96768574</v>
      </c>
      <c r="Z206" s="1">
        <v>96118911</v>
      </c>
      <c r="AA206" s="1">
        <v>95473611</v>
      </c>
      <c r="AB206" s="1">
        <v>94832642</v>
      </c>
      <c r="AC206" s="1">
        <v>94195977</v>
      </c>
      <c r="AD206" s="1">
        <v>93563586</v>
      </c>
      <c r="AE206" s="1">
        <v>92935440</v>
      </c>
      <c r="AF206" s="1">
        <v>92311512</v>
      </c>
      <c r="AG206" s="1">
        <v>91691772</v>
      </c>
      <c r="AH206" s="1">
        <v>91076193</v>
      </c>
      <c r="AI206" s="1">
        <v>90464747</v>
      </c>
      <c r="AJ206" s="1">
        <v>89857406</v>
      </c>
      <c r="AK206" s="1">
        <v>89254142</v>
      </c>
      <c r="AL206" s="1">
        <v>88654928</v>
      </c>
      <c r="AM206" s="1">
        <v>88059737</v>
      </c>
      <c r="AO206" s="7">
        <f t="shared" ref="AO206" si="204">+O206-C206</f>
        <v>-6631313</v>
      </c>
      <c r="AP206" s="8">
        <f t="shared" ref="AP206" si="205">+(O206/C206)-1</f>
        <v>-5.9467206334265166E-2</v>
      </c>
      <c r="AQ206" s="12">
        <f t="shared" ref="AQ206" si="206">+(AA206-O206)</f>
        <v>-9407175</v>
      </c>
      <c r="AR206" s="13">
        <f t="shared" ref="AR206" si="207">+(AA206/O206)-1</f>
        <v>-8.969397883803043E-2</v>
      </c>
      <c r="AS206" s="17">
        <f t="shared" ref="AS206" si="208">+AM206-AA206</f>
        <v>-7413874</v>
      </c>
      <c r="AT206" s="18">
        <f t="shared" ref="AT206" si="209">+(AM206/AA206)-1</f>
        <v>-7.7653646094940298E-2</v>
      </c>
    </row>
    <row r="207" spans="1:46" ht="14.25" hidden="1" customHeight="1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46" ht="14.25" hidden="1" customHeight="1">
      <c r="A208" t="s">
        <v>177</v>
      </c>
      <c r="B208">
        <v>710404</v>
      </c>
      <c r="C208">
        <v>34068821</v>
      </c>
      <c r="D208" s="1">
        <v>33833925</v>
      </c>
      <c r="E208" s="1">
        <v>33605934</v>
      </c>
      <c r="F208" s="1">
        <v>33184178</v>
      </c>
      <c r="G208" s="1">
        <v>34130864</v>
      </c>
      <c r="H208" s="1">
        <v>33794863</v>
      </c>
      <c r="I208" s="1">
        <v>33784757</v>
      </c>
      <c r="J208" s="1">
        <v>34084436</v>
      </c>
      <c r="K208" s="1">
        <v>34013927</v>
      </c>
      <c r="L208" s="1">
        <v>34653202</v>
      </c>
      <c r="M208" s="1">
        <v>34547030</v>
      </c>
      <c r="N208" s="1">
        <v>34363360</v>
      </c>
      <c r="O208" s="1">
        <v>34145122</v>
      </c>
      <c r="P208" s="1">
        <v>34638162</v>
      </c>
      <c r="Q208" s="1">
        <v>34382010</v>
      </c>
      <c r="R208" s="1">
        <v>33832678</v>
      </c>
      <c r="S208" s="1">
        <v>34044397</v>
      </c>
      <c r="T208" s="1">
        <v>34133078</v>
      </c>
      <c r="U208" s="1">
        <v>33859463</v>
      </c>
      <c r="V208" s="1">
        <v>33538186</v>
      </c>
      <c r="W208" s="1">
        <v>33286359</v>
      </c>
      <c r="X208" s="1">
        <v>33434292</v>
      </c>
      <c r="Y208" s="1">
        <v>33662511</v>
      </c>
      <c r="Z208" s="1">
        <v>34050616</v>
      </c>
      <c r="AA208" s="1">
        <v>34304608</v>
      </c>
      <c r="AB208" s="1">
        <v>34562816</v>
      </c>
      <c r="AC208" s="1">
        <v>34653838</v>
      </c>
      <c r="AD208" s="1">
        <v>34741147</v>
      </c>
      <c r="AE208" s="1">
        <v>34886743</v>
      </c>
      <c r="AF208" s="1">
        <v>35400310</v>
      </c>
      <c r="AG208" s="1">
        <v>35898820</v>
      </c>
      <c r="AH208" s="1">
        <v>36295255</v>
      </c>
      <c r="AI208" s="1">
        <v>36830341</v>
      </c>
      <c r="AJ208" s="1">
        <v>37047507</v>
      </c>
      <c r="AK208" s="1">
        <v>37507621</v>
      </c>
      <c r="AL208" s="1">
        <v>38082801</v>
      </c>
      <c r="AM208" s="1">
        <v>38267280</v>
      </c>
      <c r="AO208" s="7">
        <f t="shared" ref="AO208:AO213" si="210">+O208-C208</f>
        <v>76301</v>
      </c>
      <c r="AP208" s="8">
        <f t="shared" ref="AP208:AP213" si="211">+(O208/C208)-1</f>
        <v>2.239613751236158E-3</v>
      </c>
      <c r="AQ208" s="12">
        <f t="shared" ref="AQ208:AQ213" si="212">+(AA208-O208)</f>
        <v>159486</v>
      </c>
      <c r="AR208" s="13">
        <f t="shared" ref="AR208:AR213" si="213">+(AA208/O208)-1</f>
        <v>4.6708282371930032E-3</v>
      </c>
      <c r="AS208" s="17">
        <f t="shared" ref="AS208:AS213" si="214">+AM208-AA208</f>
        <v>3962672</v>
      </c>
      <c r="AT208" s="18">
        <f t="shared" ref="AT208:AT213" si="215">+(AM208/AA208)-1</f>
        <v>0.11551427726560815</v>
      </c>
    </row>
    <row r="209" spans="1:46" ht="14.25" hidden="1" customHeight="1">
      <c r="A209" t="s">
        <v>178</v>
      </c>
      <c r="B209">
        <v>710405</v>
      </c>
      <c r="C209">
        <v>2397723</v>
      </c>
      <c r="D209" s="1">
        <v>2485524</v>
      </c>
      <c r="E209" s="1">
        <v>2422117</v>
      </c>
      <c r="F209" s="1">
        <v>2348294</v>
      </c>
      <c r="G209" s="1">
        <v>2326346</v>
      </c>
      <c r="H209" s="1">
        <v>2490514</v>
      </c>
      <c r="I209" s="1">
        <v>2464208</v>
      </c>
      <c r="J209" s="1">
        <v>2377224</v>
      </c>
      <c r="K209" s="1">
        <v>2190484</v>
      </c>
      <c r="L209" s="1">
        <v>2209930</v>
      </c>
      <c r="M209" s="1">
        <v>2197369</v>
      </c>
      <c r="N209" s="1">
        <v>2185801</v>
      </c>
      <c r="O209" s="1">
        <v>2272527</v>
      </c>
      <c r="P209" s="1">
        <v>2115055</v>
      </c>
      <c r="Q209" s="1">
        <v>2099037</v>
      </c>
      <c r="R209" s="1">
        <v>2084562</v>
      </c>
      <c r="S209" s="1">
        <v>2070897</v>
      </c>
      <c r="T209" s="1">
        <v>2059786</v>
      </c>
      <c r="U209" s="1">
        <v>2049408</v>
      </c>
      <c r="V209" s="1">
        <v>2026046</v>
      </c>
      <c r="W209" s="1">
        <v>2015118</v>
      </c>
      <c r="X209" s="1">
        <v>2021618</v>
      </c>
      <c r="Y209" s="1">
        <v>2037890</v>
      </c>
      <c r="Z209" s="1">
        <v>2061385</v>
      </c>
      <c r="AA209" s="1">
        <v>2076761</v>
      </c>
      <c r="AB209" s="1">
        <v>2092393</v>
      </c>
      <c r="AC209" s="1">
        <v>2097903</v>
      </c>
      <c r="AD209" s="1">
        <v>2103189</v>
      </c>
      <c r="AE209" s="1">
        <v>2112003</v>
      </c>
      <c r="AF209" s="1">
        <v>2143094</v>
      </c>
      <c r="AG209" s="1">
        <v>2173273</v>
      </c>
      <c r="AH209" s="1">
        <v>2197273</v>
      </c>
      <c r="AI209" s="1">
        <v>2229666</v>
      </c>
      <c r="AJ209" s="1">
        <v>2242813</v>
      </c>
      <c r="AK209" s="1">
        <v>2270668</v>
      </c>
      <c r="AL209" s="1">
        <v>2305489</v>
      </c>
      <c r="AM209" s="1">
        <v>2316657</v>
      </c>
      <c r="AO209" s="7">
        <f t="shared" si="210"/>
        <v>-125196</v>
      </c>
      <c r="AP209" s="8">
        <f t="shared" si="211"/>
        <v>-5.2214538543443045E-2</v>
      </c>
      <c r="AQ209" s="12">
        <f t="shared" si="212"/>
        <v>-195766</v>
      </c>
      <c r="AR209" s="13">
        <f t="shared" si="213"/>
        <v>-8.6144631064889454E-2</v>
      </c>
      <c r="AS209" s="17">
        <f t="shared" si="214"/>
        <v>239896</v>
      </c>
      <c r="AT209" s="18">
        <f t="shared" si="215"/>
        <v>0.11551449589047569</v>
      </c>
    </row>
    <row r="210" spans="1:46" ht="14.25" hidden="1" customHeight="1">
      <c r="A210" t="s">
        <v>179</v>
      </c>
      <c r="B210">
        <v>710410</v>
      </c>
      <c r="C210">
        <v>56755351</v>
      </c>
      <c r="D210" s="1">
        <v>57862504</v>
      </c>
      <c r="E210" s="1">
        <v>58926412</v>
      </c>
      <c r="F210" s="1">
        <v>60136996</v>
      </c>
      <c r="G210" s="1">
        <v>61121848</v>
      </c>
      <c r="H210" s="1">
        <v>62077718</v>
      </c>
      <c r="I210" s="1">
        <v>63720262</v>
      </c>
      <c r="J210" s="1">
        <v>65881578</v>
      </c>
      <c r="K210" s="1">
        <v>68022735</v>
      </c>
      <c r="L210" s="1">
        <v>69194013</v>
      </c>
      <c r="M210" s="1">
        <v>70129304</v>
      </c>
      <c r="N210" s="1">
        <v>71222555</v>
      </c>
      <c r="O210" s="1">
        <v>72893371</v>
      </c>
      <c r="P210" s="1">
        <v>73085537</v>
      </c>
      <c r="Q210" s="1">
        <v>74005164</v>
      </c>
      <c r="R210" s="1">
        <v>74949702</v>
      </c>
      <c r="S210" s="1">
        <v>76101235</v>
      </c>
      <c r="T210" s="1">
        <v>77698777</v>
      </c>
      <c r="U210" s="1">
        <v>78052067</v>
      </c>
      <c r="V210" s="1">
        <v>78291790</v>
      </c>
      <c r="W210" s="1">
        <v>78481314</v>
      </c>
      <c r="X210" s="1">
        <v>79214796</v>
      </c>
      <c r="Y210" s="1">
        <v>79841015</v>
      </c>
      <c r="Z210" s="1">
        <v>80283252</v>
      </c>
      <c r="AA210" s="1">
        <v>80882104</v>
      </c>
      <c r="AB210" s="1">
        <v>81490897</v>
      </c>
      <c r="AC210" s="1">
        <v>81705506</v>
      </c>
      <c r="AD210" s="1">
        <v>81911359</v>
      </c>
      <c r="AE210" s="1">
        <v>82254639</v>
      </c>
      <c r="AF210" s="1">
        <v>83465509</v>
      </c>
      <c r="AG210" s="1">
        <v>84640875</v>
      </c>
      <c r="AH210" s="1">
        <v>85575576</v>
      </c>
      <c r="AI210" s="1">
        <v>86837180</v>
      </c>
      <c r="AJ210" s="1">
        <v>87349207</v>
      </c>
      <c r="AK210" s="1">
        <v>88434045</v>
      </c>
      <c r="AL210" s="1">
        <v>89790185</v>
      </c>
      <c r="AM210" s="1">
        <v>90225142</v>
      </c>
      <c r="AO210" s="7">
        <f t="shared" si="210"/>
        <v>16138020</v>
      </c>
      <c r="AP210" s="8">
        <f t="shared" si="211"/>
        <v>0.28434358550614891</v>
      </c>
      <c r="AQ210" s="12">
        <f t="shared" si="212"/>
        <v>7988733</v>
      </c>
      <c r="AR210" s="13">
        <f t="shared" si="213"/>
        <v>0.10959478057339389</v>
      </c>
      <c r="AS210" s="17">
        <f t="shared" si="214"/>
        <v>9343038</v>
      </c>
      <c r="AT210" s="18">
        <f t="shared" si="215"/>
        <v>0.11551427989558727</v>
      </c>
    </row>
    <row r="211" spans="1:46" ht="14.25" hidden="1" customHeight="1">
      <c r="A211" t="s">
        <v>180</v>
      </c>
      <c r="B211">
        <v>710406</v>
      </c>
      <c r="C21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O211" s="7">
        <f t="shared" si="210"/>
        <v>0</v>
      </c>
      <c r="AP211" s="8" t="e">
        <f t="shared" si="211"/>
        <v>#DIV/0!</v>
      </c>
      <c r="AQ211" s="12">
        <f t="shared" si="212"/>
        <v>0</v>
      </c>
      <c r="AR211" s="13" t="e">
        <f t="shared" si="213"/>
        <v>#DIV/0!</v>
      </c>
      <c r="AS211" s="17">
        <f t="shared" si="214"/>
        <v>0</v>
      </c>
      <c r="AT211" s="18" t="e">
        <f t="shared" si="215"/>
        <v>#DIV/0!</v>
      </c>
    </row>
    <row r="212" spans="1:46" ht="14.25" hidden="1" customHeight="1">
      <c r="A212" t="s">
        <v>181</v>
      </c>
      <c r="B212">
        <v>710411</v>
      </c>
      <c r="C212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O212" s="7">
        <f t="shared" si="210"/>
        <v>0</v>
      </c>
      <c r="AP212" s="8" t="e">
        <f t="shared" si="211"/>
        <v>#DIV/0!</v>
      </c>
      <c r="AQ212" s="12">
        <f t="shared" si="212"/>
        <v>0</v>
      </c>
      <c r="AR212" s="13" t="e">
        <f t="shared" si="213"/>
        <v>#DIV/0!</v>
      </c>
      <c r="AS212" s="17">
        <f t="shared" si="214"/>
        <v>0</v>
      </c>
      <c r="AT212" s="18" t="e">
        <f t="shared" si="215"/>
        <v>#DIV/0!</v>
      </c>
    </row>
    <row r="213" spans="1:46" ht="14.25" hidden="1" customHeight="1">
      <c r="A213" t="s">
        <v>182</v>
      </c>
      <c r="B213">
        <v>710412</v>
      </c>
      <c r="C213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O213" s="7">
        <f t="shared" si="210"/>
        <v>0</v>
      </c>
      <c r="AP213" s="8" t="e">
        <f t="shared" si="211"/>
        <v>#DIV/0!</v>
      </c>
      <c r="AQ213" s="12">
        <f t="shared" si="212"/>
        <v>0</v>
      </c>
      <c r="AR213" s="13" t="e">
        <f t="shared" si="213"/>
        <v>#DIV/0!</v>
      </c>
      <c r="AS213" s="17">
        <f t="shared" si="214"/>
        <v>0</v>
      </c>
      <c r="AT213" s="18" t="e">
        <f t="shared" si="215"/>
        <v>#DIV/0!</v>
      </c>
    </row>
    <row r="214" spans="1:46" ht="14.25" hidden="1" customHeight="1">
      <c r="A214" t="s">
        <v>11</v>
      </c>
      <c r="B214" t="s">
        <v>12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O214" s="7"/>
      <c r="AP214" s="8"/>
      <c r="AQ214" s="12"/>
      <c r="AR214" s="13"/>
      <c r="AS214" s="17"/>
      <c r="AT214" s="18"/>
    </row>
    <row r="215" spans="1:46">
      <c r="A215" t="s">
        <v>183</v>
      </c>
      <c r="C215">
        <v>93221895</v>
      </c>
      <c r="D215" s="1">
        <v>94181954</v>
      </c>
      <c r="E215" s="1">
        <v>94954464</v>
      </c>
      <c r="F215" s="1">
        <v>95669468</v>
      </c>
      <c r="G215" s="1">
        <v>97579057</v>
      </c>
      <c r="H215" s="1">
        <v>98363094</v>
      </c>
      <c r="I215" s="1">
        <v>99969227</v>
      </c>
      <c r="J215" s="1">
        <v>102343238</v>
      </c>
      <c r="K215" s="1">
        <v>104227146</v>
      </c>
      <c r="L215" s="1">
        <v>106057145</v>
      </c>
      <c r="M215" s="1">
        <v>106873702</v>
      </c>
      <c r="N215" s="1">
        <v>107771716</v>
      </c>
      <c r="O215" s="1">
        <v>109311019</v>
      </c>
      <c r="P215" s="1">
        <v>109838755</v>
      </c>
      <c r="Q215" s="1">
        <v>110486211</v>
      </c>
      <c r="R215" s="1">
        <v>110866943</v>
      </c>
      <c r="S215" s="1">
        <v>112216529</v>
      </c>
      <c r="T215" s="1">
        <v>113891641</v>
      </c>
      <c r="U215" s="1">
        <v>113960938</v>
      </c>
      <c r="V215" s="1">
        <v>113856022</v>
      </c>
      <c r="W215" s="1">
        <v>113782791</v>
      </c>
      <c r="X215" s="1">
        <v>114670706</v>
      </c>
      <c r="Y215" s="1">
        <v>115541415</v>
      </c>
      <c r="Z215" s="1">
        <v>116395253</v>
      </c>
      <c r="AA215" s="1">
        <v>117263473</v>
      </c>
      <c r="AB215" s="1">
        <v>118146106</v>
      </c>
      <c r="AC215" s="1">
        <v>118457247</v>
      </c>
      <c r="AD215" s="1">
        <v>118755695</v>
      </c>
      <c r="AE215" s="1">
        <v>119253384</v>
      </c>
      <c r="AF215" s="1">
        <v>121008913</v>
      </c>
      <c r="AG215" s="1">
        <v>122712968</v>
      </c>
      <c r="AH215" s="1">
        <v>124068104</v>
      </c>
      <c r="AI215" s="1">
        <v>125897187</v>
      </c>
      <c r="AJ215" s="1">
        <v>126639528</v>
      </c>
      <c r="AK215" s="1">
        <v>128212334</v>
      </c>
      <c r="AL215" s="1">
        <v>130178475</v>
      </c>
      <c r="AM215" s="1">
        <v>130809079</v>
      </c>
      <c r="AO215" s="7">
        <f t="shared" ref="AO215" si="216">+O215-C215</f>
        <v>16089124</v>
      </c>
      <c r="AP215" s="8">
        <f t="shared" ref="AP215" si="217">+(O215/C215)-1</f>
        <v>0.17258954025768292</v>
      </c>
      <c r="AQ215" s="12">
        <f t="shared" ref="AQ215" si="218">+(AA215-O215)</f>
        <v>7952454</v>
      </c>
      <c r="AR215" s="13">
        <f t="shared" ref="AR215" si="219">+(AA215/O215)-1</f>
        <v>7.2750707776312984E-2</v>
      </c>
      <c r="AS215" s="17">
        <f t="shared" ref="AS215" si="220">+AM215-AA215</f>
        <v>13545606</v>
      </c>
      <c r="AT215" s="18">
        <f t="shared" ref="AT215" si="221">+(AM215/AA215)-1</f>
        <v>0.11551428295152055</v>
      </c>
    </row>
    <row r="216" spans="1:46" ht="14.25" hidden="1" customHeight="1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O216" s="7"/>
      <c r="AP216" s="8"/>
      <c r="AQ216" s="12"/>
      <c r="AR216" s="13"/>
      <c r="AS216" s="17"/>
      <c r="AT216" s="18"/>
    </row>
    <row r="217" spans="1:46" ht="14.25" hidden="1" customHeight="1">
      <c r="A217" t="s">
        <v>184</v>
      </c>
      <c r="B217">
        <v>710421</v>
      </c>
      <c r="C217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O217" s="7">
        <f t="shared" ref="AO217:AO220" si="222">+O217-C217</f>
        <v>0</v>
      </c>
      <c r="AP217" s="8" t="e">
        <f t="shared" ref="AP217:AP220" si="223">+(O217/C217)-1</f>
        <v>#DIV/0!</v>
      </c>
      <c r="AQ217" s="12">
        <f t="shared" ref="AQ217:AQ220" si="224">+(AA217-O217)</f>
        <v>0</v>
      </c>
      <c r="AR217" s="13" t="e">
        <f t="shared" ref="AR217:AR220" si="225">+(AA217/O217)-1</f>
        <v>#DIV/0!</v>
      </c>
      <c r="AS217" s="17">
        <f t="shared" ref="AS217:AS220" si="226">+AM217-AA217</f>
        <v>0</v>
      </c>
      <c r="AT217" s="18" t="e">
        <f t="shared" ref="AT217:AT220" si="227">+(AM217/AA217)-1</f>
        <v>#DIV/0!</v>
      </c>
    </row>
    <row r="218" spans="1:46" ht="14.25" hidden="1" customHeight="1">
      <c r="A218" t="s">
        <v>185</v>
      </c>
      <c r="B218">
        <v>710422</v>
      </c>
      <c r="C218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O218" s="7">
        <f t="shared" si="222"/>
        <v>0</v>
      </c>
      <c r="AP218" s="8" t="e">
        <f t="shared" si="223"/>
        <v>#DIV/0!</v>
      </c>
      <c r="AQ218" s="12">
        <f t="shared" si="224"/>
        <v>0</v>
      </c>
      <c r="AR218" s="13" t="e">
        <f t="shared" si="225"/>
        <v>#DIV/0!</v>
      </c>
      <c r="AS218" s="17">
        <f t="shared" si="226"/>
        <v>0</v>
      </c>
      <c r="AT218" s="18" t="e">
        <f t="shared" si="227"/>
        <v>#DIV/0!</v>
      </c>
    </row>
    <row r="219" spans="1:46" ht="14.25" hidden="1" customHeight="1">
      <c r="A219" t="s">
        <v>186</v>
      </c>
      <c r="B219">
        <v>710415</v>
      </c>
      <c r="C219">
        <v>643526</v>
      </c>
      <c r="D219" s="1">
        <v>628458</v>
      </c>
      <c r="E219" s="1">
        <v>573911</v>
      </c>
      <c r="F219" s="1">
        <v>535267</v>
      </c>
      <c r="G219" s="1">
        <v>501860</v>
      </c>
      <c r="H219" s="1">
        <v>491367</v>
      </c>
      <c r="I219" s="1">
        <v>479742</v>
      </c>
      <c r="J219" s="1">
        <v>447261</v>
      </c>
      <c r="K219" s="1">
        <v>436171</v>
      </c>
      <c r="L219" s="1">
        <v>417224</v>
      </c>
      <c r="M219" s="1">
        <v>405798</v>
      </c>
      <c r="N219" s="1">
        <v>394838</v>
      </c>
      <c r="O219" s="1">
        <v>324868</v>
      </c>
      <c r="P219" s="1">
        <v>296707</v>
      </c>
      <c r="Q219" s="1">
        <v>261663</v>
      </c>
      <c r="R219" s="1">
        <v>242932</v>
      </c>
      <c r="S219" s="1">
        <v>235087</v>
      </c>
      <c r="T219" s="1">
        <v>226667</v>
      </c>
      <c r="U219" s="1">
        <v>217172</v>
      </c>
      <c r="V219" s="1">
        <v>209548</v>
      </c>
      <c r="W219" s="1">
        <v>190810</v>
      </c>
      <c r="X219" s="1">
        <v>191103</v>
      </c>
      <c r="Y219" s="1">
        <v>193410</v>
      </c>
      <c r="Z219" s="1">
        <v>195524</v>
      </c>
      <c r="AA219" s="1">
        <v>196790</v>
      </c>
      <c r="AB219" s="1">
        <v>197673</v>
      </c>
      <c r="AC219" s="1">
        <v>196109</v>
      </c>
      <c r="AD219" s="1">
        <v>197147</v>
      </c>
      <c r="AE219" s="1">
        <v>199485</v>
      </c>
      <c r="AF219" s="1">
        <v>204002</v>
      </c>
      <c r="AG219" s="1">
        <v>205346</v>
      </c>
      <c r="AH219" s="1">
        <v>208379</v>
      </c>
      <c r="AI219" s="1">
        <v>211894</v>
      </c>
      <c r="AJ219" s="1">
        <v>212615</v>
      </c>
      <c r="AK219" s="1">
        <v>211694</v>
      </c>
      <c r="AL219" s="1">
        <v>211039</v>
      </c>
      <c r="AM219" s="1">
        <v>209151</v>
      </c>
      <c r="AO219" s="7">
        <f t="shared" si="222"/>
        <v>-318658</v>
      </c>
      <c r="AP219" s="8">
        <f t="shared" si="223"/>
        <v>-0.495175020123507</v>
      </c>
      <c r="AQ219" s="12">
        <f t="shared" si="224"/>
        <v>-128078</v>
      </c>
      <c r="AR219" s="13">
        <f t="shared" si="225"/>
        <v>-0.39424627848849381</v>
      </c>
      <c r="AS219" s="17">
        <f t="shared" si="226"/>
        <v>12361</v>
      </c>
      <c r="AT219" s="18">
        <f t="shared" si="227"/>
        <v>6.2813151074749829E-2</v>
      </c>
    </row>
    <row r="220" spans="1:46" ht="14.25" hidden="1" customHeight="1">
      <c r="A220" t="s">
        <v>187</v>
      </c>
      <c r="B220">
        <v>710420</v>
      </c>
      <c r="C220">
        <v>79284011</v>
      </c>
      <c r="D220" s="1">
        <v>79686581</v>
      </c>
      <c r="E220" s="1">
        <v>79444326</v>
      </c>
      <c r="F220" s="1">
        <v>79410061</v>
      </c>
      <c r="G220" s="1">
        <v>80631543</v>
      </c>
      <c r="H220" s="1">
        <v>80381869</v>
      </c>
      <c r="I220" s="1">
        <v>80733908</v>
      </c>
      <c r="J220" s="1">
        <v>80094873</v>
      </c>
      <c r="K220" s="1">
        <v>81106004</v>
      </c>
      <c r="L220" s="1">
        <v>80957384</v>
      </c>
      <c r="M220" s="1">
        <v>81335376</v>
      </c>
      <c r="N220" s="1">
        <v>81202973</v>
      </c>
      <c r="O220" s="1">
        <v>81484692</v>
      </c>
      <c r="P220" s="1">
        <v>81042492</v>
      </c>
      <c r="Q220" s="1">
        <v>81009442</v>
      </c>
      <c r="R220" s="1">
        <v>81509383</v>
      </c>
      <c r="S220" s="1">
        <v>82959546</v>
      </c>
      <c r="T220" s="1">
        <v>83163337</v>
      </c>
      <c r="U220" s="1">
        <v>84049979</v>
      </c>
      <c r="V220" s="1">
        <v>84572270</v>
      </c>
      <c r="W220" s="1">
        <v>85248959</v>
      </c>
      <c r="X220" s="1">
        <v>85379954</v>
      </c>
      <c r="Y220" s="1">
        <v>86782390</v>
      </c>
      <c r="Z220" s="1">
        <v>88126479</v>
      </c>
      <c r="AA220" s="1">
        <v>89115319</v>
      </c>
      <c r="AB220" s="1">
        <v>90063279</v>
      </c>
      <c r="AC220" s="1">
        <v>89906559</v>
      </c>
      <c r="AD220" s="1">
        <v>90594388</v>
      </c>
      <c r="AE220" s="1">
        <v>92126018</v>
      </c>
      <c r="AF220" s="1">
        <v>94691676</v>
      </c>
      <c r="AG220" s="1">
        <v>95810662</v>
      </c>
      <c r="AH220" s="1">
        <v>97741608</v>
      </c>
      <c r="AI220" s="1">
        <v>99929361</v>
      </c>
      <c r="AJ220" s="1">
        <v>100824270</v>
      </c>
      <c r="AK220" s="1">
        <v>100955777</v>
      </c>
      <c r="AL220" s="1">
        <v>101163380</v>
      </c>
      <c r="AM220" s="1">
        <v>100787770</v>
      </c>
      <c r="AO220" s="7">
        <f t="shared" si="222"/>
        <v>2200681</v>
      </c>
      <c r="AP220" s="8">
        <f t="shared" si="223"/>
        <v>2.7756933235882908E-2</v>
      </c>
      <c r="AQ220" s="12">
        <f t="shared" si="224"/>
        <v>7630627</v>
      </c>
      <c r="AR220" s="13">
        <f t="shared" si="225"/>
        <v>9.3644914311021843E-2</v>
      </c>
      <c r="AS220" s="17">
        <f t="shared" si="226"/>
        <v>11672451</v>
      </c>
      <c r="AT220" s="18">
        <f t="shared" si="227"/>
        <v>0.13098141970405774</v>
      </c>
    </row>
    <row r="221" spans="1:46" ht="14.25" hidden="1" customHeight="1">
      <c r="A221" t="s">
        <v>11</v>
      </c>
      <c r="B221" t="s">
        <v>12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O221" s="7"/>
      <c r="AP221" s="8"/>
      <c r="AQ221" s="12"/>
      <c r="AR221" s="13"/>
      <c r="AS221" s="17"/>
      <c r="AT221" s="18"/>
    </row>
    <row r="222" spans="1:46">
      <c r="A222" t="s">
        <v>188</v>
      </c>
      <c r="C222">
        <v>79927537</v>
      </c>
      <c r="D222" s="1">
        <v>80315039</v>
      </c>
      <c r="E222" s="1">
        <v>80018237</v>
      </c>
      <c r="F222" s="1">
        <v>79945329</v>
      </c>
      <c r="G222" s="1">
        <v>81133403</v>
      </c>
      <c r="H222" s="1">
        <v>80873236</v>
      </c>
      <c r="I222" s="1">
        <v>81213650</v>
      </c>
      <c r="J222" s="1">
        <v>80542134</v>
      </c>
      <c r="K222" s="1">
        <v>81542175</v>
      </c>
      <c r="L222" s="1">
        <v>81374607</v>
      </c>
      <c r="M222" s="1">
        <v>81741174</v>
      </c>
      <c r="N222" s="1">
        <v>81597810</v>
      </c>
      <c r="O222" s="1">
        <v>81809560</v>
      </c>
      <c r="P222" s="1">
        <v>81339199</v>
      </c>
      <c r="Q222" s="1">
        <v>81271106</v>
      </c>
      <c r="R222" s="1">
        <v>81752315</v>
      </c>
      <c r="S222" s="1">
        <v>83194633</v>
      </c>
      <c r="T222" s="1">
        <v>83390005</v>
      </c>
      <c r="U222" s="1">
        <v>84267152</v>
      </c>
      <c r="V222" s="1">
        <v>84781818</v>
      </c>
      <c r="W222" s="1">
        <v>85439769</v>
      </c>
      <c r="X222" s="1">
        <v>85571057</v>
      </c>
      <c r="Y222" s="1">
        <v>86975800</v>
      </c>
      <c r="Z222" s="1">
        <v>88322004</v>
      </c>
      <c r="AA222" s="1">
        <v>89312108</v>
      </c>
      <c r="AB222" s="1">
        <v>90260952</v>
      </c>
      <c r="AC222" s="1">
        <v>90102669</v>
      </c>
      <c r="AD222" s="1">
        <v>90791535</v>
      </c>
      <c r="AE222" s="1">
        <v>92325503</v>
      </c>
      <c r="AF222" s="1">
        <v>94895678</v>
      </c>
      <c r="AG222" s="1">
        <v>96016008</v>
      </c>
      <c r="AH222" s="1">
        <v>97949987</v>
      </c>
      <c r="AI222" s="1">
        <v>100141255</v>
      </c>
      <c r="AJ222" s="1">
        <v>101036885</v>
      </c>
      <c r="AK222" s="1">
        <v>101167471</v>
      </c>
      <c r="AL222" s="1">
        <v>101374419</v>
      </c>
      <c r="AM222" s="1">
        <v>100996922</v>
      </c>
      <c r="AO222" s="7">
        <f t="shared" ref="AO222" si="228">+O222-C222</f>
        <v>1882023</v>
      </c>
      <c r="AP222" s="8">
        <f t="shared" ref="AP222" si="229">+(O222/C222)-1</f>
        <v>2.3546615730195786E-2</v>
      </c>
      <c r="AQ222" s="12">
        <f t="shared" ref="AQ222" si="230">+(AA222-O222)</f>
        <v>7502548</v>
      </c>
      <c r="AR222" s="13">
        <f t="shared" ref="AR222" si="231">+(AA222/O222)-1</f>
        <v>9.1707472818580049E-2</v>
      </c>
      <c r="AS222" s="17">
        <f t="shared" ref="AS222" si="232">+AM222-AA222</f>
        <v>11684814</v>
      </c>
      <c r="AT222" s="18">
        <f t="shared" ref="AT222" si="233">+(AM222/AA222)-1</f>
        <v>0.13083124182893546</v>
      </c>
    </row>
    <row r="223" spans="1:46" ht="14.25" hidden="1" customHeight="1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O223" s="7"/>
      <c r="AP223" s="8"/>
      <c r="AQ223" s="12"/>
      <c r="AR223" s="13"/>
      <c r="AS223" s="17"/>
      <c r="AT223" s="18"/>
    </row>
    <row r="224" spans="1:46" ht="14.25" hidden="1" customHeight="1">
      <c r="A224" t="s">
        <v>189</v>
      </c>
      <c r="B224">
        <v>710440</v>
      </c>
      <c r="C224">
        <v>2510235</v>
      </c>
      <c r="D224" s="1">
        <v>2499437</v>
      </c>
      <c r="E224" s="1">
        <v>2492489</v>
      </c>
      <c r="F224" s="1">
        <v>2485185</v>
      </c>
      <c r="G224" s="1">
        <v>2470292</v>
      </c>
      <c r="H224" s="1">
        <v>2316860</v>
      </c>
      <c r="I224" s="1">
        <v>2310535</v>
      </c>
      <c r="J224" s="1">
        <v>2304192</v>
      </c>
      <c r="K224" s="1">
        <v>2180310</v>
      </c>
      <c r="L224" s="1">
        <v>2173478</v>
      </c>
      <c r="M224" s="1">
        <v>2167406</v>
      </c>
      <c r="N224" s="1">
        <v>2160538</v>
      </c>
      <c r="O224" s="1">
        <v>2079608</v>
      </c>
      <c r="P224" s="1">
        <v>1974256</v>
      </c>
      <c r="Q224" s="1">
        <v>1967679</v>
      </c>
      <c r="R224" s="1">
        <v>1961545</v>
      </c>
      <c r="S224" s="1">
        <v>1955058</v>
      </c>
      <c r="T224" s="1">
        <v>1948735</v>
      </c>
      <c r="U224" s="1">
        <v>1941778</v>
      </c>
      <c r="V224" s="1">
        <v>1937228</v>
      </c>
      <c r="W224" s="1">
        <v>1929246</v>
      </c>
      <c r="X224" s="1">
        <v>15585598</v>
      </c>
      <c r="Y224" s="1">
        <v>15389293</v>
      </c>
      <c r="Z224" s="1">
        <v>15195461</v>
      </c>
      <c r="AA224" s="1">
        <v>15004070</v>
      </c>
      <c r="AB224" s="1">
        <v>14815089</v>
      </c>
      <c r="AC224" s="1">
        <v>14628489</v>
      </c>
      <c r="AD224" s="1">
        <v>14444240</v>
      </c>
      <c r="AE224" s="1">
        <v>14262311</v>
      </c>
      <c r="AF224" s="1">
        <v>14082673</v>
      </c>
      <c r="AG224" s="1">
        <v>13905298</v>
      </c>
      <c r="AH224" s="1">
        <v>13730157</v>
      </c>
      <c r="AI224" s="1">
        <v>13557222</v>
      </c>
      <c r="AJ224" s="1">
        <v>13386465</v>
      </c>
      <c r="AK224" s="1">
        <v>13217859</v>
      </c>
      <c r="AL224" s="1">
        <v>13051376</v>
      </c>
      <c r="AM224" s="1">
        <v>12886991</v>
      </c>
      <c r="AO224" s="7">
        <f t="shared" ref="AO224:AO225" si="234">+O224-C224</f>
        <v>-430627</v>
      </c>
      <c r="AP224" s="8">
        <f t="shared" ref="AP224:AP225" si="235">+(O224/C224)-1</f>
        <v>-0.171548480520748</v>
      </c>
      <c r="AQ224" s="12">
        <f t="shared" ref="AQ224:AQ225" si="236">+(AA224-O224)</f>
        <v>12924462</v>
      </c>
      <c r="AR224" s="13">
        <f t="shared" ref="AR224:AR225" si="237">+(AA224/O224)-1</f>
        <v>6.214854914964743</v>
      </c>
      <c r="AS224" s="17">
        <f t="shared" ref="AS224:AS225" si="238">+AM224-AA224</f>
        <v>-2117079</v>
      </c>
      <c r="AT224" s="18">
        <f t="shared" ref="AT224:AT225" si="239">+(AM224/AA224)-1</f>
        <v>-0.14110031478125606</v>
      </c>
    </row>
    <row r="225" spans="1:46" ht="14.25" hidden="1" customHeight="1">
      <c r="A225" t="s">
        <v>190</v>
      </c>
      <c r="B225">
        <v>710441</v>
      </c>
      <c r="C225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O225" s="7">
        <f t="shared" si="234"/>
        <v>0</v>
      </c>
      <c r="AP225" s="8" t="e">
        <f t="shared" si="235"/>
        <v>#DIV/0!</v>
      </c>
      <c r="AQ225" s="12">
        <f t="shared" si="236"/>
        <v>0</v>
      </c>
      <c r="AR225" s="13" t="e">
        <f t="shared" si="237"/>
        <v>#DIV/0!</v>
      </c>
      <c r="AS225" s="17">
        <f t="shared" si="238"/>
        <v>0</v>
      </c>
      <c r="AT225" s="18" t="e">
        <f t="shared" si="239"/>
        <v>#DIV/0!</v>
      </c>
    </row>
    <row r="226" spans="1:46" ht="14.25" hidden="1" customHeight="1">
      <c r="A226" t="s">
        <v>11</v>
      </c>
      <c r="B226" t="s">
        <v>12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46" ht="14.25" hidden="1" customHeight="1">
      <c r="A227" t="s">
        <v>191</v>
      </c>
      <c r="B227">
        <v>710442</v>
      </c>
      <c r="C227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O227" s="7">
        <f t="shared" ref="AO227:AO229" si="240">+O227-C227</f>
        <v>0</v>
      </c>
      <c r="AP227" s="8" t="e">
        <f t="shared" ref="AP227:AP229" si="241">+(O227/C227)-1</f>
        <v>#DIV/0!</v>
      </c>
      <c r="AQ227" s="12">
        <f t="shared" ref="AQ227:AQ229" si="242">+(AA227-O227)</f>
        <v>0</v>
      </c>
      <c r="AR227" s="13" t="e">
        <f t="shared" ref="AR227:AR229" si="243">+(AA227/O227)-1</f>
        <v>#DIV/0!</v>
      </c>
      <c r="AS227" s="17">
        <f t="shared" ref="AS227:AS229" si="244">+AM227-AA227</f>
        <v>0</v>
      </c>
      <c r="AT227" s="18" t="e">
        <f t="shared" ref="AT227:AT229" si="245">+(AM227/AA227)-1</f>
        <v>#DIV/0!</v>
      </c>
    </row>
    <row r="228" spans="1:46" ht="14.25" hidden="1" customHeight="1">
      <c r="A228" t="s">
        <v>192</v>
      </c>
      <c r="B228">
        <v>710443</v>
      </c>
      <c r="C228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O228" s="7">
        <f t="shared" si="240"/>
        <v>0</v>
      </c>
      <c r="AP228" s="8" t="e">
        <f t="shared" si="241"/>
        <v>#DIV/0!</v>
      </c>
      <c r="AQ228" s="12">
        <f t="shared" si="242"/>
        <v>0</v>
      </c>
      <c r="AR228" s="13" t="e">
        <f t="shared" si="243"/>
        <v>#DIV/0!</v>
      </c>
      <c r="AS228" s="17">
        <f t="shared" si="244"/>
        <v>0</v>
      </c>
      <c r="AT228" s="18" t="e">
        <f t="shared" si="245"/>
        <v>#DIV/0!</v>
      </c>
    </row>
    <row r="229" spans="1:46">
      <c r="A229" t="s">
        <v>193</v>
      </c>
      <c r="C229">
        <v>2510235</v>
      </c>
      <c r="D229" s="1">
        <v>2499437</v>
      </c>
      <c r="E229" s="1">
        <v>2492489</v>
      </c>
      <c r="F229" s="1">
        <v>2485185</v>
      </c>
      <c r="G229" s="1">
        <v>2470292</v>
      </c>
      <c r="H229" s="1">
        <v>2316860</v>
      </c>
      <c r="I229" s="1">
        <v>2310535</v>
      </c>
      <c r="J229" s="1">
        <v>2304192</v>
      </c>
      <c r="K229" s="1">
        <v>2180310</v>
      </c>
      <c r="L229" s="1">
        <v>2173478</v>
      </c>
      <c r="M229" s="1">
        <v>2167406</v>
      </c>
      <c r="N229" s="1">
        <v>2160538</v>
      </c>
      <c r="O229" s="1">
        <v>2079608</v>
      </c>
      <c r="P229" s="1">
        <v>1974256</v>
      </c>
      <c r="Q229" s="1">
        <v>1967679</v>
      </c>
      <c r="R229" s="1">
        <v>1961545</v>
      </c>
      <c r="S229" s="1">
        <v>1955058</v>
      </c>
      <c r="T229" s="1">
        <v>1948735</v>
      </c>
      <c r="U229" s="1">
        <v>1941778</v>
      </c>
      <c r="V229" s="1">
        <v>1937228</v>
      </c>
      <c r="W229" s="1">
        <v>1929246</v>
      </c>
      <c r="X229" s="1">
        <v>15585598</v>
      </c>
      <c r="Y229" s="1">
        <v>15389293</v>
      </c>
      <c r="Z229" s="1">
        <v>15195461</v>
      </c>
      <c r="AA229" s="1">
        <v>15004070</v>
      </c>
      <c r="AB229" s="1">
        <v>14815089</v>
      </c>
      <c r="AC229" s="1">
        <v>14628489</v>
      </c>
      <c r="AD229" s="1">
        <v>14444240</v>
      </c>
      <c r="AE229" s="1">
        <v>14262311</v>
      </c>
      <c r="AF229" s="1">
        <v>14082673</v>
      </c>
      <c r="AG229" s="1">
        <v>13905298</v>
      </c>
      <c r="AH229" s="1">
        <v>13730157</v>
      </c>
      <c r="AI229" s="1">
        <v>13557222</v>
      </c>
      <c r="AJ229" s="1">
        <v>13386465</v>
      </c>
      <c r="AK229" s="1">
        <v>13217859</v>
      </c>
      <c r="AL229" s="1">
        <v>13051376</v>
      </c>
      <c r="AM229" s="1">
        <v>12886991</v>
      </c>
      <c r="AO229" s="7">
        <f t="shared" si="240"/>
        <v>-430627</v>
      </c>
      <c r="AP229" s="8">
        <f t="shared" si="241"/>
        <v>-0.171548480520748</v>
      </c>
      <c r="AQ229" s="12">
        <f t="shared" si="242"/>
        <v>12924462</v>
      </c>
      <c r="AR229" s="13">
        <f t="shared" si="243"/>
        <v>6.214854914964743</v>
      </c>
      <c r="AS229" s="17">
        <f t="shared" si="244"/>
        <v>-2117079</v>
      </c>
      <c r="AT229" s="18">
        <f t="shared" si="245"/>
        <v>-0.14110031478125606</v>
      </c>
    </row>
    <row r="230" spans="1:46" ht="14.25" hidden="1" customHeight="1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O230" s="7"/>
      <c r="AP230" s="8"/>
      <c r="AQ230" s="12"/>
      <c r="AR230" s="13"/>
      <c r="AS230" s="17"/>
      <c r="AT230" s="18"/>
    </row>
    <row r="231" spans="1:46" ht="14.25" hidden="1" customHeight="1">
      <c r="A231" t="s">
        <v>194</v>
      </c>
      <c r="B231">
        <v>710460</v>
      </c>
      <c r="C231">
        <v>28671264</v>
      </c>
      <c r="D231" s="1">
        <v>28745676</v>
      </c>
      <c r="E231" s="1">
        <v>28575615</v>
      </c>
      <c r="F231" s="1">
        <v>27571336</v>
      </c>
      <c r="G231" s="1">
        <v>26628024</v>
      </c>
      <c r="H231" s="1">
        <v>26749840</v>
      </c>
      <c r="I231" s="1">
        <v>26511843</v>
      </c>
      <c r="J231" s="1">
        <v>26262841</v>
      </c>
      <c r="K231" s="1">
        <v>26117037</v>
      </c>
      <c r="L231" s="1">
        <v>25876399</v>
      </c>
      <c r="M231" s="1">
        <v>25461541</v>
      </c>
      <c r="N231" s="1">
        <v>26019537</v>
      </c>
      <c r="O231" s="1">
        <v>26422837</v>
      </c>
      <c r="P231" s="1">
        <v>25954936</v>
      </c>
      <c r="Q231" s="1">
        <v>24922530</v>
      </c>
      <c r="R231" s="1">
        <v>24921963</v>
      </c>
      <c r="S231" s="1">
        <v>24268305</v>
      </c>
      <c r="T231" s="1">
        <v>23943866</v>
      </c>
      <c r="U231" s="1">
        <v>23147768</v>
      </c>
      <c r="V231" s="1">
        <v>22526391</v>
      </c>
      <c r="W231" s="1">
        <v>22262291</v>
      </c>
      <c r="X231" s="1">
        <v>113670636</v>
      </c>
      <c r="Y231" s="1">
        <v>161363778</v>
      </c>
      <c r="Z231" s="1">
        <v>156966318</v>
      </c>
      <c r="AA231" s="1">
        <v>152705176</v>
      </c>
      <c r="AB231" s="1">
        <v>148576321</v>
      </c>
      <c r="AC231" s="1">
        <v>144575843</v>
      </c>
      <c r="AD231" s="1">
        <v>141045501</v>
      </c>
      <c r="AE231" s="1">
        <v>138099893</v>
      </c>
      <c r="AF231" s="1">
        <v>135641599</v>
      </c>
      <c r="AG231" s="1">
        <v>133594999</v>
      </c>
      <c r="AH231" s="1">
        <v>131985798</v>
      </c>
      <c r="AI231" s="1">
        <v>130750598</v>
      </c>
      <c r="AJ231" s="1">
        <v>129877335</v>
      </c>
      <c r="AK231" s="1">
        <v>129024144</v>
      </c>
      <c r="AL231" s="1">
        <v>128182755</v>
      </c>
      <c r="AM231" s="1">
        <v>127347980</v>
      </c>
      <c r="AO231" s="7">
        <f t="shared" ref="AO231:AO232" si="246">+O231-C231</f>
        <v>-2248427</v>
      </c>
      <c r="AP231" s="8">
        <f t="shared" ref="AP231:AP232" si="247">+(O231/C231)-1</f>
        <v>-7.8420923472365955E-2</v>
      </c>
      <c r="AQ231" s="12">
        <f t="shared" ref="AQ231:AQ232" si="248">+(AA231-O231)</f>
        <v>126282339</v>
      </c>
      <c r="AR231" s="13">
        <f t="shared" ref="AR231:AR232" si="249">+(AA231/O231)-1</f>
        <v>4.7792876669526443</v>
      </c>
      <c r="AS231" s="17">
        <f t="shared" ref="AS231:AS232" si="250">+AM231-AA231</f>
        <v>-25357196</v>
      </c>
      <c r="AT231" s="18">
        <f t="shared" ref="AT231:AT232" si="251">+(AM231/AA231)-1</f>
        <v>-0.16605328427112387</v>
      </c>
    </row>
    <row r="232" spans="1:46" ht="14.25" hidden="1" customHeight="1">
      <c r="A232" t="s">
        <v>195</v>
      </c>
      <c r="B232">
        <v>710461</v>
      </c>
      <c r="C232">
        <v>-135777</v>
      </c>
      <c r="D232" s="1">
        <v>-133466</v>
      </c>
      <c r="E232" s="1">
        <v>-131169</v>
      </c>
      <c r="F232" s="1">
        <v>-128887</v>
      </c>
      <c r="G232" s="1">
        <v>-126618</v>
      </c>
      <c r="H232" s="1">
        <v>-124365</v>
      </c>
      <c r="I232" s="1">
        <v>-122125</v>
      </c>
      <c r="J232" s="1">
        <v>-119900</v>
      </c>
      <c r="K232" s="1">
        <v>-117691</v>
      </c>
      <c r="L232" s="1">
        <v>-115496</v>
      </c>
      <c r="M232" s="1">
        <v>-113316</v>
      </c>
      <c r="N232" s="1">
        <v>-111151</v>
      </c>
      <c r="O232" s="1">
        <v>-109002</v>
      </c>
      <c r="P232" s="1">
        <v>-106868</v>
      </c>
      <c r="Q232" s="1">
        <v>-104750</v>
      </c>
      <c r="R232" s="1">
        <v>-102648</v>
      </c>
      <c r="S232" s="1">
        <v>-101061</v>
      </c>
      <c r="T232" s="1">
        <v>-99482</v>
      </c>
      <c r="U232" s="1">
        <v>-97911</v>
      </c>
      <c r="V232" s="1">
        <v>-96349</v>
      </c>
      <c r="W232" s="1">
        <v>-94796</v>
      </c>
      <c r="X232" s="1">
        <v>-493226</v>
      </c>
      <c r="Y232" s="1">
        <v>-698311</v>
      </c>
      <c r="Z232" s="1">
        <v>-690112</v>
      </c>
      <c r="AA232" s="1">
        <v>-681913</v>
      </c>
      <c r="AB232" s="1">
        <v>-673713</v>
      </c>
      <c r="AC232" s="1">
        <v>-665514</v>
      </c>
      <c r="AD232" s="1">
        <v>-657315</v>
      </c>
      <c r="AE232" s="1">
        <v>-649115</v>
      </c>
      <c r="AF232" s="1">
        <v>-640916</v>
      </c>
      <c r="AG232" s="1">
        <v>-632717</v>
      </c>
      <c r="AH232" s="1">
        <v>-624518</v>
      </c>
      <c r="AI232" s="1">
        <v>-616318</v>
      </c>
      <c r="AJ232" s="1">
        <v>-608119</v>
      </c>
      <c r="AK232" s="1">
        <v>-599920</v>
      </c>
      <c r="AL232" s="1">
        <v>-591721</v>
      </c>
      <c r="AM232" s="1">
        <v>-583521</v>
      </c>
      <c r="AO232" s="7">
        <f t="shared" si="246"/>
        <v>26775</v>
      </c>
      <c r="AP232" s="8">
        <f t="shared" si="247"/>
        <v>-0.19719834729004171</v>
      </c>
      <c r="AQ232" s="12">
        <f t="shared" si="248"/>
        <v>-572911</v>
      </c>
      <c r="AR232" s="13">
        <f t="shared" si="249"/>
        <v>5.2559677804076985</v>
      </c>
      <c r="AS232" s="17">
        <f t="shared" si="250"/>
        <v>98392</v>
      </c>
      <c r="AT232" s="18">
        <f t="shared" si="251"/>
        <v>-0.14428820098751605</v>
      </c>
    </row>
    <row r="233" spans="1:46" ht="14.25" hidden="1" customHeight="1">
      <c r="A233" t="s">
        <v>11</v>
      </c>
      <c r="B233" t="s">
        <v>12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O233" s="7"/>
      <c r="AP233" s="8"/>
      <c r="AQ233" s="12"/>
      <c r="AR233" s="13"/>
      <c r="AS233" s="17"/>
      <c r="AT233" s="18"/>
    </row>
    <row r="234" spans="1:46" ht="14.25" hidden="1" customHeight="1">
      <c r="A234" t="s">
        <v>196</v>
      </c>
      <c r="B234">
        <v>710462</v>
      </c>
      <c r="C234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O234" s="7">
        <f t="shared" ref="AO234:AO242" si="252">+O234-C234</f>
        <v>0</v>
      </c>
      <c r="AP234" s="8" t="e">
        <f t="shared" ref="AP234:AP242" si="253">+(O234/C234)-1</f>
        <v>#DIV/0!</v>
      </c>
      <c r="AQ234" s="12">
        <f t="shared" ref="AQ234:AQ242" si="254">+(AA234-O234)</f>
        <v>0</v>
      </c>
      <c r="AR234" s="13" t="e">
        <f t="shared" ref="AR234:AR242" si="255">+(AA234/O234)-1</f>
        <v>#DIV/0!</v>
      </c>
      <c r="AS234" s="17">
        <f t="shared" ref="AS234:AS242" si="256">+AM234-AA234</f>
        <v>0</v>
      </c>
      <c r="AT234" s="18" t="e">
        <f t="shared" ref="AT234:AT242" si="257">+(AM234/AA234)-1</f>
        <v>#DIV/0!</v>
      </c>
    </row>
    <row r="235" spans="1:46" ht="14.25" hidden="1" customHeight="1">
      <c r="A235" t="s">
        <v>197</v>
      </c>
      <c r="B235">
        <v>710463</v>
      </c>
      <c r="C235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O235" s="7">
        <f t="shared" si="252"/>
        <v>0</v>
      </c>
      <c r="AP235" s="8" t="e">
        <f t="shared" si="253"/>
        <v>#DIV/0!</v>
      </c>
      <c r="AQ235" s="12">
        <f t="shared" si="254"/>
        <v>0</v>
      </c>
      <c r="AR235" s="13" t="e">
        <f t="shared" si="255"/>
        <v>#DIV/0!</v>
      </c>
      <c r="AS235" s="17">
        <f t="shared" si="256"/>
        <v>0</v>
      </c>
      <c r="AT235" s="18" t="e">
        <f t="shared" si="257"/>
        <v>#DIV/0!</v>
      </c>
    </row>
    <row r="236" spans="1:46" ht="14.25" hidden="1" customHeight="1">
      <c r="A236" t="s">
        <v>198</v>
      </c>
      <c r="B236">
        <v>710464</v>
      </c>
      <c r="C236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O236" s="7">
        <f t="shared" si="252"/>
        <v>0</v>
      </c>
      <c r="AP236" s="8" t="e">
        <f t="shared" si="253"/>
        <v>#DIV/0!</v>
      </c>
      <c r="AQ236" s="12">
        <f t="shared" si="254"/>
        <v>0</v>
      </c>
      <c r="AR236" s="13" t="e">
        <f t="shared" si="255"/>
        <v>#DIV/0!</v>
      </c>
      <c r="AS236" s="17">
        <f t="shared" si="256"/>
        <v>0</v>
      </c>
      <c r="AT236" s="18" t="e">
        <f t="shared" si="257"/>
        <v>#DIV/0!</v>
      </c>
    </row>
    <row r="237" spans="1:46" ht="14.25" hidden="1" customHeight="1">
      <c r="A237" t="s">
        <v>199</v>
      </c>
      <c r="B237">
        <v>710465</v>
      </c>
      <c r="C237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O237" s="7">
        <f t="shared" si="252"/>
        <v>0</v>
      </c>
      <c r="AP237" s="8" t="e">
        <f t="shared" si="253"/>
        <v>#DIV/0!</v>
      </c>
      <c r="AQ237" s="12">
        <f t="shared" si="254"/>
        <v>0</v>
      </c>
      <c r="AR237" s="13" t="e">
        <f t="shared" si="255"/>
        <v>#DIV/0!</v>
      </c>
      <c r="AS237" s="17">
        <f t="shared" si="256"/>
        <v>0</v>
      </c>
      <c r="AT237" s="18" t="e">
        <f t="shared" si="257"/>
        <v>#DIV/0!</v>
      </c>
    </row>
    <row r="238" spans="1:46" ht="14.25" hidden="1" customHeight="1">
      <c r="A238" t="s">
        <v>200</v>
      </c>
      <c r="B238">
        <v>710466</v>
      </c>
      <c r="C238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O238" s="7">
        <f t="shared" si="252"/>
        <v>0</v>
      </c>
      <c r="AP238" s="8" t="e">
        <f t="shared" si="253"/>
        <v>#DIV/0!</v>
      </c>
      <c r="AQ238" s="12">
        <f t="shared" si="254"/>
        <v>0</v>
      </c>
      <c r="AR238" s="13" t="e">
        <f t="shared" si="255"/>
        <v>#DIV/0!</v>
      </c>
      <c r="AS238" s="17">
        <f t="shared" si="256"/>
        <v>0</v>
      </c>
      <c r="AT238" s="18" t="e">
        <f t="shared" si="257"/>
        <v>#DIV/0!</v>
      </c>
    </row>
    <row r="239" spans="1:46" ht="14.25" hidden="1" customHeight="1">
      <c r="A239" t="s">
        <v>201</v>
      </c>
      <c r="B239">
        <v>710467</v>
      </c>
      <c r="C239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O239" s="7">
        <f t="shared" si="252"/>
        <v>0</v>
      </c>
      <c r="AP239" s="8" t="e">
        <f t="shared" si="253"/>
        <v>#DIV/0!</v>
      </c>
      <c r="AQ239" s="12">
        <f t="shared" si="254"/>
        <v>0</v>
      </c>
      <c r="AR239" s="13" t="e">
        <f t="shared" si="255"/>
        <v>#DIV/0!</v>
      </c>
      <c r="AS239" s="17">
        <f t="shared" si="256"/>
        <v>0</v>
      </c>
      <c r="AT239" s="18" t="e">
        <f t="shared" si="257"/>
        <v>#DIV/0!</v>
      </c>
    </row>
    <row r="240" spans="1:46" ht="14.25" hidden="1" customHeight="1">
      <c r="A240" t="s">
        <v>202</v>
      </c>
      <c r="B240">
        <v>710468</v>
      </c>
      <c r="C240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O240" s="7">
        <f t="shared" si="252"/>
        <v>0</v>
      </c>
      <c r="AP240" s="8" t="e">
        <f t="shared" si="253"/>
        <v>#DIV/0!</v>
      </c>
      <c r="AQ240" s="12">
        <f t="shared" si="254"/>
        <v>0</v>
      </c>
      <c r="AR240" s="13" t="e">
        <f t="shared" si="255"/>
        <v>#DIV/0!</v>
      </c>
      <c r="AS240" s="17">
        <f t="shared" si="256"/>
        <v>0</v>
      </c>
      <c r="AT240" s="18" t="e">
        <f t="shared" si="257"/>
        <v>#DIV/0!</v>
      </c>
    </row>
    <row r="241" spans="1:46" ht="14.25" hidden="1" customHeight="1">
      <c r="A241" t="s">
        <v>203</v>
      </c>
      <c r="B241">
        <v>710469</v>
      </c>
      <c r="C24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O241" s="7">
        <f t="shared" si="252"/>
        <v>0</v>
      </c>
      <c r="AP241" s="8" t="e">
        <f t="shared" si="253"/>
        <v>#DIV/0!</v>
      </c>
      <c r="AQ241" s="12">
        <f t="shared" si="254"/>
        <v>0</v>
      </c>
      <c r="AR241" s="13" t="e">
        <f t="shared" si="255"/>
        <v>#DIV/0!</v>
      </c>
      <c r="AS241" s="17">
        <f t="shared" si="256"/>
        <v>0</v>
      </c>
      <c r="AT241" s="18" t="e">
        <f t="shared" si="257"/>
        <v>#DIV/0!</v>
      </c>
    </row>
    <row r="242" spans="1:46">
      <c r="A242" t="s">
        <v>204</v>
      </c>
      <c r="C242">
        <v>28535487</v>
      </c>
      <c r="D242" s="1">
        <v>28612210</v>
      </c>
      <c r="E242" s="1">
        <v>28444445</v>
      </c>
      <c r="F242" s="1">
        <v>27442449</v>
      </c>
      <c r="G242" s="1">
        <v>26501405</v>
      </c>
      <c r="H242" s="1">
        <v>26625476</v>
      </c>
      <c r="I242" s="1">
        <v>26389718</v>
      </c>
      <c r="J242" s="1">
        <v>26142940</v>
      </c>
      <c r="K242" s="1">
        <v>25999346</v>
      </c>
      <c r="L242" s="1">
        <v>25760904</v>
      </c>
      <c r="M242" s="1">
        <v>25348225</v>
      </c>
      <c r="N242" s="1">
        <v>25908386</v>
      </c>
      <c r="O242" s="1">
        <v>26313835</v>
      </c>
      <c r="P242" s="1">
        <v>25848068</v>
      </c>
      <c r="Q242" s="1">
        <v>24817780</v>
      </c>
      <c r="R242" s="1">
        <v>24819314</v>
      </c>
      <c r="S242" s="1">
        <v>24167244</v>
      </c>
      <c r="T242" s="1">
        <v>23844384</v>
      </c>
      <c r="U242" s="1">
        <v>23049857</v>
      </c>
      <c r="V242" s="1">
        <v>22430042</v>
      </c>
      <c r="W242" s="1">
        <v>22167496</v>
      </c>
      <c r="X242" s="1">
        <v>113177409</v>
      </c>
      <c r="Y242" s="1">
        <v>160665467</v>
      </c>
      <c r="Z242" s="1">
        <v>156276206</v>
      </c>
      <c r="AA242" s="1">
        <v>152023264</v>
      </c>
      <c r="AB242" s="1">
        <v>147902608</v>
      </c>
      <c r="AC242" s="1">
        <v>143910329</v>
      </c>
      <c r="AD242" s="1">
        <v>140388186</v>
      </c>
      <c r="AE242" s="1">
        <v>137450778</v>
      </c>
      <c r="AF242" s="1">
        <v>135000682</v>
      </c>
      <c r="AG242" s="1">
        <v>132962282</v>
      </c>
      <c r="AH242" s="1">
        <v>131361280</v>
      </c>
      <c r="AI242" s="1">
        <v>130134279</v>
      </c>
      <c r="AJ242" s="1">
        <v>129269216</v>
      </c>
      <c r="AK242" s="1">
        <v>128424224</v>
      </c>
      <c r="AL242" s="1">
        <v>127591034</v>
      </c>
      <c r="AM242" s="1">
        <v>126764458</v>
      </c>
      <c r="AO242" s="7">
        <f t="shared" si="252"/>
        <v>-2221652</v>
      </c>
      <c r="AP242" s="8">
        <f t="shared" si="253"/>
        <v>-7.785575904136488E-2</v>
      </c>
      <c r="AQ242" s="12">
        <f t="shared" si="254"/>
        <v>125709429</v>
      </c>
      <c r="AR242" s="13">
        <f t="shared" si="255"/>
        <v>4.7773131130449062</v>
      </c>
      <c r="AS242" s="17">
        <f t="shared" si="256"/>
        <v>-25258806</v>
      </c>
      <c r="AT242" s="18">
        <f t="shared" si="257"/>
        <v>-0.166150925426782</v>
      </c>
    </row>
    <row r="243" spans="1:46" ht="14.25" hidden="1" customHeight="1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O243" s="7"/>
      <c r="AP243" s="8"/>
      <c r="AQ243" s="12"/>
      <c r="AR243" s="13"/>
      <c r="AS243" s="17"/>
      <c r="AT243" s="18"/>
    </row>
    <row r="244" spans="1:46" ht="14.25" hidden="1" customHeight="1">
      <c r="A244" t="s">
        <v>205</v>
      </c>
      <c r="B244">
        <v>710505</v>
      </c>
      <c r="C244">
        <v>1357630</v>
      </c>
      <c r="D244" s="1">
        <v>1404694</v>
      </c>
      <c r="E244" s="1">
        <v>1388363</v>
      </c>
      <c r="F244" s="1">
        <v>1423747</v>
      </c>
      <c r="G244" s="1">
        <v>1413810</v>
      </c>
      <c r="H244" s="1">
        <v>1607695</v>
      </c>
      <c r="I244" s="1">
        <v>1597442</v>
      </c>
      <c r="J244" s="1">
        <v>1711646</v>
      </c>
      <c r="K244" s="1">
        <v>1728499</v>
      </c>
      <c r="L244" s="1">
        <v>1688764</v>
      </c>
      <c r="M244" s="1">
        <v>1765733</v>
      </c>
      <c r="N244" s="1">
        <v>1800993</v>
      </c>
      <c r="O244" s="1">
        <v>1788494</v>
      </c>
      <c r="P244" s="1">
        <v>1764755</v>
      </c>
      <c r="Q244" s="1">
        <v>1693840</v>
      </c>
      <c r="R244" s="1">
        <v>1732893</v>
      </c>
      <c r="S244" s="1">
        <v>1712319</v>
      </c>
      <c r="T244" s="1">
        <v>1695048</v>
      </c>
      <c r="U244" s="1">
        <v>1660128</v>
      </c>
      <c r="V244" s="1">
        <v>1656050</v>
      </c>
      <c r="W244" s="1">
        <v>1642645</v>
      </c>
      <c r="X244" s="1">
        <v>1618644</v>
      </c>
      <c r="Y244" s="1">
        <v>1638329</v>
      </c>
      <c r="Z244" s="1">
        <v>1655797</v>
      </c>
      <c r="AA244" s="1">
        <v>1670575</v>
      </c>
      <c r="AB244" s="1">
        <v>1693856</v>
      </c>
      <c r="AC244" s="1">
        <v>1806720</v>
      </c>
      <c r="AD244" s="1">
        <v>1898052</v>
      </c>
      <c r="AE244" s="1">
        <v>2057944</v>
      </c>
      <c r="AF244" s="1">
        <v>2214180</v>
      </c>
      <c r="AG244" s="1">
        <v>2350396</v>
      </c>
      <c r="AH244" s="1">
        <v>2520310</v>
      </c>
      <c r="AI244" s="1">
        <v>2566263</v>
      </c>
      <c r="AJ244" s="1">
        <v>2583359</v>
      </c>
      <c r="AK244" s="1">
        <v>2645948</v>
      </c>
      <c r="AL244" s="1">
        <v>2654633</v>
      </c>
      <c r="AM244" s="1">
        <v>2666077</v>
      </c>
      <c r="AO244" s="7">
        <f t="shared" ref="AO244:AO256" si="258">+O244-C244</f>
        <v>430864</v>
      </c>
      <c r="AP244" s="8">
        <f t="shared" ref="AP244:AP256" si="259">+(O244/C244)-1</f>
        <v>0.31736481957528939</v>
      </c>
      <c r="AQ244" s="12">
        <f t="shared" ref="AQ244:AQ256" si="260">+(AA244-O244)</f>
        <v>-117919</v>
      </c>
      <c r="AR244" s="13">
        <f t="shared" ref="AR244:AR256" si="261">+(AA244/O244)-1</f>
        <v>-6.5932007599689979E-2</v>
      </c>
      <c r="AS244" s="17">
        <f t="shared" ref="AS244:AS256" si="262">+AM244-AA244</f>
        <v>995502</v>
      </c>
      <c r="AT244" s="18">
        <f t="shared" ref="AT244:AT256" si="263">+(AM244/AA244)-1</f>
        <v>0.59590380557592448</v>
      </c>
    </row>
    <row r="245" spans="1:46" ht="14.25" hidden="1" customHeight="1">
      <c r="A245" t="s">
        <v>206</v>
      </c>
      <c r="B245">
        <v>710510</v>
      </c>
      <c r="C245">
        <v>2536499</v>
      </c>
      <c r="D245" s="1">
        <v>2526241</v>
      </c>
      <c r="E245" s="1">
        <v>2515599</v>
      </c>
      <c r="F245" s="1">
        <v>2504625</v>
      </c>
      <c r="G245" s="1">
        <v>2494436</v>
      </c>
      <c r="H245" s="1">
        <v>2483031</v>
      </c>
      <c r="I245" s="1">
        <v>2472021</v>
      </c>
      <c r="J245" s="1">
        <v>2461289</v>
      </c>
      <c r="K245" s="1">
        <v>2449910</v>
      </c>
      <c r="L245" s="1">
        <v>2438334</v>
      </c>
      <c r="M245" s="1">
        <v>2425974</v>
      </c>
      <c r="N245" s="1">
        <v>2415200</v>
      </c>
      <c r="O245" s="1">
        <v>2402576</v>
      </c>
      <c r="P245" s="1">
        <v>2391202</v>
      </c>
      <c r="Q245" s="1">
        <v>2379726</v>
      </c>
      <c r="R245" s="1">
        <v>2368296</v>
      </c>
      <c r="S245" s="1">
        <v>2357267</v>
      </c>
      <c r="T245" s="1">
        <v>2346187</v>
      </c>
      <c r="U245" s="1">
        <v>2197142</v>
      </c>
      <c r="V245" s="1">
        <v>2186419</v>
      </c>
      <c r="W245" s="1">
        <v>2175609</v>
      </c>
      <c r="X245" s="1">
        <v>2154718</v>
      </c>
      <c r="Y245" s="1">
        <v>2180965</v>
      </c>
      <c r="Z245" s="1">
        <v>2205726</v>
      </c>
      <c r="AA245" s="1">
        <v>2226867</v>
      </c>
      <c r="AB245" s="1">
        <v>2248034</v>
      </c>
      <c r="AC245" s="1">
        <v>2392918</v>
      </c>
      <c r="AD245" s="1">
        <v>2513883</v>
      </c>
      <c r="AE245" s="1">
        <v>2725654</v>
      </c>
      <c r="AF245" s="1">
        <v>2932581</v>
      </c>
      <c r="AG245" s="1">
        <v>3112992</v>
      </c>
      <c r="AH245" s="1">
        <v>3338036</v>
      </c>
      <c r="AI245" s="1">
        <v>3398898</v>
      </c>
      <c r="AJ245" s="1">
        <v>3421542</v>
      </c>
      <c r="AK245" s="1">
        <v>3504438</v>
      </c>
      <c r="AL245" s="1">
        <v>3515941</v>
      </c>
      <c r="AM245" s="1">
        <v>3531098</v>
      </c>
      <c r="AO245" s="7">
        <f t="shared" si="258"/>
        <v>-133923</v>
      </c>
      <c r="AP245" s="8">
        <f t="shared" si="259"/>
        <v>-5.2798364990484958E-2</v>
      </c>
      <c r="AQ245" s="12">
        <f t="shared" si="260"/>
        <v>-175709</v>
      </c>
      <c r="AR245" s="13">
        <f t="shared" si="261"/>
        <v>-7.3133586617031066E-2</v>
      </c>
      <c r="AS245" s="17">
        <f t="shared" si="262"/>
        <v>1304231</v>
      </c>
      <c r="AT245" s="18">
        <f t="shared" si="263"/>
        <v>0.58567979138403858</v>
      </c>
    </row>
    <row r="246" spans="1:46" ht="14.25" hidden="1" customHeight="1">
      <c r="A246" t="s">
        <v>207</v>
      </c>
      <c r="B246">
        <v>710515</v>
      </c>
      <c r="C246">
        <v>14489541</v>
      </c>
      <c r="D246" s="1">
        <v>14466252</v>
      </c>
      <c r="E246" s="1">
        <v>14436693</v>
      </c>
      <c r="F246" s="1">
        <v>14408326</v>
      </c>
      <c r="G246" s="1">
        <v>14382041</v>
      </c>
      <c r="H246" s="1">
        <v>14358168</v>
      </c>
      <c r="I246" s="1">
        <v>14333613</v>
      </c>
      <c r="J246" s="1">
        <v>14306475</v>
      </c>
      <c r="K246" s="1">
        <v>14282409</v>
      </c>
      <c r="L246" s="1">
        <v>14259303</v>
      </c>
      <c r="M246" s="1">
        <v>14226471</v>
      </c>
      <c r="N246" s="1">
        <v>14200721</v>
      </c>
      <c r="O246" s="1">
        <v>14178517</v>
      </c>
      <c r="P246" s="1">
        <v>14152732</v>
      </c>
      <c r="Q246" s="1">
        <v>14125865</v>
      </c>
      <c r="R246" s="1">
        <v>14094027</v>
      </c>
      <c r="S246" s="1">
        <v>14067525</v>
      </c>
      <c r="T246" s="1">
        <v>14041209</v>
      </c>
      <c r="U246" s="1">
        <v>14011852</v>
      </c>
      <c r="V246" s="1">
        <v>13982967</v>
      </c>
      <c r="W246" s="1">
        <v>13866632</v>
      </c>
      <c r="X246" s="1">
        <v>13688691</v>
      </c>
      <c r="Y246" s="1">
        <v>13917026</v>
      </c>
      <c r="Z246" s="1">
        <v>14138393</v>
      </c>
      <c r="AA246" s="1">
        <v>14338981</v>
      </c>
      <c r="AB246" s="1">
        <v>14518524</v>
      </c>
      <c r="AC246" s="1">
        <v>15251693</v>
      </c>
      <c r="AD246" s="1">
        <v>16022685</v>
      </c>
      <c r="AE246" s="1">
        <v>17372441</v>
      </c>
      <c r="AF246" s="1">
        <v>18691327</v>
      </c>
      <c r="AG246" s="1">
        <v>19841213</v>
      </c>
      <c r="AH246" s="1">
        <v>21275568</v>
      </c>
      <c r="AI246" s="1">
        <v>21663485</v>
      </c>
      <c r="AJ246" s="1">
        <v>21807808</v>
      </c>
      <c r="AK246" s="1">
        <v>22336162</v>
      </c>
      <c r="AL246" s="1">
        <v>22409479</v>
      </c>
      <c r="AM246" s="1">
        <v>22506085</v>
      </c>
      <c r="AO246" s="7">
        <f t="shared" si="258"/>
        <v>-311024</v>
      </c>
      <c r="AP246" s="8">
        <f t="shared" si="259"/>
        <v>-2.1465414259844384E-2</v>
      </c>
      <c r="AQ246" s="12">
        <f t="shared" si="260"/>
        <v>160464</v>
      </c>
      <c r="AR246" s="13">
        <f t="shared" si="261"/>
        <v>1.1317403646657898E-2</v>
      </c>
      <c r="AS246" s="17">
        <f t="shared" si="262"/>
        <v>8167104</v>
      </c>
      <c r="AT246" s="18">
        <f t="shared" si="263"/>
        <v>0.56957352827233687</v>
      </c>
    </row>
    <row r="247" spans="1:46" ht="14.25" hidden="1" customHeight="1">
      <c r="A247" t="s">
        <v>208</v>
      </c>
      <c r="B247">
        <v>710547</v>
      </c>
      <c r="C247">
        <v>235416</v>
      </c>
      <c r="D247" s="1">
        <v>262461</v>
      </c>
      <c r="E247" s="1">
        <v>243020</v>
      </c>
      <c r="F247" s="1">
        <v>234706</v>
      </c>
      <c r="G247" s="1">
        <v>249256</v>
      </c>
      <c r="H247" s="1">
        <v>243384</v>
      </c>
      <c r="I247" s="1">
        <v>230836</v>
      </c>
      <c r="J247" s="1">
        <v>73791</v>
      </c>
      <c r="K247" s="1">
        <v>113579</v>
      </c>
      <c r="L247" s="1">
        <v>92933</v>
      </c>
      <c r="M247" s="1">
        <v>89891</v>
      </c>
      <c r="N247" s="1">
        <v>78826</v>
      </c>
      <c r="O247" s="1">
        <v>59263</v>
      </c>
      <c r="P247" s="1">
        <v>57176</v>
      </c>
      <c r="Q247" s="1">
        <v>70530</v>
      </c>
      <c r="R247" s="1">
        <v>50584</v>
      </c>
      <c r="S247" s="1">
        <v>32327</v>
      </c>
      <c r="T247" s="1">
        <v>24258</v>
      </c>
      <c r="U247" s="1">
        <v>72234</v>
      </c>
      <c r="V247" s="1">
        <v>58606</v>
      </c>
      <c r="W247" s="1">
        <v>68474</v>
      </c>
      <c r="X247" s="1">
        <v>67129</v>
      </c>
      <c r="Y247" s="1">
        <v>67594</v>
      </c>
      <c r="Z247" s="1">
        <v>68687</v>
      </c>
      <c r="AA247" s="1">
        <v>69638</v>
      </c>
      <c r="AB247" s="1">
        <v>70609</v>
      </c>
      <c r="AC247" s="1">
        <v>75314</v>
      </c>
      <c r="AD247" s="1">
        <v>79121</v>
      </c>
      <c r="AE247" s="1">
        <v>85786</v>
      </c>
      <c r="AF247" s="1">
        <v>92299</v>
      </c>
      <c r="AG247" s="1">
        <v>97977</v>
      </c>
      <c r="AH247" s="1">
        <v>105060</v>
      </c>
      <c r="AI247" s="1">
        <v>106975</v>
      </c>
      <c r="AJ247" s="1">
        <v>107688</v>
      </c>
      <c r="AK247" s="1">
        <v>110297</v>
      </c>
      <c r="AL247" s="1">
        <v>110659</v>
      </c>
      <c r="AM247" s="1">
        <v>111136</v>
      </c>
      <c r="AO247" s="7">
        <f t="shared" si="258"/>
        <v>-176153</v>
      </c>
      <c r="AP247" s="8">
        <f t="shared" si="259"/>
        <v>-0.74826264994732727</v>
      </c>
      <c r="AQ247" s="12">
        <f t="shared" si="260"/>
        <v>10375</v>
      </c>
      <c r="AR247" s="13">
        <f t="shared" si="261"/>
        <v>0.17506707389096055</v>
      </c>
      <c r="AS247" s="17">
        <f t="shared" si="262"/>
        <v>41498</v>
      </c>
      <c r="AT247" s="18">
        <f t="shared" si="263"/>
        <v>0.59591027887073156</v>
      </c>
    </row>
    <row r="248" spans="1:46" ht="14.25" hidden="1" customHeight="1">
      <c r="A248" t="s">
        <v>209</v>
      </c>
      <c r="B248">
        <v>710520</v>
      </c>
      <c r="C248">
        <v>514779</v>
      </c>
      <c r="D248" s="1">
        <v>468916</v>
      </c>
      <c r="E248" s="1">
        <v>460890</v>
      </c>
      <c r="F248" s="1">
        <v>449538</v>
      </c>
      <c r="G248" s="1">
        <v>421521</v>
      </c>
      <c r="H248" s="1">
        <v>407313</v>
      </c>
      <c r="I248" s="1">
        <v>388565</v>
      </c>
      <c r="J248" s="1">
        <v>368594</v>
      </c>
      <c r="K248" s="1">
        <v>309851</v>
      </c>
      <c r="L248" s="1">
        <v>277625</v>
      </c>
      <c r="M248" s="1">
        <v>256812</v>
      </c>
      <c r="N248" s="1">
        <v>246102</v>
      </c>
      <c r="O248" s="1">
        <v>239586</v>
      </c>
      <c r="P248" s="1">
        <v>317684</v>
      </c>
      <c r="Q248" s="1">
        <v>310716</v>
      </c>
      <c r="R248" s="1">
        <v>312518</v>
      </c>
      <c r="S248" s="1">
        <v>293184</v>
      </c>
      <c r="T248" s="1">
        <v>273562</v>
      </c>
      <c r="U248" s="1">
        <v>302495</v>
      </c>
      <c r="V248" s="1">
        <v>293250</v>
      </c>
      <c r="W248" s="1">
        <v>290071</v>
      </c>
      <c r="X248" s="1">
        <v>282116</v>
      </c>
      <c r="Y248" s="1">
        <v>286342</v>
      </c>
      <c r="Z248" s="1">
        <v>290971</v>
      </c>
      <c r="AA248" s="1">
        <v>295003</v>
      </c>
      <c r="AB248" s="1">
        <v>299115</v>
      </c>
      <c r="AC248" s="1">
        <v>319045</v>
      </c>
      <c r="AD248" s="1">
        <v>335173</v>
      </c>
      <c r="AE248" s="1">
        <v>363408</v>
      </c>
      <c r="AF248" s="1">
        <v>390997</v>
      </c>
      <c r="AG248" s="1">
        <v>415051</v>
      </c>
      <c r="AH248" s="1">
        <v>445056</v>
      </c>
      <c r="AI248" s="1">
        <v>453171</v>
      </c>
      <c r="AJ248" s="1">
        <v>456190</v>
      </c>
      <c r="AK248" s="1">
        <v>467242</v>
      </c>
      <c r="AL248" s="1">
        <v>468776</v>
      </c>
      <c r="AM248" s="1">
        <v>470797</v>
      </c>
      <c r="AO248" s="7">
        <f t="shared" si="258"/>
        <v>-275193</v>
      </c>
      <c r="AP248" s="8">
        <f t="shared" si="259"/>
        <v>-0.53458474413291923</v>
      </c>
      <c r="AQ248" s="12">
        <f t="shared" si="260"/>
        <v>55417</v>
      </c>
      <c r="AR248" s="13">
        <f t="shared" si="261"/>
        <v>0.23130316462564582</v>
      </c>
      <c r="AS248" s="17">
        <f t="shared" si="262"/>
        <v>175794</v>
      </c>
      <c r="AT248" s="18">
        <f t="shared" si="263"/>
        <v>0.59590580434775231</v>
      </c>
    </row>
    <row r="249" spans="1:46" ht="14.25" hidden="1" customHeight="1">
      <c r="A249" t="s">
        <v>210</v>
      </c>
      <c r="B249">
        <v>710521</v>
      </c>
      <c r="C249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O249" s="7">
        <f t="shared" si="258"/>
        <v>0</v>
      </c>
      <c r="AP249" s="8" t="e">
        <f t="shared" si="259"/>
        <v>#DIV/0!</v>
      </c>
      <c r="AQ249" s="12">
        <f t="shared" si="260"/>
        <v>0</v>
      </c>
      <c r="AR249" s="13" t="e">
        <f t="shared" si="261"/>
        <v>#DIV/0!</v>
      </c>
      <c r="AS249" s="17">
        <f t="shared" si="262"/>
        <v>0</v>
      </c>
      <c r="AT249" s="18" t="e">
        <f t="shared" si="263"/>
        <v>#DIV/0!</v>
      </c>
    </row>
    <row r="250" spans="1:46" ht="14.25" hidden="1" customHeight="1">
      <c r="A250" t="s">
        <v>211</v>
      </c>
      <c r="B250">
        <v>710525</v>
      </c>
      <c r="C250">
        <v>1341985</v>
      </c>
      <c r="D250" s="1">
        <v>1338315</v>
      </c>
      <c r="E250" s="1">
        <v>1335047</v>
      </c>
      <c r="F250" s="1">
        <v>1330902</v>
      </c>
      <c r="G250" s="1">
        <v>1327175</v>
      </c>
      <c r="H250" s="1">
        <v>1323348</v>
      </c>
      <c r="I250" s="1">
        <v>1319719</v>
      </c>
      <c r="J250" s="1">
        <v>1315854</v>
      </c>
      <c r="K250" s="1">
        <v>1312460</v>
      </c>
      <c r="L250" s="1">
        <v>1308499</v>
      </c>
      <c r="M250" s="1">
        <v>1304575</v>
      </c>
      <c r="N250" s="1">
        <v>1301118</v>
      </c>
      <c r="O250" s="1">
        <v>1696885</v>
      </c>
      <c r="P250" s="1">
        <v>1693114</v>
      </c>
      <c r="Q250" s="1">
        <v>1689323</v>
      </c>
      <c r="R250" s="1">
        <v>1684877</v>
      </c>
      <c r="S250" s="1">
        <v>1681041</v>
      </c>
      <c r="T250" s="1">
        <v>1677241</v>
      </c>
      <c r="U250" s="1">
        <v>1673100</v>
      </c>
      <c r="V250" s="1">
        <v>628915</v>
      </c>
      <c r="W250" s="1">
        <v>627423</v>
      </c>
      <c r="X250" s="1">
        <v>619107</v>
      </c>
      <c r="Y250" s="1">
        <v>629164</v>
      </c>
      <c r="Z250" s="1">
        <v>638896</v>
      </c>
      <c r="AA250" s="1">
        <v>647679</v>
      </c>
      <c r="AB250" s="1">
        <v>655501</v>
      </c>
      <c r="AC250" s="1">
        <v>690092</v>
      </c>
      <c r="AD250" s="1">
        <v>724977</v>
      </c>
      <c r="AE250" s="1">
        <v>786050</v>
      </c>
      <c r="AF250" s="1">
        <v>845725</v>
      </c>
      <c r="AG250" s="1">
        <v>897754</v>
      </c>
      <c r="AH250" s="1">
        <v>962654</v>
      </c>
      <c r="AI250" s="1">
        <v>980206</v>
      </c>
      <c r="AJ250" s="1">
        <v>986737</v>
      </c>
      <c r="AK250" s="1">
        <v>1010643</v>
      </c>
      <c r="AL250" s="1">
        <v>1013960</v>
      </c>
      <c r="AM250" s="1">
        <v>1018331</v>
      </c>
      <c r="AO250" s="7">
        <f t="shared" si="258"/>
        <v>354900</v>
      </c>
      <c r="AP250" s="8">
        <f t="shared" si="259"/>
        <v>0.2644589917174931</v>
      </c>
      <c r="AQ250" s="12">
        <f t="shared" si="260"/>
        <v>-1049206</v>
      </c>
      <c r="AR250" s="13">
        <f t="shared" si="261"/>
        <v>-0.61831296758472143</v>
      </c>
      <c r="AS250" s="17">
        <f t="shared" si="262"/>
        <v>370652</v>
      </c>
      <c r="AT250" s="18">
        <f t="shared" si="263"/>
        <v>0.57227731638666679</v>
      </c>
    </row>
    <row r="251" spans="1:46" ht="14.25" hidden="1" customHeight="1">
      <c r="A251" t="s">
        <v>212</v>
      </c>
      <c r="B251">
        <v>710530</v>
      </c>
      <c r="C25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O251" s="7">
        <f t="shared" si="258"/>
        <v>0</v>
      </c>
      <c r="AP251" s="8" t="e">
        <f t="shared" si="259"/>
        <v>#DIV/0!</v>
      </c>
      <c r="AQ251" s="12">
        <f t="shared" si="260"/>
        <v>0</v>
      </c>
      <c r="AR251" s="13" t="e">
        <f t="shared" si="261"/>
        <v>#DIV/0!</v>
      </c>
      <c r="AS251" s="17">
        <f t="shared" si="262"/>
        <v>0</v>
      </c>
      <c r="AT251" s="18" t="e">
        <f t="shared" si="263"/>
        <v>#DIV/0!</v>
      </c>
    </row>
    <row r="252" spans="1:46" ht="14.25" hidden="1" customHeight="1">
      <c r="A252" t="s">
        <v>213</v>
      </c>
      <c r="B252">
        <v>710535</v>
      </c>
      <c r="C252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O252" s="7">
        <f t="shared" si="258"/>
        <v>0</v>
      </c>
      <c r="AP252" s="8" t="e">
        <f t="shared" si="259"/>
        <v>#DIV/0!</v>
      </c>
      <c r="AQ252" s="12">
        <f t="shared" si="260"/>
        <v>0</v>
      </c>
      <c r="AR252" s="13" t="e">
        <f t="shared" si="261"/>
        <v>#DIV/0!</v>
      </c>
      <c r="AS252" s="17">
        <f t="shared" si="262"/>
        <v>0</v>
      </c>
      <c r="AT252" s="18" t="e">
        <f t="shared" si="263"/>
        <v>#DIV/0!</v>
      </c>
    </row>
    <row r="253" spans="1:46" ht="14.25" hidden="1" customHeight="1">
      <c r="A253" t="s">
        <v>214</v>
      </c>
      <c r="B253">
        <v>710540</v>
      </c>
      <c r="C253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O253" s="7">
        <f t="shared" si="258"/>
        <v>0</v>
      </c>
      <c r="AP253" s="8" t="e">
        <f t="shared" si="259"/>
        <v>#DIV/0!</v>
      </c>
      <c r="AQ253" s="12">
        <f t="shared" si="260"/>
        <v>0</v>
      </c>
      <c r="AR253" s="13" t="e">
        <f t="shared" si="261"/>
        <v>#DIV/0!</v>
      </c>
      <c r="AS253" s="17">
        <f t="shared" si="262"/>
        <v>0</v>
      </c>
      <c r="AT253" s="18" t="e">
        <f t="shared" si="263"/>
        <v>#DIV/0!</v>
      </c>
    </row>
    <row r="254" spans="1:46" ht="14.25" hidden="1" customHeight="1">
      <c r="A254" t="s">
        <v>215</v>
      </c>
      <c r="B254">
        <v>710545</v>
      </c>
      <c r="C254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O254" s="7">
        <f t="shared" si="258"/>
        <v>0</v>
      </c>
      <c r="AP254" s="8" t="e">
        <f t="shared" si="259"/>
        <v>#DIV/0!</v>
      </c>
      <c r="AQ254" s="12">
        <f t="shared" si="260"/>
        <v>0</v>
      </c>
      <c r="AR254" s="13" t="e">
        <f t="shared" si="261"/>
        <v>#DIV/0!</v>
      </c>
      <c r="AS254" s="17">
        <f t="shared" si="262"/>
        <v>0</v>
      </c>
      <c r="AT254" s="18" t="e">
        <f t="shared" si="263"/>
        <v>#DIV/0!</v>
      </c>
    </row>
    <row r="255" spans="1:46" ht="14.25" hidden="1" customHeight="1">
      <c r="A255" t="s">
        <v>216</v>
      </c>
      <c r="B255">
        <v>710548</v>
      </c>
      <c r="C255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O255" s="7">
        <f t="shared" si="258"/>
        <v>0</v>
      </c>
      <c r="AP255" s="8" t="e">
        <f t="shared" si="259"/>
        <v>#DIV/0!</v>
      </c>
      <c r="AQ255" s="12">
        <f t="shared" si="260"/>
        <v>0</v>
      </c>
      <c r="AR255" s="13" t="e">
        <f t="shared" si="261"/>
        <v>#DIV/0!</v>
      </c>
      <c r="AS255" s="17">
        <f t="shared" si="262"/>
        <v>0</v>
      </c>
      <c r="AT255" s="18" t="e">
        <f t="shared" si="263"/>
        <v>#DIV/0!</v>
      </c>
    </row>
    <row r="256" spans="1:46" ht="14.25" hidden="1" customHeight="1">
      <c r="A256" t="s">
        <v>217</v>
      </c>
      <c r="C256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O256" s="7">
        <f t="shared" si="258"/>
        <v>0</v>
      </c>
      <c r="AP256" s="8" t="e">
        <f t="shared" si="259"/>
        <v>#DIV/0!</v>
      </c>
      <c r="AQ256" s="12">
        <f t="shared" si="260"/>
        <v>0</v>
      </c>
      <c r="AR256" s="13" t="e">
        <f t="shared" si="261"/>
        <v>#DIV/0!</v>
      </c>
      <c r="AS256" s="17">
        <f t="shared" si="262"/>
        <v>0</v>
      </c>
      <c r="AT256" s="18" t="e">
        <f t="shared" si="263"/>
        <v>#DIV/0!</v>
      </c>
    </row>
    <row r="257" spans="1:46" ht="14.25" hidden="1" customHeight="1">
      <c r="A257" t="s">
        <v>11</v>
      </c>
      <c r="B257" t="s">
        <v>12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O257" s="7"/>
      <c r="AP257" s="8"/>
      <c r="AQ257" s="12"/>
      <c r="AR257" s="13"/>
      <c r="AS257" s="17"/>
      <c r="AT257" s="18"/>
    </row>
    <row r="258" spans="1:46">
      <c r="A258" t="s">
        <v>218</v>
      </c>
      <c r="C258">
        <v>20475850</v>
      </c>
      <c r="D258" s="1">
        <v>20466880</v>
      </c>
      <c r="E258" s="1">
        <v>20379612</v>
      </c>
      <c r="F258" s="1">
        <v>20351845</v>
      </c>
      <c r="G258" s="1">
        <v>20288238</v>
      </c>
      <c r="H258" s="1">
        <v>20422939</v>
      </c>
      <c r="I258" s="1">
        <v>20342195</v>
      </c>
      <c r="J258" s="1">
        <v>20237649</v>
      </c>
      <c r="K258" s="1">
        <v>20196709</v>
      </c>
      <c r="L258" s="1">
        <v>20065458</v>
      </c>
      <c r="M258" s="1">
        <v>20069457</v>
      </c>
      <c r="N258" s="1">
        <v>20042960</v>
      </c>
      <c r="O258" s="1">
        <v>20365321</v>
      </c>
      <c r="P258" s="1">
        <v>20376664</v>
      </c>
      <c r="Q258" s="1">
        <v>20270001</v>
      </c>
      <c r="R258" s="1">
        <v>20243195</v>
      </c>
      <c r="S258" s="1">
        <v>20143664</v>
      </c>
      <c r="T258" s="1">
        <v>20057505</v>
      </c>
      <c r="U258" s="1">
        <v>19916951</v>
      </c>
      <c r="V258" s="1">
        <v>18806207</v>
      </c>
      <c r="W258" s="1">
        <v>18670853</v>
      </c>
      <c r="X258" s="1">
        <v>18430406</v>
      </c>
      <c r="Y258" s="1">
        <v>18719420</v>
      </c>
      <c r="Z258" s="1">
        <v>18998469</v>
      </c>
      <c r="AA258" s="1">
        <v>19248743</v>
      </c>
      <c r="AB258" s="1">
        <v>19485639</v>
      </c>
      <c r="AC258" s="1">
        <v>20535782</v>
      </c>
      <c r="AD258" s="1">
        <v>21573891</v>
      </c>
      <c r="AE258" s="1">
        <v>23391283</v>
      </c>
      <c r="AF258" s="1">
        <v>25167109</v>
      </c>
      <c r="AG258" s="1">
        <v>26715383</v>
      </c>
      <c r="AH258" s="1">
        <v>28646683</v>
      </c>
      <c r="AI258" s="1">
        <v>29168999</v>
      </c>
      <c r="AJ258" s="1">
        <v>29363324</v>
      </c>
      <c r="AK258" s="1">
        <v>30074731</v>
      </c>
      <c r="AL258" s="1">
        <v>30173448</v>
      </c>
      <c r="AM258" s="1">
        <v>30303524</v>
      </c>
      <c r="AO258" s="7">
        <f t="shared" ref="AO258" si="264">+O258-C258</f>
        <v>-110529</v>
      </c>
      <c r="AP258" s="8">
        <f t="shared" ref="AP258" si="265">+(O258/C258)-1</f>
        <v>-5.3980176647123734E-3</v>
      </c>
      <c r="AQ258" s="12">
        <f t="shared" ref="AQ258" si="266">+(AA258-O258)</f>
        <v>-1116578</v>
      </c>
      <c r="AR258" s="13">
        <f t="shared" ref="AR258" si="267">+(AA258/O258)-1</f>
        <v>-5.4827419611996331E-2</v>
      </c>
      <c r="AS258" s="17">
        <f t="shared" ref="AS258" si="268">+AM258-AA258</f>
        <v>11054781</v>
      </c>
      <c r="AT258" s="18">
        <f t="shared" ref="AT258" si="269">+(AM258/AA258)-1</f>
        <v>0.57431183947959608</v>
      </c>
    </row>
    <row r="259" spans="1:46" ht="14.25" hidden="1" customHeight="1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O259" s="7"/>
      <c r="AP259" s="8"/>
      <c r="AQ259" s="12"/>
      <c r="AR259" s="13"/>
      <c r="AS259" s="17"/>
      <c r="AT259" s="18"/>
    </row>
    <row r="260" spans="1:46" ht="14.25" hidden="1" customHeight="1">
      <c r="A260" t="s">
        <v>219</v>
      </c>
      <c r="B260">
        <v>710550</v>
      </c>
      <c r="C260">
        <v>414994</v>
      </c>
      <c r="D260" s="1">
        <v>413399</v>
      </c>
      <c r="E260" s="1">
        <v>411795</v>
      </c>
      <c r="F260" s="1">
        <v>410182</v>
      </c>
      <c r="G260" s="1">
        <v>408560</v>
      </c>
      <c r="H260" s="1">
        <v>406929</v>
      </c>
      <c r="I260" s="1">
        <v>405289</v>
      </c>
      <c r="J260" s="1">
        <v>403639</v>
      </c>
      <c r="K260" s="1">
        <v>401980</v>
      </c>
      <c r="L260" s="1">
        <v>400392</v>
      </c>
      <c r="M260" s="1">
        <v>398794</v>
      </c>
      <c r="N260" s="1">
        <v>288102</v>
      </c>
      <c r="O260" s="1">
        <v>275794</v>
      </c>
      <c r="P260" s="1">
        <v>263408</v>
      </c>
      <c r="Q260" s="1">
        <v>241237</v>
      </c>
      <c r="R260" s="1">
        <v>230104</v>
      </c>
      <c r="S260" s="1">
        <v>228900</v>
      </c>
      <c r="T260" s="1">
        <v>227689</v>
      </c>
      <c r="U260" s="1">
        <v>226471</v>
      </c>
      <c r="V260" s="1">
        <v>225245</v>
      </c>
      <c r="W260" s="1">
        <v>224176</v>
      </c>
      <c r="X260" s="1">
        <v>224758</v>
      </c>
      <c r="Y260" s="1">
        <v>228409</v>
      </c>
      <c r="Z260" s="1">
        <v>232122</v>
      </c>
      <c r="AA260" s="1">
        <v>235710</v>
      </c>
      <c r="AB260" s="1">
        <v>239402</v>
      </c>
      <c r="AC260" s="1">
        <v>246567</v>
      </c>
      <c r="AD260" s="1">
        <v>259032</v>
      </c>
      <c r="AE260" s="1">
        <v>280853</v>
      </c>
      <c r="AF260" s="1">
        <v>302174</v>
      </c>
      <c r="AG260" s="1">
        <v>320764</v>
      </c>
      <c r="AH260" s="1">
        <v>343953</v>
      </c>
      <c r="AI260" s="1">
        <v>350224</v>
      </c>
      <c r="AJ260" s="1">
        <v>352557</v>
      </c>
      <c r="AK260" s="1">
        <v>361099</v>
      </c>
      <c r="AL260" s="1">
        <v>362284</v>
      </c>
      <c r="AM260" s="1">
        <v>363846</v>
      </c>
      <c r="AO260" s="7">
        <f t="shared" ref="AO260:AO269" si="270">+O260-C260</f>
        <v>-139200</v>
      </c>
      <c r="AP260" s="8">
        <f t="shared" ref="AP260:AP269" si="271">+(O260/C260)-1</f>
        <v>-0.33542653628727159</v>
      </c>
      <c r="AQ260" s="12">
        <f t="shared" ref="AQ260:AQ269" si="272">+(AA260-O260)</f>
        <v>-40084</v>
      </c>
      <c r="AR260" s="13">
        <f t="shared" ref="AR260:AR269" si="273">+(AA260/O260)-1</f>
        <v>-0.14534036273450479</v>
      </c>
      <c r="AS260" s="17">
        <f t="shared" ref="AS260:AS269" si="274">+AM260-AA260</f>
        <v>128136</v>
      </c>
      <c r="AT260" s="18">
        <f t="shared" ref="AT260:AT269" si="275">+(AM260/AA260)-1</f>
        <v>0.54361715667557586</v>
      </c>
    </row>
    <row r="261" spans="1:46" ht="14.25" hidden="1" customHeight="1">
      <c r="A261" t="s">
        <v>220</v>
      </c>
      <c r="B261">
        <v>710555</v>
      </c>
      <c r="C261">
        <v>1341749</v>
      </c>
      <c r="D261" s="1">
        <v>1341177</v>
      </c>
      <c r="E261" s="1">
        <v>1340603</v>
      </c>
      <c r="F261" s="1">
        <v>1338653</v>
      </c>
      <c r="G261" s="1">
        <v>1338039</v>
      </c>
      <c r="H261" s="1">
        <v>1325000</v>
      </c>
      <c r="I261" s="1">
        <v>1325000</v>
      </c>
      <c r="J261" s="1">
        <v>1325000</v>
      </c>
      <c r="K261" s="1">
        <v>1325000</v>
      </c>
      <c r="L261" s="1">
        <v>1325000</v>
      </c>
      <c r="M261" s="1">
        <v>1325000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O261" s="7">
        <f t="shared" si="270"/>
        <v>-1341749</v>
      </c>
      <c r="AP261" s="8">
        <f t="shared" si="271"/>
        <v>-1</v>
      </c>
      <c r="AQ261" s="12">
        <f t="shared" si="272"/>
        <v>0</v>
      </c>
      <c r="AR261" s="13" t="e">
        <f t="shared" si="273"/>
        <v>#DIV/0!</v>
      </c>
      <c r="AS261" s="17">
        <f t="shared" si="274"/>
        <v>0</v>
      </c>
      <c r="AT261" s="18" t="e">
        <f t="shared" si="275"/>
        <v>#DIV/0!</v>
      </c>
    </row>
    <row r="262" spans="1:46" ht="14.25" hidden="1" customHeight="1">
      <c r="A262" t="s">
        <v>221</v>
      </c>
      <c r="B262">
        <v>710563</v>
      </c>
      <c r="C262">
        <v>6094712</v>
      </c>
      <c r="D262" s="1">
        <v>6073145</v>
      </c>
      <c r="E262" s="1">
        <v>6049161</v>
      </c>
      <c r="F262" s="1">
        <v>6023902</v>
      </c>
      <c r="G262" s="1">
        <v>6000774</v>
      </c>
      <c r="H262" s="1">
        <v>5977418</v>
      </c>
      <c r="I262" s="1">
        <v>5957603</v>
      </c>
      <c r="J262" s="1">
        <v>5931532</v>
      </c>
      <c r="K262" s="1">
        <v>5908968</v>
      </c>
      <c r="L262" s="1">
        <v>3887475</v>
      </c>
      <c r="M262" s="1">
        <v>3856046</v>
      </c>
      <c r="N262" s="1">
        <v>3820261</v>
      </c>
      <c r="O262" s="1">
        <v>3784249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O262" s="7">
        <f t="shared" si="270"/>
        <v>-2310463</v>
      </c>
      <c r="AP262" s="8">
        <f t="shared" si="271"/>
        <v>-0.37909305640693114</v>
      </c>
      <c r="AQ262" s="12">
        <f t="shared" si="272"/>
        <v>-3784249</v>
      </c>
      <c r="AR262" s="13">
        <f t="shared" si="273"/>
        <v>-1</v>
      </c>
      <c r="AS262" s="17">
        <f t="shared" si="274"/>
        <v>0</v>
      </c>
      <c r="AT262" s="18" t="e">
        <f t="shared" si="275"/>
        <v>#DIV/0!</v>
      </c>
    </row>
    <row r="263" spans="1:46" ht="14.25" hidden="1" customHeight="1">
      <c r="A263" t="s">
        <v>222</v>
      </c>
      <c r="B263">
        <v>710564</v>
      </c>
      <c r="C263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O263" s="7">
        <f t="shared" si="270"/>
        <v>0</v>
      </c>
      <c r="AP263" s="8" t="e">
        <f t="shared" si="271"/>
        <v>#DIV/0!</v>
      </c>
      <c r="AQ263" s="12">
        <f t="shared" si="272"/>
        <v>0</v>
      </c>
      <c r="AR263" s="13" t="e">
        <f t="shared" si="273"/>
        <v>#DIV/0!</v>
      </c>
      <c r="AS263" s="17">
        <f t="shared" si="274"/>
        <v>0</v>
      </c>
      <c r="AT263" s="18" t="e">
        <f t="shared" si="275"/>
        <v>#DIV/0!</v>
      </c>
    </row>
    <row r="264" spans="1:46" ht="14.25" hidden="1" customHeight="1">
      <c r="A264" t="s">
        <v>223</v>
      </c>
      <c r="B264">
        <v>710565</v>
      </c>
      <c r="C264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O264" s="7">
        <f t="shared" si="270"/>
        <v>0</v>
      </c>
      <c r="AP264" s="8" t="e">
        <f t="shared" si="271"/>
        <v>#DIV/0!</v>
      </c>
      <c r="AQ264" s="12">
        <f t="shared" si="272"/>
        <v>0</v>
      </c>
      <c r="AR264" s="13" t="e">
        <f t="shared" si="273"/>
        <v>#DIV/0!</v>
      </c>
      <c r="AS264" s="17">
        <f t="shared" si="274"/>
        <v>0</v>
      </c>
      <c r="AT264" s="18" t="e">
        <f t="shared" si="275"/>
        <v>#DIV/0!</v>
      </c>
    </row>
    <row r="265" spans="1:46" ht="14.25" hidden="1" customHeight="1">
      <c r="A265" t="s">
        <v>224</v>
      </c>
      <c r="B265">
        <v>710570</v>
      </c>
      <c r="C265">
        <v>71019572</v>
      </c>
      <c r="D265" s="1">
        <v>70892717</v>
      </c>
      <c r="E265" s="1">
        <v>70453763</v>
      </c>
      <c r="F265" s="1">
        <v>70261720</v>
      </c>
      <c r="G265" s="1">
        <v>69842470</v>
      </c>
      <c r="H265" s="1">
        <v>69487995</v>
      </c>
      <c r="I265" s="1">
        <v>69294477</v>
      </c>
      <c r="J265" s="1">
        <v>69516781</v>
      </c>
      <c r="K265" s="1">
        <v>69372575</v>
      </c>
      <c r="L265" s="1">
        <v>69495249</v>
      </c>
      <c r="M265" s="1">
        <v>69376636</v>
      </c>
      <c r="N265" s="1">
        <v>68375185</v>
      </c>
      <c r="O265" s="1">
        <v>68231582</v>
      </c>
      <c r="P265" s="1">
        <v>68049355</v>
      </c>
      <c r="Q265" s="1">
        <v>67905071</v>
      </c>
      <c r="R265" s="1">
        <v>67741158</v>
      </c>
      <c r="S265" s="1">
        <v>66195304</v>
      </c>
      <c r="T265" s="1">
        <v>66045447</v>
      </c>
      <c r="U265" s="1">
        <v>66443241</v>
      </c>
      <c r="V265" s="1">
        <v>67138502</v>
      </c>
      <c r="W265" s="1">
        <v>67075966</v>
      </c>
      <c r="X265" s="1">
        <v>66807533</v>
      </c>
      <c r="Y265" s="1">
        <v>68092897</v>
      </c>
      <c r="Z265" s="1">
        <v>69406780</v>
      </c>
      <c r="AA265" s="1">
        <v>70702569</v>
      </c>
      <c r="AB265" s="1">
        <v>72021282</v>
      </c>
      <c r="AC265" s="1">
        <v>73775814</v>
      </c>
      <c r="AD265" s="1">
        <v>77505273</v>
      </c>
      <c r="AE265" s="1">
        <v>84034342</v>
      </c>
      <c r="AF265" s="1">
        <v>90414086</v>
      </c>
      <c r="AG265" s="1">
        <v>95976338</v>
      </c>
      <c r="AH265" s="1">
        <v>102914629</v>
      </c>
      <c r="AI265" s="1">
        <v>104791073</v>
      </c>
      <c r="AJ265" s="1">
        <v>105489195</v>
      </c>
      <c r="AK265" s="1">
        <v>108044960</v>
      </c>
      <c r="AL265" s="1">
        <v>108399607</v>
      </c>
      <c r="AM265" s="1">
        <v>108866913</v>
      </c>
      <c r="AO265" s="7">
        <f t="shared" si="270"/>
        <v>-2787990</v>
      </c>
      <c r="AP265" s="8">
        <f t="shared" si="271"/>
        <v>-3.9256643225053511E-2</v>
      </c>
      <c r="AQ265" s="12">
        <f t="shared" si="272"/>
        <v>2470987</v>
      </c>
      <c r="AR265" s="13">
        <f t="shared" si="273"/>
        <v>3.6214710659940419E-2</v>
      </c>
      <c r="AS265" s="17">
        <f t="shared" si="274"/>
        <v>38164344</v>
      </c>
      <c r="AT265" s="18">
        <f t="shared" si="275"/>
        <v>0.53978723177654264</v>
      </c>
    </row>
    <row r="266" spans="1:46" ht="14.25" hidden="1" customHeight="1">
      <c r="A266" t="s">
        <v>225</v>
      </c>
      <c r="B266">
        <v>710575</v>
      </c>
      <c r="C266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O266" s="7">
        <f t="shared" si="270"/>
        <v>0</v>
      </c>
      <c r="AP266" s="8" t="e">
        <f t="shared" si="271"/>
        <v>#DIV/0!</v>
      </c>
      <c r="AQ266" s="12">
        <f t="shared" si="272"/>
        <v>0</v>
      </c>
      <c r="AR266" s="13" t="e">
        <f t="shared" si="273"/>
        <v>#DIV/0!</v>
      </c>
      <c r="AS266" s="17">
        <f t="shared" si="274"/>
        <v>0</v>
      </c>
      <c r="AT266" s="18" t="e">
        <f t="shared" si="275"/>
        <v>#DIV/0!</v>
      </c>
    </row>
    <row r="267" spans="1:46" ht="14.25" hidden="1" customHeight="1">
      <c r="A267" t="s">
        <v>226</v>
      </c>
      <c r="B267">
        <v>710580</v>
      </c>
      <c r="C267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O267" s="7">
        <f t="shared" si="270"/>
        <v>0</v>
      </c>
      <c r="AP267" s="8" t="e">
        <f t="shared" si="271"/>
        <v>#DIV/0!</v>
      </c>
      <c r="AQ267" s="12">
        <f t="shared" si="272"/>
        <v>0</v>
      </c>
      <c r="AR267" s="13" t="e">
        <f t="shared" si="273"/>
        <v>#DIV/0!</v>
      </c>
      <c r="AS267" s="17">
        <f t="shared" si="274"/>
        <v>0</v>
      </c>
      <c r="AT267" s="18" t="e">
        <f t="shared" si="275"/>
        <v>#DIV/0!</v>
      </c>
    </row>
    <row r="268" spans="1:46" ht="14.25" hidden="1" customHeight="1">
      <c r="A268" t="s">
        <v>227</v>
      </c>
      <c r="B268">
        <v>710590</v>
      </c>
      <c r="C268">
        <v>418530</v>
      </c>
      <c r="D268" s="1">
        <v>487337</v>
      </c>
      <c r="E268" s="1">
        <v>484146</v>
      </c>
      <c r="F268" s="1">
        <v>460870</v>
      </c>
      <c r="G268" s="1">
        <v>302550</v>
      </c>
      <c r="H268" s="1">
        <v>336576</v>
      </c>
      <c r="I268" s="1">
        <v>353447</v>
      </c>
      <c r="J268" s="1">
        <v>380944</v>
      </c>
      <c r="K268" s="1">
        <v>426942</v>
      </c>
      <c r="L268" s="1">
        <v>325962</v>
      </c>
      <c r="M268" s="1">
        <v>343936</v>
      </c>
      <c r="N268" s="1">
        <v>393767</v>
      </c>
      <c r="O268" s="1">
        <v>352649</v>
      </c>
      <c r="P268" s="1">
        <v>346109</v>
      </c>
      <c r="Q268" s="1">
        <v>393481</v>
      </c>
      <c r="R268" s="1">
        <v>1853880</v>
      </c>
      <c r="S268" s="1">
        <v>1823900</v>
      </c>
      <c r="T268" s="1">
        <v>1900446</v>
      </c>
      <c r="U268" s="1">
        <v>2233815</v>
      </c>
      <c r="V268" s="1">
        <v>2395697</v>
      </c>
      <c r="W268" s="1">
        <v>2369497</v>
      </c>
      <c r="X268" s="1">
        <v>2379570</v>
      </c>
      <c r="Y268" s="1">
        <v>2430084</v>
      </c>
      <c r="Z268" s="1">
        <v>2433016</v>
      </c>
      <c r="AA268" s="1">
        <v>2483305</v>
      </c>
      <c r="AB268" s="1">
        <v>2524363</v>
      </c>
      <c r="AC268" s="1">
        <v>2606172</v>
      </c>
      <c r="AD268" s="1">
        <v>2737918</v>
      </c>
      <c r="AE268" s="1">
        <v>2968561</v>
      </c>
      <c r="AF268" s="1">
        <v>3193929</v>
      </c>
      <c r="AG268" s="1">
        <v>3390419</v>
      </c>
      <c r="AH268" s="1">
        <v>3635518</v>
      </c>
      <c r="AI268" s="1">
        <v>3701804</v>
      </c>
      <c r="AJ268" s="1">
        <v>3726466</v>
      </c>
      <c r="AK268" s="1">
        <v>3816749</v>
      </c>
      <c r="AL268" s="1">
        <v>3829278</v>
      </c>
      <c r="AM268" s="1">
        <v>3845785</v>
      </c>
      <c r="AO268" s="7">
        <f t="shared" si="270"/>
        <v>-65881</v>
      </c>
      <c r="AP268" s="8">
        <f t="shared" si="271"/>
        <v>-0.15741046042099727</v>
      </c>
      <c r="AQ268" s="12">
        <f t="shared" si="272"/>
        <v>2130656</v>
      </c>
      <c r="AR268" s="13">
        <f t="shared" si="273"/>
        <v>6.0418603200349352</v>
      </c>
      <c r="AS268" s="17">
        <f t="shared" si="274"/>
        <v>1362480</v>
      </c>
      <c r="AT268" s="18">
        <f t="shared" si="275"/>
        <v>0.54865592426222309</v>
      </c>
    </row>
    <row r="269" spans="1:46" ht="14.25" hidden="1" customHeight="1">
      <c r="A269" t="s">
        <v>228</v>
      </c>
      <c r="B269">
        <v>710595</v>
      </c>
      <c r="C269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1059440</v>
      </c>
      <c r="V269" s="1">
        <v>1059440</v>
      </c>
      <c r="W269" s="1">
        <v>1059440</v>
      </c>
      <c r="X269" s="1">
        <v>1049794</v>
      </c>
      <c r="Y269" s="1">
        <v>1057820</v>
      </c>
      <c r="Z269" s="1">
        <v>1065969</v>
      </c>
      <c r="AA269" s="1">
        <v>1077454</v>
      </c>
      <c r="AB269" s="1">
        <v>1092469</v>
      </c>
      <c r="AC269" s="1">
        <v>1165262</v>
      </c>
      <c r="AD269" s="1">
        <v>1224167</v>
      </c>
      <c r="AE269" s="1">
        <v>1327291</v>
      </c>
      <c r="AF269" s="1">
        <v>1428057</v>
      </c>
      <c r="AG269" s="1">
        <v>1515911</v>
      </c>
      <c r="AH269" s="1">
        <v>1625498</v>
      </c>
      <c r="AI269" s="1">
        <v>1655136</v>
      </c>
      <c r="AJ269" s="1">
        <v>1666163</v>
      </c>
      <c r="AK269" s="1">
        <v>1706530</v>
      </c>
      <c r="AL269" s="1">
        <v>1712132</v>
      </c>
      <c r="AM269" s="1">
        <v>1719513</v>
      </c>
      <c r="AO269" s="7">
        <f t="shared" si="270"/>
        <v>0</v>
      </c>
      <c r="AP269" s="8" t="e">
        <f t="shared" si="271"/>
        <v>#DIV/0!</v>
      </c>
      <c r="AQ269" s="12">
        <f t="shared" si="272"/>
        <v>1077454</v>
      </c>
      <c r="AR269" s="13" t="e">
        <f t="shared" si="273"/>
        <v>#DIV/0!</v>
      </c>
      <c r="AS269" s="17">
        <f t="shared" si="274"/>
        <v>642059</v>
      </c>
      <c r="AT269" s="18">
        <f t="shared" si="275"/>
        <v>0.59590386225305214</v>
      </c>
    </row>
    <row r="270" spans="1:46" ht="14.25" hidden="1" customHeight="1">
      <c r="A270" t="s">
        <v>11</v>
      </c>
      <c r="B270" t="s">
        <v>12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O270" s="7"/>
      <c r="AP270" s="8"/>
      <c r="AQ270" s="12"/>
      <c r="AR270" s="13"/>
      <c r="AS270" s="17"/>
      <c r="AT270" s="18"/>
    </row>
    <row r="271" spans="1:46">
      <c r="A271" t="s">
        <v>229</v>
      </c>
      <c r="C271">
        <v>79289557</v>
      </c>
      <c r="D271" s="1">
        <v>79207776</v>
      </c>
      <c r="E271" s="1">
        <v>78739469</v>
      </c>
      <c r="F271" s="1">
        <v>78495327</v>
      </c>
      <c r="G271" s="1">
        <v>77892394</v>
      </c>
      <c r="H271" s="1">
        <v>77533919</v>
      </c>
      <c r="I271" s="1">
        <v>77335816</v>
      </c>
      <c r="J271" s="1">
        <v>77557896</v>
      </c>
      <c r="K271" s="1">
        <v>77435465</v>
      </c>
      <c r="L271" s="1">
        <v>75434078</v>
      </c>
      <c r="M271" s="1">
        <v>75300412</v>
      </c>
      <c r="N271" s="1">
        <v>72877316</v>
      </c>
      <c r="O271" s="1">
        <v>72644274</v>
      </c>
      <c r="P271" s="1">
        <v>68658872</v>
      </c>
      <c r="Q271" s="1">
        <v>68539789</v>
      </c>
      <c r="R271" s="1">
        <v>69825142</v>
      </c>
      <c r="S271" s="1">
        <v>68248104</v>
      </c>
      <c r="T271" s="1">
        <v>68173582</v>
      </c>
      <c r="U271" s="1">
        <v>69962967</v>
      </c>
      <c r="V271" s="1">
        <v>70818884</v>
      </c>
      <c r="W271" s="1">
        <v>70729078</v>
      </c>
      <c r="X271" s="1">
        <v>70461654</v>
      </c>
      <c r="Y271" s="1">
        <v>71809210</v>
      </c>
      <c r="Z271" s="1">
        <v>73137887</v>
      </c>
      <c r="AA271" s="1">
        <v>74499037</v>
      </c>
      <c r="AB271" s="1">
        <v>75877517</v>
      </c>
      <c r="AC271" s="1">
        <v>77793816</v>
      </c>
      <c r="AD271" s="1">
        <v>81726390</v>
      </c>
      <c r="AE271" s="1">
        <v>88611047</v>
      </c>
      <c r="AF271" s="1">
        <v>95338246</v>
      </c>
      <c r="AG271" s="1">
        <v>101203431</v>
      </c>
      <c r="AH271" s="1">
        <v>108519598</v>
      </c>
      <c r="AI271" s="1">
        <v>110498237</v>
      </c>
      <c r="AJ271" s="1">
        <v>111234381</v>
      </c>
      <c r="AK271" s="1">
        <v>113929338</v>
      </c>
      <c r="AL271" s="1">
        <v>114303301</v>
      </c>
      <c r="AM271" s="1">
        <v>114796057</v>
      </c>
      <c r="AO271" s="7">
        <f t="shared" ref="AO271" si="276">+O271-C271</f>
        <v>-6645283</v>
      </c>
      <c r="AP271" s="8">
        <f t="shared" ref="AP271" si="277">+(O271/C271)-1</f>
        <v>-8.3810318173425991E-2</v>
      </c>
      <c r="AQ271" s="12">
        <f t="shared" ref="AQ271" si="278">+(AA271-O271)</f>
        <v>1854763</v>
      </c>
      <c r="AR271" s="13">
        <f t="shared" ref="AR271" si="279">+(AA271/O271)-1</f>
        <v>2.5532129345803734E-2</v>
      </c>
      <c r="AS271" s="17">
        <f t="shared" ref="AS271" si="280">+AM271-AA271</f>
        <v>40297020</v>
      </c>
      <c r="AT271" s="18">
        <f t="shared" ref="AT271" si="281">+(AM271/AA271)-1</f>
        <v>0.54090658916839418</v>
      </c>
    </row>
    <row r="272" spans="1:46" ht="14.25" hidden="1" customHeight="1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46" ht="14.25" hidden="1" customHeight="1">
      <c r="A273" t="s">
        <v>230</v>
      </c>
      <c r="B273">
        <v>710585</v>
      </c>
      <c r="C273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O273" s="7">
        <f t="shared" ref="AO273" si="282">+O273-C273</f>
        <v>0</v>
      </c>
      <c r="AP273" s="8" t="e">
        <f t="shared" ref="AP273" si="283">+(O273/C273)-1</f>
        <v>#DIV/0!</v>
      </c>
      <c r="AQ273" s="12">
        <f t="shared" ref="AQ273" si="284">+(AA273-O273)</f>
        <v>0</v>
      </c>
      <c r="AR273" s="13" t="e">
        <f t="shared" ref="AR273" si="285">+(AA273/O273)-1</f>
        <v>#DIV/0!</v>
      </c>
      <c r="AS273" s="17">
        <f t="shared" ref="AS273" si="286">+AM273-AA273</f>
        <v>0</v>
      </c>
      <c r="AT273" s="18" t="e">
        <f t="shared" ref="AT273" si="287">+(AM273/AA273)-1</f>
        <v>#DIV/0!</v>
      </c>
    </row>
    <row r="274" spans="1:46" ht="14.25" hidden="1" customHeight="1">
      <c r="A274" t="s">
        <v>11</v>
      </c>
      <c r="B274" t="s">
        <v>12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46" ht="14.25" hidden="1" customHeight="1">
      <c r="A275" t="s">
        <v>231</v>
      </c>
      <c r="C275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O275" s="7">
        <f t="shared" ref="AO275" si="288">+O275-C275</f>
        <v>0</v>
      </c>
      <c r="AP275" s="8" t="e">
        <f t="shared" ref="AP275" si="289">+(O275/C275)-1</f>
        <v>#DIV/0!</v>
      </c>
      <c r="AQ275" s="12">
        <f t="shared" ref="AQ275" si="290">+(AA275-O275)</f>
        <v>0</v>
      </c>
      <c r="AR275" s="13" t="e">
        <f t="shared" ref="AR275" si="291">+(AA275/O275)-1</f>
        <v>#DIV/0!</v>
      </c>
      <c r="AS275" s="17">
        <f t="shared" ref="AS275" si="292">+AM275-AA275</f>
        <v>0</v>
      </c>
      <c r="AT275" s="18" t="e">
        <f t="shared" ref="AT275" si="293">+(AM275/AA275)-1</f>
        <v>#DIV/0!</v>
      </c>
    </row>
    <row r="276" spans="1:46" ht="14.25" hidden="1" customHeight="1">
      <c r="A276" t="s">
        <v>11</v>
      </c>
      <c r="B276" t="s">
        <v>12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46">
      <c r="A277" t="s">
        <v>232</v>
      </c>
      <c r="C277">
        <v>99765407</v>
      </c>
      <c r="D277" s="1">
        <v>99674656</v>
      </c>
      <c r="E277" s="1">
        <v>99119080</v>
      </c>
      <c r="F277" s="1">
        <v>98847172</v>
      </c>
      <c r="G277" s="1">
        <v>98180632</v>
      </c>
      <c r="H277" s="1">
        <v>97956858</v>
      </c>
      <c r="I277" s="1">
        <v>97678011</v>
      </c>
      <c r="J277" s="1">
        <v>97795546</v>
      </c>
      <c r="K277" s="1">
        <v>97632174</v>
      </c>
      <c r="L277" s="1">
        <v>95499537</v>
      </c>
      <c r="M277" s="1">
        <v>95369868</v>
      </c>
      <c r="N277" s="1">
        <v>92920276</v>
      </c>
      <c r="O277" s="1">
        <v>93009595</v>
      </c>
      <c r="P277" s="1">
        <v>89035536</v>
      </c>
      <c r="Q277" s="1">
        <v>88809790</v>
      </c>
      <c r="R277" s="1">
        <v>90068337</v>
      </c>
      <c r="S277" s="1">
        <v>88391767</v>
      </c>
      <c r="T277" s="1">
        <v>88231087</v>
      </c>
      <c r="U277" s="1">
        <v>89879917</v>
      </c>
      <c r="V277" s="1">
        <v>89625091</v>
      </c>
      <c r="W277" s="1">
        <v>89399931</v>
      </c>
      <c r="X277" s="1">
        <v>88892061</v>
      </c>
      <c r="Y277" s="1">
        <v>90528630</v>
      </c>
      <c r="Z277" s="1">
        <v>92136356</v>
      </c>
      <c r="AA277" s="1">
        <v>93747780</v>
      </c>
      <c r="AB277" s="1">
        <v>95363156</v>
      </c>
      <c r="AC277" s="1">
        <v>98329598</v>
      </c>
      <c r="AD277" s="1">
        <v>103300281</v>
      </c>
      <c r="AE277" s="1">
        <v>112002330</v>
      </c>
      <c r="AF277" s="1">
        <v>120505355</v>
      </c>
      <c r="AG277" s="1">
        <v>127918815</v>
      </c>
      <c r="AH277" s="1">
        <v>137166281</v>
      </c>
      <c r="AI277" s="1">
        <v>139667236</v>
      </c>
      <c r="AJ277" s="1">
        <v>140597704</v>
      </c>
      <c r="AK277" s="1">
        <v>144004069</v>
      </c>
      <c r="AL277" s="1">
        <v>144476749</v>
      </c>
      <c r="AM277" s="1">
        <v>145099581</v>
      </c>
      <c r="AO277" s="7">
        <f t="shared" ref="AO277" si="294">+O277-C277</f>
        <v>-6755812</v>
      </c>
      <c r="AP277" s="8">
        <f t="shared" ref="AP277" si="295">+(O277/C277)-1</f>
        <v>-6.7716979293233392E-2</v>
      </c>
      <c r="AQ277" s="12">
        <f t="shared" ref="AQ277" si="296">+(AA277-O277)</f>
        <v>738185</v>
      </c>
      <c r="AR277" s="13">
        <f t="shared" ref="AR277" si="297">+(AA277/O277)-1</f>
        <v>7.936654277443056E-3</v>
      </c>
      <c r="AS277" s="17">
        <f t="shared" ref="AS277" si="298">+AM277-AA277</f>
        <v>51351801</v>
      </c>
      <c r="AT277" s="18">
        <f t="shared" ref="AT277" si="299">+(AM277/AA277)-1</f>
        <v>0.54776551508739724</v>
      </c>
    </row>
    <row r="278" spans="1:46" ht="14.25" hidden="1" customHeight="1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46" ht="14.25" hidden="1" customHeight="1">
      <c r="A279" t="s">
        <v>233</v>
      </c>
      <c r="B279">
        <v>710605</v>
      </c>
      <c r="C279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O279" s="7">
        <f t="shared" ref="AO279:AO285" si="300">+O279-C279</f>
        <v>0</v>
      </c>
      <c r="AP279" s="8" t="e">
        <f t="shared" ref="AP279:AP285" si="301">+(O279/C279)-1</f>
        <v>#DIV/0!</v>
      </c>
      <c r="AQ279" s="12">
        <f t="shared" ref="AQ279:AQ285" si="302">+(AA279-O279)</f>
        <v>0</v>
      </c>
      <c r="AR279" s="13" t="e">
        <f t="shared" ref="AR279:AR285" si="303">+(AA279/O279)-1</f>
        <v>#DIV/0!</v>
      </c>
      <c r="AS279" s="17">
        <f t="shared" ref="AS279:AS285" si="304">+AM279-AA279</f>
        <v>0</v>
      </c>
      <c r="AT279" s="18" t="e">
        <f t="shared" ref="AT279:AT285" si="305">+(AM279/AA279)-1</f>
        <v>#DIV/0!</v>
      </c>
    </row>
    <row r="280" spans="1:46" ht="14.25" hidden="1" customHeight="1">
      <c r="A280" t="s">
        <v>234</v>
      </c>
      <c r="B280">
        <v>710610</v>
      </c>
      <c r="C280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O280" s="7">
        <f t="shared" si="300"/>
        <v>0</v>
      </c>
      <c r="AP280" s="8" t="e">
        <f t="shared" si="301"/>
        <v>#DIV/0!</v>
      </c>
      <c r="AQ280" s="12">
        <f t="shared" si="302"/>
        <v>0</v>
      </c>
      <c r="AR280" s="13" t="e">
        <f t="shared" si="303"/>
        <v>#DIV/0!</v>
      </c>
      <c r="AS280" s="17">
        <f t="shared" si="304"/>
        <v>0</v>
      </c>
      <c r="AT280" s="18" t="e">
        <f t="shared" si="305"/>
        <v>#DIV/0!</v>
      </c>
    </row>
    <row r="281" spans="1:46" ht="14.25" hidden="1" customHeight="1">
      <c r="A281" t="s">
        <v>235</v>
      </c>
      <c r="B281">
        <v>710615</v>
      </c>
      <c r="C281">
        <v>76473566</v>
      </c>
      <c r="D281" s="1">
        <v>75566658</v>
      </c>
      <c r="E281" s="1">
        <v>74233888</v>
      </c>
      <c r="F281" s="1">
        <v>73579973</v>
      </c>
      <c r="G281" s="1">
        <v>73166336</v>
      </c>
      <c r="H281" s="1">
        <v>73130702</v>
      </c>
      <c r="I281" s="1">
        <v>73394301</v>
      </c>
      <c r="J281" s="1">
        <v>74441836</v>
      </c>
      <c r="K281" s="1">
        <v>75029744</v>
      </c>
      <c r="L281" s="1">
        <v>75326657</v>
      </c>
      <c r="M281" s="1">
        <v>75285222</v>
      </c>
      <c r="N281" s="1">
        <v>75221397</v>
      </c>
      <c r="O281" s="1">
        <v>75782545</v>
      </c>
      <c r="P281" s="1">
        <v>75786750</v>
      </c>
      <c r="Q281" s="1">
        <v>77014753</v>
      </c>
      <c r="R281" s="1">
        <v>77391942</v>
      </c>
      <c r="S281" s="1">
        <v>77823147</v>
      </c>
      <c r="T281" s="1">
        <v>77864389</v>
      </c>
      <c r="U281" s="1">
        <v>78393843</v>
      </c>
      <c r="V281" s="1">
        <v>78427399</v>
      </c>
      <c r="W281" s="1">
        <v>78694777</v>
      </c>
      <c r="X281" s="1">
        <v>79168430</v>
      </c>
      <c r="Y281" s="1">
        <v>79837454</v>
      </c>
      <c r="Z281" s="1">
        <v>79616800</v>
      </c>
      <c r="AA281" s="1">
        <v>79500708</v>
      </c>
      <c r="AB281" s="1">
        <v>79838621</v>
      </c>
      <c r="AC281" s="1">
        <v>79608088</v>
      </c>
      <c r="AD281" s="1">
        <v>80088795</v>
      </c>
      <c r="AE281" s="1">
        <v>81196298</v>
      </c>
      <c r="AF281" s="1">
        <v>81572762</v>
      </c>
      <c r="AG281" s="1">
        <v>82776002</v>
      </c>
      <c r="AH281" s="1">
        <v>83450521</v>
      </c>
      <c r="AI281" s="1">
        <v>84499285</v>
      </c>
      <c r="AJ281" s="1">
        <v>85336227</v>
      </c>
      <c r="AK281" s="1">
        <v>85177071</v>
      </c>
      <c r="AL281" s="1">
        <v>85109276</v>
      </c>
      <c r="AM281" s="1">
        <v>84711933</v>
      </c>
      <c r="AO281" s="7">
        <f t="shared" si="300"/>
        <v>-691021</v>
      </c>
      <c r="AP281" s="8">
        <f t="shared" si="301"/>
        <v>-9.0360765967157919E-3</v>
      </c>
      <c r="AQ281" s="12">
        <f t="shared" si="302"/>
        <v>3718163</v>
      </c>
      <c r="AR281" s="13">
        <f t="shared" si="303"/>
        <v>4.9063580538236007E-2</v>
      </c>
      <c r="AS281" s="17">
        <f t="shared" si="304"/>
        <v>5211225</v>
      </c>
      <c r="AT281" s="18">
        <f t="shared" si="305"/>
        <v>6.5549416239160996E-2</v>
      </c>
    </row>
    <row r="282" spans="1:46" ht="14.25" hidden="1" customHeight="1">
      <c r="A282" t="s">
        <v>236</v>
      </c>
      <c r="B282">
        <v>710620</v>
      </c>
      <c r="C282">
        <v>6488466</v>
      </c>
      <c r="D282" s="1">
        <v>6356844</v>
      </c>
      <c r="E282" s="1">
        <v>6318189</v>
      </c>
      <c r="F282" s="1">
        <v>6330083</v>
      </c>
      <c r="G282" s="1">
        <v>6341450</v>
      </c>
      <c r="H282" s="1">
        <v>6364395</v>
      </c>
      <c r="I282" s="1">
        <v>6350432</v>
      </c>
      <c r="J282" s="1">
        <v>6362375</v>
      </c>
      <c r="K282" s="1">
        <v>6330977</v>
      </c>
      <c r="L282" s="1">
        <v>6468523</v>
      </c>
      <c r="M282" s="1">
        <v>6438249</v>
      </c>
      <c r="N282" s="1">
        <v>6451766</v>
      </c>
      <c r="O282" s="1">
        <v>6638443</v>
      </c>
      <c r="P282" s="1">
        <v>6510827</v>
      </c>
      <c r="Q282" s="1">
        <v>6302517</v>
      </c>
      <c r="R282" s="1">
        <v>6327678</v>
      </c>
      <c r="S282" s="1">
        <v>6552039</v>
      </c>
      <c r="T282" s="1">
        <v>6633377</v>
      </c>
      <c r="U282" s="1">
        <v>6684010</v>
      </c>
      <c r="V282" s="1">
        <v>6717967</v>
      </c>
      <c r="W282" s="1">
        <v>6871335</v>
      </c>
      <c r="X282" s="1">
        <v>6916824</v>
      </c>
      <c r="Y282" s="1">
        <v>6979464</v>
      </c>
      <c r="Z282" s="1">
        <v>6964373</v>
      </c>
      <c r="AA282" s="1">
        <v>6958432</v>
      </c>
      <c r="AB282" s="1">
        <v>6971211</v>
      </c>
      <c r="AC282" s="1">
        <v>6951082</v>
      </c>
      <c r="AD282" s="1">
        <v>6993055</v>
      </c>
      <c r="AE282" s="1">
        <v>7089758</v>
      </c>
      <c r="AF282" s="1">
        <v>7122630</v>
      </c>
      <c r="AG282" s="1">
        <v>7227692</v>
      </c>
      <c r="AH282" s="1">
        <v>7286589</v>
      </c>
      <c r="AI282" s="1">
        <v>7378163</v>
      </c>
      <c r="AJ282" s="1">
        <v>7451242</v>
      </c>
      <c r="AK282" s="1">
        <v>7437345</v>
      </c>
      <c r="AL282" s="1">
        <v>7431425</v>
      </c>
      <c r="AM282" s="1">
        <v>7396731</v>
      </c>
      <c r="AO282" s="7">
        <f t="shared" si="300"/>
        <v>149977</v>
      </c>
      <c r="AP282" s="8">
        <f t="shared" si="301"/>
        <v>2.311440022957667E-2</v>
      </c>
      <c r="AQ282" s="12">
        <f t="shared" si="302"/>
        <v>319989</v>
      </c>
      <c r="AR282" s="13">
        <f t="shared" si="303"/>
        <v>4.8202417343946369E-2</v>
      </c>
      <c r="AS282" s="17">
        <f t="shared" si="304"/>
        <v>438299</v>
      </c>
      <c r="AT282" s="18">
        <f t="shared" si="305"/>
        <v>6.2988184694482863E-2</v>
      </c>
    </row>
    <row r="283" spans="1:46" ht="14.25" hidden="1" customHeight="1">
      <c r="A283" t="s">
        <v>237</v>
      </c>
      <c r="B283">
        <v>710623</v>
      </c>
      <c r="C283">
        <v>7256485</v>
      </c>
      <c r="D283" s="1">
        <v>7293001</v>
      </c>
      <c r="E283" s="1">
        <v>7165188</v>
      </c>
      <c r="F283" s="1">
        <v>7257065</v>
      </c>
      <c r="G283" s="1">
        <v>7414349</v>
      </c>
      <c r="H283" s="1">
        <v>7520849</v>
      </c>
      <c r="I283" s="1">
        <v>7844545</v>
      </c>
      <c r="J283" s="1">
        <v>7993290</v>
      </c>
      <c r="K283" s="1">
        <v>7974076</v>
      </c>
      <c r="L283" s="1">
        <v>8013098</v>
      </c>
      <c r="M283" s="1">
        <v>8009264</v>
      </c>
      <c r="N283" s="1">
        <v>8097850</v>
      </c>
      <c r="O283" s="1">
        <v>8386635</v>
      </c>
      <c r="P283" s="1">
        <v>8365412</v>
      </c>
      <c r="Q283" s="1">
        <v>8412773</v>
      </c>
      <c r="R283" s="1">
        <v>8307194</v>
      </c>
      <c r="S283" s="1">
        <v>8595290</v>
      </c>
      <c r="T283" s="1">
        <v>8855513</v>
      </c>
      <c r="U283" s="1">
        <v>9051522</v>
      </c>
      <c r="V283" s="1">
        <v>9317366</v>
      </c>
      <c r="W283" s="1">
        <v>9460367</v>
      </c>
      <c r="X283" s="1">
        <v>9204258</v>
      </c>
      <c r="Y283" s="1">
        <v>8677167</v>
      </c>
      <c r="Z283" s="1">
        <v>9094570</v>
      </c>
      <c r="AA283" s="1">
        <v>9526616</v>
      </c>
      <c r="AB283" s="1">
        <v>9597875</v>
      </c>
      <c r="AC283" s="1">
        <v>9570162</v>
      </c>
      <c r="AD283" s="1">
        <v>9627950</v>
      </c>
      <c r="AE283" s="1">
        <v>9761090</v>
      </c>
      <c r="AF283" s="1">
        <v>9806347</v>
      </c>
      <c r="AG283" s="1">
        <v>9950995</v>
      </c>
      <c r="AH283" s="1">
        <v>10032083</v>
      </c>
      <c r="AI283" s="1">
        <v>10158162</v>
      </c>
      <c r="AJ283" s="1">
        <v>10258775</v>
      </c>
      <c r="AK283" s="1">
        <v>10239642</v>
      </c>
      <c r="AL283" s="1">
        <v>10231492</v>
      </c>
      <c r="AM283" s="1">
        <v>10183725</v>
      </c>
      <c r="AO283" s="7">
        <f t="shared" si="300"/>
        <v>1130150</v>
      </c>
      <c r="AP283" s="8">
        <f t="shared" si="301"/>
        <v>0.1557434487909779</v>
      </c>
      <c r="AQ283" s="12">
        <f t="shared" si="302"/>
        <v>1139981</v>
      </c>
      <c r="AR283" s="13">
        <f t="shared" si="303"/>
        <v>0.13592829543672758</v>
      </c>
      <c r="AS283" s="17">
        <f t="shared" si="304"/>
        <v>657109</v>
      </c>
      <c r="AT283" s="18">
        <f t="shared" si="305"/>
        <v>6.897611911721846E-2</v>
      </c>
    </row>
    <row r="284" spans="1:46" ht="14.25" hidden="1" customHeight="1">
      <c r="A284" t="s">
        <v>238</v>
      </c>
      <c r="B284">
        <v>710622</v>
      </c>
      <c r="C284">
        <v>20356</v>
      </c>
      <c r="D284" s="1">
        <v>42815</v>
      </c>
      <c r="E284" s="1">
        <v>64422</v>
      </c>
      <c r="F284" s="1">
        <v>58284</v>
      </c>
      <c r="G284" s="1">
        <v>59004</v>
      </c>
      <c r="H284" s="1">
        <v>88338</v>
      </c>
      <c r="I284" s="1">
        <v>91565</v>
      </c>
      <c r="J284" s="1">
        <v>49376</v>
      </c>
      <c r="K284" s="1">
        <v>49638</v>
      </c>
      <c r="L284" s="1">
        <v>49579</v>
      </c>
      <c r="M284" s="1">
        <v>57929</v>
      </c>
      <c r="N284" s="1">
        <v>47461</v>
      </c>
      <c r="O284" s="1">
        <v>2700</v>
      </c>
      <c r="P284" s="1">
        <v>31251</v>
      </c>
      <c r="Q284" s="1">
        <v>46052</v>
      </c>
      <c r="R284" s="1">
        <v>46595</v>
      </c>
      <c r="S284" s="1">
        <v>91555</v>
      </c>
      <c r="T284" s="1">
        <v>72932</v>
      </c>
      <c r="U284" s="1">
        <v>86165</v>
      </c>
      <c r="V284" s="1">
        <v>74351</v>
      </c>
      <c r="W284" s="1">
        <v>67481</v>
      </c>
      <c r="X284" s="1">
        <v>58111</v>
      </c>
      <c r="Y284" s="1">
        <v>61895</v>
      </c>
      <c r="Z284" s="1">
        <v>64872</v>
      </c>
      <c r="AA284" s="1">
        <v>67954</v>
      </c>
      <c r="AB284" s="1">
        <v>68462</v>
      </c>
      <c r="AC284" s="1">
        <v>68264</v>
      </c>
      <c r="AD284" s="1">
        <v>68677</v>
      </c>
      <c r="AE284" s="1">
        <v>69626</v>
      </c>
      <c r="AF284" s="1">
        <v>69949</v>
      </c>
      <c r="AG284" s="1">
        <v>70981</v>
      </c>
      <c r="AH284" s="1">
        <v>71559</v>
      </c>
      <c r="AI284" s="1">
        <v>72459</v>
      </c>
      <c r="AJ284" s="1">
        <v>73176</v>
      </c>
      <c r="AK284" s="1">
        <v>73040</v>
      </c>
      <c r="AL284" s="1">
        <v>72982</v>
      </c>
      <c r="AM284" s="1">
        <v>72641</v>
      </c>
      <c r="AO284" s="7">
        <f t="shared" si="300"/>
        <v>-17656</v>
      </c>
      <c r="AP284" s="8">
        <f t="shared" si="301"/>
        <v>-0.86736097465120854</v>
      </c>
      <c r="AQ284" s="12">
        <f t="shared" si="302"/>
        <v>65254</v>
      </c>
      <c r="AR284" s="13">
        <f t="shared" si="303"/>
        <v>24.168148148148148</v>
      </c>
      <c r="AS284" s="17">
        <f t="shared" si="304"/>
        <v>4687</v>
      </c>
      <c r="AT284" s="18">
        <f t="shared" si="305"/>
        <v>6.8973128881302026E-2</v>
      </c>
    </row>
    <row r="285" spans="1:46" ht="14.25" hidden="1" customHeight="1">
      <c r="A285" t="s">
        <v>239</v>
      </c>
      <c r="B285">
        <v>710625</v>
      </c>
      <c r="C285">
        <v>937679</v>
      </c>
      <c r="D285" s="1">
        <v>1048434</v>
      </c>
      <c r="E285" s="1">
        <v>1030434</v>
      </c>
      <c r="F285" s="1">
        <v>1015163</v>
      </c>
      <c r="G285" s="1">
        <v>1017308</v>
      </c>
      <c r="H285" s="1">
        <v>1065219</v>
      </c>
      <c r="I285" s="1">
        <v>992990</v>
      </c>
      <c r="J285" s="1">
        <v>1015421</v>
      </c>
      <c r="K285" s="1">
        <v>940137</v>
      </c>
      <c r="L285" s="1">
        <v>903949</v>
      </c>
      <c r="M285" s="1">
        <v>931168</v>
      </c>
      <c r="N285" s="1">
        <v>922758</v>
      </c>
      <c r="O285" s="1">
        <v>881277</v>
      </c>
      <c r="P285" s="1">
        <v>966958</v>
      </c>
      <c r="Q285" s="1">
        <v>980406</v>
      </c>
      <c r="R285" s="1">
        <v>991875</v>
      </c>
      <c r="S285" s="1">
        <v>989947</v>
      </c>
      <c r="T285" s="1">
        <v>1009606</v>
      </c>
      <c r="U285" s="1">
        <v>968825</v>
      </c>
      <c r="V285" s="1">
        <v>992666</v>
      </c>
      <c r="W285" s="1">
        <v>1057229</v>
      </c>
      <c r="X285" s="1">
        <v>1064623</v>
      </c>
      <c r="Y285" s="1">
        <v>1074664</v>
      </c>
      <c r="Z285" s="1">
        <v>1072741</v>
      </c>
      <c r="AA285" s="1">
        <v>1072229</v>
      </c>
      <c r="AB285" s="1">
        <v>1072596</v>
      </c>
      <c r="AC285" s="1">
        <v>1069499</v>
      </c>
      <c r="AD285" s="1">
        <v>1075957</v>
      </c>
      <c r="AE285" s="1">
        <v>1090836</v>
      </c>
      <c r="AF285" s="1">
        <v>1095894</v>
      </c>
      <c r="AG285" s="1">
        <v>1112059</v>
      </c>
      <c r="AH285" s="1">
        <v>1121121</v>
      </c>
      <c r="AI285" s="1">
        <v>1135210</v>
      </c>
      <c r="AJ285" s="1">
        <v>1146454</v>
      </c>
      <c r="AK285" s="1">
        <v>1144316</v>
      </c>
      <c r="AL285" s="1">
        <v>1143405</v>
      </c>
      <c r="AM285" s="1">
        <v>1138067</v>
      </c>
      <c r="AO285" s="7">
        <f t="shared" si="300"/>
        <v>-56402</v>
      </c>
      <c r="AP285" s="8">
        <f t="shared" si="301"/>
        <v>-6.0150648569499809E-2</v>
      </c>
      <c r="AQ285" s="12">
        <f t="shared" si="302"/>
        <v>190952</v>
      </c>
      <c r="AR285" s="13">
        <f t="shared" si="303"/>
        <v>0.21667648196877942</v>
      </c>
      <c r="AS285" s="17">
        <f t="shared" si="304"/>
        <v>65838</v>
      </c>
      <c r="AT285" s="18">
        <f t="shared" si="305"/>
        <v>6.1402927919315786E-2</v>
      </c>
    </row>
    <row r="286" spans="1:46" ht="14.25" hidden="1" customHeight="1">
      <c r="A286" t="s">
        <v>11</v>
      </c>
      <c r="B286" t="s">
        <v>12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46">
      <c r="A287" t="s">
        <v>235</v>
      </c>
      <c r="C287">
        <v>91176551</v>
      </c>
      <c r="D287" s="1">
        <v>90307753</v>
      </c>
      <c r="E287" s="1">
        <v>88812121</v>
      </c>
      <c r="F287" s="1">
        <v>88240567</v>
      </c>
      <c r="G287" s="1">
        <v>87998447</v>
      </c>
      <c r="H287" s="1">
        <v>88169503</v>
      </c>
      <c r="I287" s="1">
        <v>88673833</v>
      </c>
      <c r="J287" s="1">
        <v>89862297</v>
      </c>
      <c r="K287" s="1">
        <v>90324573</v>
      </c>
      <c r="L287" s="1">
        <v>90761806</v>
      </c>
      <c r="M287" s="1">
        <v>90721832</v>
      </c>
      <c r="N287" s="1">
        <v>90741232</v>
      </c>
      <c r="O287" s="1">
        <v>91691600</v>
      </c>
      <c r="P287" s="1">
        <v>91661199</v>
      </c>
      <c r="Q287" s="1">
        <v>92756501</v>
      </c>
      <c r="R287" s="1">
        <v>93065284</v>
      </c>
      <c r="S287" s="1">
        <v>94051978</v>
      </c>
      <c r="T287" s="1">
        <v>94435818</v>
      </c>
      <c r="U287" s="1">
        <v>95184364</v>
      </c>
      <c r="V287" s="1">
        <v>95529749</v>
      </c>
      <c r="W287" s="1">
        <v>96151189</v>
      </c>
      <c r="X287" s="1">
        <v>96412246</v>
      </c>
      <c r="Y287" s="1">
        <v>96630645</v>
      </c>
      <c r="Z287" s="1">
        <v>96813357</v>
      </c>
      <c r="AA287" s="1">
        <v>97125938</v>
      </c>
      <c r="AB287" s="1">
        <v>97548766</v>
      </c>
      <c r="AC287" s="1">
        <v>97267095</v>
      </c>
      <c r="AD287" s="1">
        <v>97854435</v>
      </c>
      <c r="AE287" s="1">
        <v>99207609</v>
      </c>
      <c r="AF287" s="1">
        <v>99667581</v>
      </c>
      <c r="AG287" s="1">
        <v>101137729</v>
      </c>
      <c r="AH287" s="1">
        <v>101961874</v>
      </c>
      <c r="AI287" s="1">
        <v>103243279</v>
      </c>
      <c r="AJ287" s="1">
        <v>104265874</v>
      </c>
      <c r="AK287" s="1">
        <v>104071414</v>
      </c>
      <c r="AL287" s="1">
        <v>103988580</v>
      </c>
      <c r="AM287" s="1">
        <v>103503097</v>
      </c>
      <c r="AO287" s="7">
        <f t="shared" ref="AO287" si="306">+O287-C287</f>
        <v>515049</v>
      </c>
      <c r="AP287" s="8">
        <f t="shared" ref="AP287" si="307">+(O287/C287)-1</f>
        <v>5.6489195341464793E-3</v>
      </c>
      <c r="AQ287" s="12">
        <f t="shared" ref="AQ287" si="308">+(AA287-O287)</f>
        <v>5434338</v>
      </c>
      <c r="AR287" s="13">
        <f t="shared" ref="AR287" si="309">+(AA287/O287)-1</f>
        <v>5.9267566494640711E-2</v>
      </c>
      <c r="AS287" s="17">
        <f t="shared" ref="AS287" si="310">+AM287-AA287</f>
        <v>6377159</v>
      </c>
      <c r="AT287" s="18">
        <f t="shared" ref="AT287" si="311">+(AM287/AA287)-1</f>
        <v>6.5658660614428266E-2</v>
      </c>
    </row>
    <row r="288" spans="1:46" ht="14.25" hidden="1" customHeight="1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46" ht="14.25" hidden="1" customHeight="1">
      <c r="A289" t="s">
        <v>240</v>
      </c>
      <c r="B289">
        <v>710650</v>
      </c>
      <c r="C289">
        <v>409540</v>
      </c>
      <c r="D289" s="1">
        <v>393025</v>
      </c>
      <c r="E289" s="1">
        <v>384521</v>
      </c>
      <c r="F289" s="1">
        <v>373182</v>
      </c>
      <c r="G289" s="1">
        <v>355142</v>
      </c>
      <c r="H289" s="1">
        <v>339947</v>
      </c>
      <c r="I289" s="1">
        <v>321224</v>
      </c>
      <c r="J289" s="1">
        <v>309484</v>
      </c>
      <c r="K289" s="1">
        <v>301457</v>
      </c>
      <c r="L289" s="1">
        <v>293104</v>
      </c>
      <c r="M289" s="1">
        <v>282240</v>
      </c>
      <c r="N289" s="1">
        <v>273305</v>
      </c>
      <c r="O289" s="1">
        <v>255395</v>
      </c>
      <c r="P289" s="1">
        <v>246678</v>
      </c>
      <c r="Q289" s="1">
        <v>233943</v>
      </c>
      <c r="R289" s="1">
        <v>226628</v>
      </c>
      <c r="S289" s="1">
        <v>238528</v>
      </c>
      <c r="T289" s="1">
        <v>232197</v>
      </c>
      <c r="U289" s="1">
        <v>257731</v>
      </c>
      <c r="V289" s="1">
        <v>252821</v>
      </c>
      <c r="W289" s="1">
        <v>203605</v>
      </c>
      <c r="X289" s="1">
        <v>207054</v>
      </c>
      <c r="Y289" s="1">
        <v>205690</v>
      </c>
      <c r="Z289" s="1">
        <v>205710</v>
      </c>
      <c r="AA289" s="1">
        <v>206358</v>
      </c>
      <c r="AB289" s="1">
        <v>206982</v>
      </c>
      <c r="AC289" s="1">
        <v>205417</v>
      </c>
      <c r="AD289" s="1">
        <v>205229</v>
      </c>
      <c r="AE289" s="1">
        <v>205523</v>
      </c>
      <c r="AF289" s="1">
        <v>213890</v>
      </c>
      <c r="AG289" s="1">
        <v>213212</v>
      </c>
      <c r="AH289" s="1">
        <v>212026</v>
      </c>
      <c r="AI289" s="1">
        <v>208348</v>
      </c>
      <c r="AJ289" s="1">
        <v>221151</v>
      </c>
      <c r="AK289" s="1">
        <v>218932</v>
      </c>
      <c r="AL289" s="1">
        <v>214139</v>
      </c>
      <c r="AM289" s="1">
        <v>213212</v>
      </c>
      <c r="AO289" s="7">
        <f t="shared" ref="AO289:AO290" si="312">+O289-C289</f>
        <v>-154145</v>
      </c>
      <c r="AP289" s="8">
        <f t="shared" ref="AP289:AP290" si="313">+(O289/C289)-1</f>
        <v>-0.37638570103042435</v>
      </c>
      <c r="AQ289" s="12">
        <f t="shared" ref="AQ289:AQ290" si="314">+(AA289-O289)</f>
        <v>-49037</v>
      </c>
      <c r="AR289" s="13">
        <f t="shared" ref="AR289:AR290" si="315">+(AA289/O289)-1</f>
        <v>-0.19200454198398564</v>
      </c>
      <c r="AS289" s="17">
        <f t="shared" ref="AS289:AS290" si="316">+AM289-AA289</f>
        <v>6854</v>
      </c>
      <c r="AT289" s="18">
        <f t="shared" ref="AT289:AT290" si="317">+(AM289/AA289)-1</f>
        <v>3.3214123028910914E-2</v>
      </c>
    </row>
    <row r="290" spans="1:46" ht="14.25" hidden="1" customHeight="1">
      <c r="A290" t="s">
        <v>241</v>
      </c>
      <c r="B290">
        <v>710655</v>
      </c>
      <c r="C290">
        <v>1375458</v>
      </c>
      <c r="D290" s="1">
        <v>1470795</v>
      </c>
      <c r="E290" s="1">
        <v>1418696</v>
      </c>
      <c r="F290" s="1">
        <v>1355184</v>
      </c>
      <c r="G290" s="1">
        <v>1338127</v>
      </c>
      <c r="H290" s="1">
        <v>1302325</v>
      </c>
      <c r="I290" s="1">
        <v>1245401</v>
      </c>
      <c r="J290" s="1">
        <v>1177627</v>
      </c>
      <c r="K290" s="1">
        <v>1149670</v>
      </c>
      <c r="L290" s="1">
        <v>1124309</v>
      </c>
      <c r="M290" s="1">
        <v>1100457</v>
      </c>
      <c r="N290" s="1">
        <v>1073518</v>
      </c>
      <c r="O290" s="1">
        <v>1040457</v>
      </c>
      <c r="P290" s="1">
        <v>1044158</v>
      </c>
      <c r="Q290" s="1">
        <v>1042832</v>
      </c>
      <c r="R290" s="1">
        <v>1084616</v>
      </c>
      <c r="S290" s="1">
        <v>1274191</v>
      </c>
      <c r="T290" s="1">
        <v>1300099</v>
      </c>
      <c r="U290" s="1">
        <v>1350562</v>
      </c>
      <c r="V290" s="1">
        <v>1392351</v>
      </c>
      <c r="W290" s="1">
        <v>1532454</v>
      </c>
      <c r="X290" s="1">
        <v>1535223</v>
      </c>
      <c r="Y290" s="1">
        <v>1542567</v>
      </c>
      <c r="Z290" s="1">
        <v>1548297</v>
      </c>
      <c r="AA290" s="1">
        <v>1553177</v>
      </c>
      <c r="AB290" s="1">
        <v>1557869</v>
      </c>
      <c r="AC290" s="1">
        <v>1546091</v>
      </c>
      <c r="AD290" s="1">
        <v>1544678</v>
      </c>
      <c r="AE290" s="1">
        <v>1546889</v>
      </c>
      <c r="AF290" s="1">
        <v>1609868</v>
      </c>
      <c r="AG290" s="1">
        <v>1604763</v>
      </c>
      <c r="AH290" s="1">
        <v>1595836</v>
      </c>
      <c r="AI290" s="1">
        <v>1568153</v>
      </c>
      <c r="AJ290" s="1">
        <v>1664514</v>
      </c>
      <c r="AK290" s="1">
        <v>1647814</v>
      </c>
      <c r="AL290" s="1">
        <v>1611744</v>
      </c>
      <c r="AM290" s="1">
        <v>1604760</v>
      </c>
      <c r="AO290" s="7">
        <f t="shared" si="312"/>
        <v>-335001</v>
      </c>
      <c r="AP290" s="8">
        <f t="shared" si="313"/>
        <v>-0.24355596463141727</v>
      </c>
      <c r="AQ290" s="12">
        <f t="shared" si="314"/>
        <v>512720</v>
      </c>
      <c r="AR290" s="13">
        <f t="shared" si="315"/>
        <v>0.49278345957593639</v>
      </c>
      <c r="AS290" s="17">
        <f t="shared" si="316"/>
        <v>51583</v>
      </c>
      <c r="AT290" s="18">
        <f t="shared" si="317"/>
        <v>3.3211282423059263E-2</v>
      </c>
    </row>
    <row r="291" spans="1:46" ht="14.25" hidden="1" customHeight="1">
      <c r="A291" t="s">
        <v>11</v>
      </c>
      <c r="B291" t="s">
        <v>12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46">
      <c r="A292" t="s">
        <v>242</v>
      </c>
      <c r="C292">
        <v>1784998</v>
      </c>
      <c r="D292" s="1">
        <v>1863820</v>
      </c>
      <c r="E292" s="1">
        <v>1803217</v>
      </c>
      <c r="F292" s="1">
        <v>1728367</v>
      </c>
      <c r="G292" s="1">
        <v>1693269</v>
      </c>
      <c r="H292" s="1">
        <v>1642272</v>
      </c>
      <c r="I292" s="1">
        <v>1566625</v>
      </c>
      <c r="J292" s="1">
        <v>1487111</v>
      </c>
      <c r="K292" s="1">
        <v>1451127</v>
      </c>
      <c r="L292" s="1">
        <v>1417413</v>
      </c>
      <c r="M292" s="1">
        <v>1382697</v>
      </c>
      <c r="N292" s="1">
        <v>1346823</v>
      </c>
      <c r="O292" s="1">
        <v>1295852</v>
      </c>
      <c r="P292" s="1">
        <v>1290835</v>
      </c>
      <c r="Q292" s="1">
        <v>1276775</v>
      </c>
      <c r="R292" s="1">
        <v>1311244</v>
      </c>
      <c r="S292" s="1">
        <v>1512719</v>
      </c>
      <c r="T292" s="1">
        <v>1532296</v>
      </c>
      <c r="U292" s="1">
        <v>1608293</v>
      </c>
      <c r="V292" s="1">
        <v>1645172</v>
      </c>
      <c r="W292" s="1">
        <v>1736059</v>
      </c>
      <c r="X292" s="1">
        <v>1742278</v>
      </c>
      <c r="Y292" s="1">
        <v>1748257</v>
      </c>
      <c r="Z292" s="1">
        <v>1754007</v>
      </c>
      <c r="AA292" s="1">
        <v>1759535</v>
      </c>
      <c r="AB292" s="1">
        <v>1764851</v>
      </c>
      <c r="AC292" s="1">
        <v>1751508</v>
      </c>
      <c r="AD292" s="1">
        <v>1749907</v>
      </c>
      <c r="AE292" s="1">
        <v>1752412</v>
      </c>
      <c r="AF292" s="1">
        <v>1823759</v>
      </c>
      <c r="AG292" s="1">
        <v>1817975</v>
      </c>
      <c r="AH292" s="1">
        <v>1807862</v>
      </c>
      <c r="AI292" s="1">
        <v>1776501</v>
      </c>
      <c r="AJ292" s="1">
        <v>1885664</v>
      </c>
      <c r="AK292" s="1">
        <v>1866746</v>
      </c>
      <c r="AL292" s="1">
        <v>1825883</v>
      </c>
      <c r="AM292" s="1">
        <v>1817971</v>
      </c>
      <c r="AO292" s="7">
        <f t="shared" ref="AO292" si="318">+O292-C292</f>
        <v>-489146</v>
      </c>
      <c r="AP292" s="8">
        <f t="shared" ref="AP292" si="319">+(O292/C292)-1</f>
        <v>-0.27403167958731611</v>
      </c>
      <c r="AQ292" s="12">
        <f t="shared" ref="AQ292" si="320">+(AA292-O292)</f>
        <v>463683</v>
      </c>
      <c r="AR292" s="13">
        <f t="shared" ref="AR292" si="321">+(AA292/O292)-1</f>
        <v>0.35782095486212939</v>
      </c>
      <c r="AS292" s="17">
        <f t="shared" ref="AS292" si="322">+AM292-AA292</f>
        <v>58436</v>
      </c>
      <c r="AT292" s="18">
        <f t="shared" ref="AT292" si="323">+(AM292/AA292)-1</f>
        <v>3.3211047236912039E-2</v>
      </c>
    </row>
    <row r="293" spans="1:46" ht="14.25" hidden="1" customHeight="1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46" ht="14.25" hidden="1" customHeight="1">
      <c r="A294" t="s">
        <v>243</v>
      </c>
      <c r="B294">
        <v>710700</v>
      </c>
      <c r="C294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O294" s="7">
        <f t="shared" ref="AO294" si="324">+O294-C294</f>
        <v>0</v>
      </c>
      <c r="AP294" s="8" t="e">
        <f t="shared" ref="AP294" si="325">+(O294/C294)-1</f>
        <v>#DIV/0!</v>
      </c>
      <c r="AQ294" s="12">
        <f t="shared" ref="AQ294" si="326">+(AA294-O294)</f>
        <v>0</v>
      </c>
      <c r="AR294" s="13" t="e">
        <f t="shared" ref="AR294" si="327">+(AA294/O294)-1</f>
        <v>#DIV/0!</v>
      </c>
      <c r="AS294" s="17">
        <f t="shared" ref="AS294" si="328">+AM294-AA294</f>
        <v>0</v>
      </c>
      <c r="AT294" s="18" t="e">
        <f t="shared" ref="AT294" si="329">+(AM294/AA294)-1</f>
        <v>#DIV/0!</v>
      </c>
    </row>
    <row r="295" spans="1:46" ht="14.25" hidden="1" customHeight="1">
      <c r="A295" t="s">
        <v>11</v>
      </c>
      <c r="B295" t="s">
        <v>12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46" ht="14.25" hidden="1" customHeight="1">
      <c r="A296" t="s">
        <v>243</v>
      </c>
      <c r="C296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O296" s="7">
        <f t="shared" ref="AO296" si="330">+O296-C296</f>
        <v>0</v>
      </c>
      <c r="AP296" s="8" t="e">
        <f t="shared" ref="AP296" si="331">+(O296/C296)-1</f>
        <v>#DIV/0!</v>
      </c>
      <c r="AQ296" s="12">
        <f t="shared" ref="AQ296" si="332">+(AA296-O296)</f>
        <v>0</v>
      </c>
      <c r="AR296" s="13" t="e">
        <f t="shared" ref="AR296" si="333">+(AA296/O296)-1</f>
        <v>#DIV/0!</v>
      </c>
      <c r="AS296" s="17">
        <f t="shared" ref="AS296" si="334">+AM296-AA296</f>
        <v>0</v>
      </c>
      <c r="AT296" s="18" t="e">
        <f t="shared" ref="AT296" si="335">+(AM296/AA296)-1</f>
        <v>#DIV/0!</v>
      </c>
    </row>
    <row r="297" spans="1:46" ht="14.25" hidden="1" customHeight="1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O297" s="7"/>
      <c r="AP297" s="8"/>
      <c r="AQ297" s="12"/>
      <c r="AR297" s="13"/>
      <c r="AS297" s="17"/>
      <c r="AT297" s="18"/>
    </row>
    <row r="298" spans="1:46" ht="14.25" hidden="1" customHeight="1">
      <c r="A298" t="s">
        <v>244</v>
      </c>
      <c r="B298">
        <v>710705</v>
      </c>
      <c r="C298">
        <v>23167546</v>
      </c>
      <c r="D298" s="1">
        <v>23426339</v>
      </c>
      <c r="E298" s="1">
        <v>23619120</v>
      </c>
      <c r="F298" s="1">
        <v>23971865</v>
      </c>
      <c r="G298" s="1">
        <v>24751261</v>
      </c>
      <c r="H298" s="1">
        <v>25510855</v>
      </c>
      <c r="I298" s="1">
        <v>26063824</v>
      </c>
      <c r="J298" s="1">
        <v>26318901</v>
      </c>
      <c r="K298" s="1">
        <v>27113259</v>
      </c>
      <c r="L298" s="1">
        <v>27876404</v>
      </c>
      <c r="M298" s="1">
        <v>28593100</v>
      </c>
      <c r="N298" s="1">
        <v>29023050</v>
      </c>
      <c r="O298" s="1">
        <v>29456521</v>
      </c>
      <c r="P298" s="1">
        <v>29802552</v>
      </c>
      <c r="Q298" s="1">
        <v>30117997</v>
      </c>
      <c r="R298" s="1">
        <v>30959531</v>
      </c>
      <c r="S298" s="1">
        <v>31724932</v>
      </c>
      <c r="T298" s="1">
        <v>32305151</v>
      </c>
      <c r="U298" s="1">
        <v>32728386</v>
      </c>
      <c r="V298" s="1">
        <v>33147894</v>
      </c>
      <c r="W298" s="1">
        <v>33381451</v>
      </c>
      <c r="X298" s="1">
        <v>33814653</v>
      </c>
      <c r="Y298" s="1">
        <v>37999579</v>
      </c>
      <c r="Z298" s="1">
        <v>38002623</v>
      </c>
      <c r="AA298" s="1">
        <v>38082764</v>
      </c>
      <c r="AB298" s="1">
        <v>38181288</v>
      </c>
      <c r="AC298" s="1">
        <v>38226008</v>
      </c>
      <c r="AD298" s="1">
        <v>38388110</v>
      </c>
      <c r="AE298" s="1">
        <v>38666376</v>
      </c>
      <c r="AF298" s="1">
        <v>38830325</v>
      </c>
      <c r="AG298" s="1">
        <v>39142923</v>
      </c>
      <c r="AH298" s="1">
        <v>39378024</v>
      </c>
      <c r="AI298" s="1">
        <v>39685656</v>
      </c>
      <c r="AJ298" s="1">
        <v>39968045</v>
      </c>
      <c r="AK298" s="1">
        <v>40080775</v>
      </c>
      <c r="AL298" s="1">
        <v>40198540</v>
      </c>
      <c r="AM298" s="1">
        <v>40248713</v>
      </c>
      <c r="AO298" s="7">
        <f t="shared" ref="AO298:AO300" si="336">+O298-C298</f>
        <v>6288975</v>
      </c>
      <c r="AP298" s="8">
        <f t="shared" ref="AP298:AP300" si="337">+(O298/C298)-1</f>
        <v>0.27145624314288619</v>
      </c>
      <c r="AQ298" s="12">
        <f t="shared" ref="AQ298:AQ300" si="338">+(AA298-O298)</f>
        <v>8626243</v>
      </c>
      <c r="AR298" s="13">
        <f t="shared" ref="AR298:AR300" si="339">+(AA298/O298)-1</f>
        <v>0.2928466331784394</v>
      </c>
      <c r="AS298" s="17">
        <f t="shared" ref="AS298:AS300" si="340">+AM298-AA298</f>
        <v>2165949</v>
      </c>
      <c r="AT298" s="18">
        <f t="shared" ref="AT298:AT300" si="341">+(AM298/AA298)-1</f>
        <v>5.6874784613847984E-2</v>
      </c>
    </row>
    <row r="299" spans="1:46" ht="14.25" hidden="1" customHeight="1">
      <c r="A299" t="s">
        <v>245</v>
      </c>
      <c r="B299">
        <v>710710</v>
      </c>
      <c r="C299">
        <v>241379</v>
      </c>
      <c r="D299" s="1">
        <v>250953</v>
      </c>
      <c r="E299" s="1">
        <v>228960</v>
      </c>
      <c r="F299" s="1">
        <v>222058</v>
      </c>
      <c r="G299" s="1">
        <v>227899</v>
      </c>
      <c r="H299" s="1">
        <v>225755</v>
      </c>
      <c r="I299" s="1">
        <v>225299</v>
      </c>
      <c r="J299" s="1">
        <v>249533</v>
      </c>
      <c r="K299" s="1">
        <v>227323</v>
      </c>
      <c r="L299" s="1">
        <v>225531</v>
      </c>
      <c r="M299" s="1">
        <v>224810</v>
      </c>
      <c r="N299" s="1">
        <v>225620</v>
      </c>
      <c r="O299" s="1">
        <v>226836</v>
      </c>
      <c r="P299" s="1">
        <v>216955</v>
      </c>
      <c r="Q299" s="1">
        <v>215798</v>
      </c>
      <c r="R299" s="1">
        <v>218734</v>
      </c>
      <c r="S299" s="1">
        <v>221630</v>
      </c>
      <c r="T299" s="1">
        <v>217901</v>
      </c>
      <c r="U299" s="1">
        <v>222552</v>
      </c>
      <c r="V299" s="1">
        <v>224565</v>
      </c>
      <c r="W299" s="1">
        <v>222112</v>
      </c>
      <c r="X299" s="1">
        <v>206503</v>
      </c>
      <c r="Y299" s="1">
        <v>247838</v>
      </c>
      <c r="Z299" s="1">
        <v>252860</v>
      </c>
      <c r="AA299" s="1">
        <v>253393</v>
      </c>
      <c r="AB299" s="1">
        <v>254049</v>
      </c>
      <c r="AC299" s="1">
        <v>254346</v>
      </c>
      <c r="AD299" s="1">
        <v>255425</v>
      </c>
      <c r="AE299" s="1">
        <v>257276</v>
      </c>
      <c r="AF299" s="1">
        <v>258367</v>
      </c>
      <c r="AG299" s="1">
        <v>260447</v>
      </c>
      <c r="AH299" s="1">
        <v>262012</v>
      </c>
      <c r="AI299" s="1">
        <v>264058</v>
      </c>
      <c r="AJ299" s="1">
        <v>265937</v>
      </c>
      <c r="AK299" s="1">
        <v>266687</v>
      </c>
      <c r="AL299" s="1">
        <v>267471</v>
      </c>
      <c r="AM299" s="1">
        <v>267805</v>
      </c>
      <c r="AO299" s="7">
        <f t="shared" si="336"/>
        <v>-14543</v>
      </c>
      <c r="AP299" s="8">
        <f t="shared" si="337"/>
        <v>-6.0249648892405694E-2</v>
      </c>
      <c r="AQ299" s="12">
        <f t="shared" si="338"/>
        <v>26557</v>
      </c>
      <c r="AR299" s="13">
        <f t="shared" si="339"/>
        <v>0.11707577280502224</v>
      </c>
      <c r="AS299" s="17">
        <f t="shared" si="340"/>
        <v>14412</v>
      </c>
      <c r="AT299" s="18">
        <f t="shared" si="341"/>
        <v>5.6876077871133024E-2</v>
      </c>
    </row>
    <row r="300" spans="1:46" ht="14.25" hidden="1" customHeight="1">
      <c r="A300" t="s">
        <v>246</v>
      </c>
      <c r="B300">
        <v>710715</v>
      </c>
      <c r="C300">
        <v>1932628</v>
      </c>
      <c r="D300" s="1">
        <v>1899936</v>
      </c>
      <c r="E300" s="1">
        <v>1955824</v>
      </c>
      <c r="F300" s="1">
        <v>1987669</v>
      </c>
      <c r="G300" s="1">
        <v>2089769</v>
      </c>
      <c r="H300" s="1">
        <v>2171901</v>
      </c>
      <c r="I300" s="1">
        <v>2174497</v>
      </c>
      <c r="J300" s="1">
        <v>2139585</v>
      </c>
      <c r="K300" s="1">
        <v>2112127</v>
      </c>
      <c r="L300" s="1">
        <v>2134644</v>
      </c>
      <c r="M300" s="1">
        <v>2133325</v>
      </c>
      <c r="N300" s="1">
        <v>2223433</v>
      </c>
      <c r="O300" s="1">
        <v>2280903</v>
      </c>
      <c r="P300" s="1">
        <v>2246432</v>
      </c>
      <c r="Q300" s="1">
        <v>2279453</v>
      </c>
      <c r="R300" s="1">
        <v>2299493</v>
      </c>
      <c r="S300" s="1">
        <v>2289582</v>
      </c>
      <c r="T300" s="1">
        <v>2287157</v>
      </c>
      <c r="U300" s="1">
        <v>2401716</v>
      </c>
      <c r="V300" s="1">
        <v>2434390</v>
      </c>
      <c r="W300" s="1">
        <v>2559303</v>
      </c>
      <c r="X300" s="1">
        <v>2497279</v>
      </c>
      <c r="Y300" s="1">
        <v>2855740</v>
      </c>
      <c r="Z300" s="1">
        <v>2913601</v>
      </c>
      <c r="AA300" s="1">
        <v>2919745</v>
      </c>
      <c r="AB300" s="1">
        <v>2927299</v>
      </c>
      <c r="AC300" s="1">
        <v>2930727</v>
      </c>
      <c r="AD300" s="1">
        <v>2943155</v>
      </c>
      <c r="AE300" s="1">
        <v>2964490</v>
      </c>
      <c r="AF300" s="1">
        <v>2977059</v>
      </c>
      <c r="AG300" s="1">
        <v>3001026</v>
      </c>
      <c r="AH300" s="1">
        <v>3019051</v>
      </c>
      <c r="AI300" s="1">
        <v>3042636</v>
      </c>
      <c r="AJ300" s="1">
        <v>3064287</v>
      </c>
      <c r="AK300" s="1">
        <v>3072929</v>
      </c>
      <c r="AL300" s="1">
        <v>3081958</v>
      </c>
      <c r="AM300" s="1">
        <v>3085805</v>
      </c>
      <c r="AO300" s="7">
        <f t="shared" si="336"/>
        <v>348275</v>
      </c>
      <c r="AP300" s="8">
        <f t="shared" si="337"/>
        <v>0.18020798622393963</v>
      </c>
      <c r="AQ300" s="12">
        <f t="shared" si="338"/>
        <v>638842</v>
      </c>
      <c r="AR300" s="13">
        <f t="shared" si="339"/>
        <v>0.28008293206681745</v>
      </c>
      <c r="AS300" s="17">
        <f t="shared" si="340"/>
        <v>166060</v>
      </c>
      <c r="AT300" s="18">
        <f t="shared" si="341"/>
        <v>5.6874829822467277E-2</v>
      </c>
    </row>
    <row r="301" spans="1:46" ht="14.25" hidden="1" customHeight="1">
      <c r="A301" t="s">
        <v>11</v>
      </c>
      <c r="B301" t="s">
        <v>12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O301" s="7"/>
      <c r="AP301" s="8"/>
      <c r="AQ301" s="12"/>
      <c r="AR301" s="13"/>
      <c r="AS301" s="17"/>
      <c r="AT301" s="18"/>
    </row>
    <row r="302" spans="1:46">
      <c r="A302" t="s">
        <v>247</v>
      </c>
      <c r="C302">
        <v>25341554</v>
      </c>
      <c r="D302" s="1">
        <v>25577229</v>
      </c>
      <c r="E302" s="1">
        <v>25803904</v>
      </c>
      <c r="F302" s="1">
        <v>26181592</v>
      </c>
      <c r="G302" s="1">
        <v>27068928</v>
      </c>
      <c r="H302" s="1">
        <v>27908510</v>
      </c>
      <c r="I302" s="1">
        <v>28463620</v>
      </c>
      <c r="J302" s="1">
        <v>28708019</v>
      </c>
      <c r="K302" s="1">
        <v>29452709</v>
      </c>
      <c r="L302" s="1">
        <v>30236579</v>
      </c>
      <c r="M302" s="1">
        <v>30951235</v>
      </c>
      <c r="N302" s="1">
        <v>31472103</v>
      </c>
      <c r="O302" s="1">
        <v>31964260</v>
      </c>
      <c r="P302" s="1">
        <v>32265938</v>
      </c>
      <c r="Q302" s="1">
        <v>32613249</v>
      </c>
      <c r="R302" s="1">
        <v>33477757</v>
      </c>
      <c r="S302" s="1">
        <v>34236143</v>
      </c>
      <c r="T302" s="1">
        <v>34810209</v>
      </c>
      <c r="U302" s="1">
        <v>35352654</v>
      </c>
      <c r="V302" s="1">
        <v>35806848</v>
      </c>
      <c r="W302" s="1">
        <v>36162866</v>
      </c>
      <c r="X302" s="1">
        <v>36518435</v>
      </c>
      <c r="Y302" s="1">
        <v>41103157</v>
      </c>
      <c r="Z302" s="1">
        <v>41169084</v>
      </c>
      <c r="AA302" s="1">
        <v>41255902</v>
      </c>
      <c r="AB302" s="1">
        <v>41362636</v>
      </c>
      <c r="AC302" s="1">
        <v>41411081</v>
      </c>
      <c r="AD302" s="1">
        <v>41586690</v>
      </c>
      <c r="AE302" s="1">
        <v>41888142</v>
      </c>
      <c r="AF302" s="1">
        <v>42065751</v>
      </c>
      <c r="AG302" s="1">
        <v>42404395</v>
      </c>
      <c r="AH302" s="1">
        <v>42659086</v>
      </c>
      <c r="AI302" s="1">
        <v>42992350</v>
      </c>
      <c r="AJ302" s="1">
        <v>43298268</v>
      </c>
      <c r="AK302" s="1">
        <v>43420392</v>
      </c>
      <c r="AL302" s="1">
        <v>43547969</v>
      </c>
      <c r="AM302" s="1">
        <v>43602323</v>
      </c>
      <c r="AO302" s="7">
        <f t="shared" ref="AO302" si="342">+O302-C302</f>
        <v>6622706</v>
      </c>
      <c r="AP302" s="8">
        <f t="shared" ref="AP302" si="343">+(O302/C302)-1</f>
        <v>0.26133780114668581</v>
      </c>
      <c r="AQ302" s="12">
        <f t="shared" ref="AQ302" si="344">+(AA302-O302)</f>
        <v>9291642</v>
      </c>
      <c r="AR302" s="13">
        <f t="shared" ref="AR302" si="345">+(AA302/O302)-1</f>
        <v>0.2906884751907286</v>
      </c>
      <c r="AS302" s="17">
        <f t="shared" ref="AS302" si="346">+AM302-AA302</f>
        <v>2346421</v>
      </c>
      <c r="AT302" s="18">
        <f t="shared" ref="AT302" si="347">+(AM302/AA302)-1</f>
        <v>5.6874795756495677E-2</v>
      </c>
    </row>
    <row r="303" spans="1:46" ht="14.25" hidden="1" customHeight="1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O303" s="7"/>
      <c r="AP303" s="8"/>
      <c r="AQ303" s="12"/>
      <c r="AR303" s="13"/>
      <c r="AS303" s="17"/>
      <c r="AT303" s="18"/>
    </row>
    <row r="304" spans="1:46" ht="14.25" hidden="1" customHeight="1">
      <c r="A304" t="s">
        <v>248</v>
      </c>
      <c r="B304">
        <v>710805</v>
      </c>
      <c r="C304">
        <v>111437</v>
      </c>
      <c r="D304" s="1">
        <v>101590</v>
      </c>
      <c r="E304" s="1">
        <v>103329</v>
      </c>
      <c r="F304" s="1">
        <v>103018</v>
      </c>
      <c r="G304" s="1">
        <v>99848</v>
      </c>
      <c r="H304" s="1">
        <v>111467</v>
      </c>
      <c r="I304" s="1">
        <v>118526</v>
      </c>
      <c r="J304" s="1">
        <v>119060</v>
      </c>
      <c r="K304" s="1">
        <v>110764</v>
      </c>
      <c r="L304" s="1">
        <v>116742</v>
      </c>
      <c r="M304" s="1">
        <v>143627</v>
      </c>
      <c r="N304" s="1">
        <v>170939</v>
      </c>
      <c r="O304" s="1">
        <v>165299</v>
      </c>
      <c r="P304" s="1">
        <v>169182</v>
      </c>
      <c r="Q304" s="1">
        <v>190368</v>
      </c>
      <c r="R304" s="1">
        <v>211700</v>
      </c>
      <c r="S304" s="1">
        <v>213706</v>
      </c>
      <c r="T304" s="1">
        <v>222206</v>
      </c>
      <c r="U304" s="1">
        <v>220449</v>
      </c>
      <c r="V304" s="1">
        <v>194726</v>
      </c>
      <c r="W304" s="1">
        <v>187243</v>
      </c>
      <c r="X304" s="1">
        <v>182713</v>
      </c>
      <c r="Y304" s="1">
        <v>186883</v>
      </c>
      <c r="Z304" s="1">
        <v>186723</v>
      </c>
      <c r="AA304" s="1">
        <v>186712</v>
      </c>
      <c r="AB304" s="1">
        <v>186840</v>
      </c>
      <c r="AC304" s="1">
        <v>187098</v>
      </c>
      <c r="AD304" s="1">
        <v>187477</v>
      </c>
      <c r="AE304" s="1">
        <v>187971</v>
      </c>
      <c r="AF304" s="1">
        <v>188572</v>
      </c>
      <c r="AG304" s="1">
        <v>189274</v>
      </c>
      <c r="AH304" s="1">
        <v>190071</v>
      </c>
      <c r="AI304" s="1">
        <v>190956</v>
      </c>
      <c r="AJ304" s="1">
        <v>191926</v>
      </c>
      <c r="AK304" s="1">
        <v>192975</v>
      </c>
      <c r="AL304" s="1">
        <v>194099</v>
      </c>
      <c r="AM304" s="1">
        <v>195294</v>
      </c>
      <c r="AO304" s="7">
        <f t="shared" ref="AO304:AO308" si="348">+O304-C304</f>
        <v>53862</v>
      </c>
      <c r="AP304" s="8">
        <f t="shared" ref="AP304:AP308" si="349">+(O304/C304)-1</f>
        <v>0.48334036271615344</v>
      </c>
      <c r="AQ304" s="12">
        <f t="shared" ref="AQ304:AQ308" si="350">+(AA304-O304)</f>
        <v>21413</v>
      </c>
      <c r="AR304" s="13">
        <f t="shared" ref="AR304:AR308" si="351">+(AA304/O304)-1</f>
        <v>0.12954101355725078</v>
      </c>
      <c r="AS304" s="17">
        <f t="shared" ref="AS304:AS308" si="352">+AM304-AA304</f>
        <v>8582</v>
      </c>
      <c r="AT304" s="18">
        <f t="shared" ref="AT304:AT308" si="353">+(AM304/AA304)-1</f>
        <v>4.5963837353785619E-2</v>
      </c>
    </row>
    <row r="305" spans="1:46" ht="14.25" hidden="1" customHeight="1">
      <c r="A305" t="s">
        <v>249</v>
      </c>
      <c r="B305">
        <v>710807</v>
      </c>
      <c r="C305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O305" s="7">
        <f t="shared" si="348"/>
        <v>0</v>
      </c>
      <c r="AP305" s="8" t="e">
        <f t="shared" si="349"/>
        <v>#DIV/0!</v>
      </c>
      <c r="AQ305" s="12">
        <f t="shared" si="350"/>
        <v>0</v>
      </c>
      <c r="AR305" s="13" t="e">
        <f t="shared" si="351"/>
        <v>#DIV/0!</v>
      </c>
      <c r="AS305" s="17">
        <f t="shared" si="352"/>
        <v>0</v>
      </c>
      <c r="AT305" s="18" t="e">
        <f t="shared" si="353"/>
        <v>#DIV/0!</v>
      </c>
    </row>
    <row r="306" spans="1:46" ht="14.25" hidden="1" customHeight="1">
      <c r="A306" t="s">
        <v>250</v>
      </c>
      <c r="B306">
        <v>710810</v>
      </c>
      <c r="C306">
        <v>3232043</v>
      </c>
      <c r="D306" s="1">
        <v>3153292</v>
      </c>
      <c r="E306" s="1">
        <v>3212629</v>
      </c>
      <c r="F306" s="1">
        <v>3102976</v>
      </c>
      <c r="G306" s="1">
        <v>3087644</v>
      </c>
      <c r="H306" s="1">
        <v>3171216</v>
      </c>
      <c r="I306" s="1">
        <v>2978873</v>
      </c>
      <c r="J306" s="1">
        <v>2970245</v>
      </c>
      <c r="K306" s="1">
        <v>3007772</v>
      </c>
      <c r="L306" s="1">
        <v>2858791</v>
      </c>
      <c r="M306" s="1">
        <v>2793448</v>
      </c>
      <c r="N306" s="1">
        <v>2949190</v>
      </c>
      <c r="O306" s="1">
        <v>3125430</v>
      </c>
      <c r="P306" s="1">
        <v>3073042</v>
      </c>
      <c r="Q306" s="1">
        <v>2859101</v>
      </c>
      <c r="R306" s="1">
        <v>2817396</v>
      </c>
      <c r="S306" s="1">
        <v>2745165</v>
      </c>
      <c r="T306" s="1">
        <v>2686764</v>
      </c>
      <c r="U306" s="1">
        <v>2755615</v>
      </c>
      <c r="V306" s="1">
        <v>2710719</v>
      </c>
      <c r="W306" s="1">
        <v>2741314</v>
      </c>
      <c r="X306" s="1">
        <v>2742925</v>
      </c>
      <c r="Y306" s="1">
        <v>2736052</v>
      </c>
      <c r="Z306" s="1">
        <v>2733709</v>
      </c>
      <c r="AA306" s="1">
        <v>2733543</v>
      </c>
      <c r="AB306" s="1">
        <v>2735413</v>
      </c>
      <c r="AC306" s="1">
        <v>2739187</v>
      </c>
      <c r="AD306" s="1">
        <v>2744745</v>
      </c>
      <c r="AE306" s="1">
        <v>2751976</v>
      </c>
      <c r="AF306" s="1">
        <v>2760776</v>
      </c>
      <c r="AG306" s="1">
        <v>2771051</v>
      </c>
      <c r="AH306" s="1">
        <v>2782713</v>
      </c>
      <c r="AI306" s="1">
        <v>2795679</v>
      </c>
      <c r="AJ306" s="1">
        <v>2809876</v>
      </c>
      <c r="AK306" s="1">
        <v>2825234</v>
      </c>
      <c r="AL306" s="1">
        <v>2841689</v>
      </c>
      <c r="AM306" s="1">
        <v>2859183</v>
      </c>
      <c r="AO306" s="7">
        <f t="shared" si="348"/>
        <v>-106613</v>
      </c>
      <c r="AP306" s="8">
        <f t="shared" si="349"/>
        <v>-3.2986256680372139E-2</v>
      </c>
      <c r="AQ306" s="12">
        <f t="shared" si="350"/>
        <v>-391887</v>
      </c>
      <c r="AR306" s="13">
        <f t="shared" si="351"/>
        <v>-0.12538658680565551</v>
      </c>
      <c r="AS306" s="17">
        <f t="shared" si="352"/>
        <v>125640</v>
      </c>
      <c r="AT306" s="18">
        <f t="shared" si="353"/>
        <v>4.596232801166833E-2</v>
      </c>
    </row>
    <row r="307" spans="1:46" ht="14.25" hidden="1" customHeight="1">
      <c r="A307" t="s">
        <v>251</v>
      </c>
      <c r="B307">
        <v>710815</v>
      </c>
      <c r="C307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O307" s="7">
        <f t="shared" si="348"/>
        <v>0</v>
      </c>
      <c r="AP307" s="8" t="e">
        <f t="shared" si="349"/>
        <v>#DIV/0!</v>
      </c>
      <c r="AQ307" s="12">
        <f t="shared" si="350"/>
        <v>0</v>
      </c>
      <c r="AR307" s="13" t="e">
        <f t="shared" si="351"/>
        <v>#DIV/0!</v>
      </c>
      <c r="AS307" s="17">
        <f t="shared" si="352"/>
        <v>0</v>
      </c>
      <c r="AT307" s="18" t="e">
        <f t="shared" si="353"/>
        <v>#DIV/0!</v>
      </c>
    </row>
    <row r="308" spans="1:46" ht="14.25" hidden="1" customHeight="1">
      <c r="A308" t="s">
        <v>131</v>
      </c>
      <c r="C308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O308" s="7">
        <f t="shared" si="348"/>
        <v>0</v>
      </c>
      <c r="AP308" s="8" t="e">
        <f t="shared" si="349"/>
        <v>#DIV/0!</v>
      </c>
      <c r="AQ308" s="12">
        <f t="shared" si="350"/>
        <v>0</v>
      </c>
      <c r="AR308" s="13" t="e">
        <f t="shared" si="351"/>
        <v>#DIV/0!</v>
      </c>
      <c r="AS308" s="17">
        <f t="shared" si="352"/>
        <v>0</v>
      </c>
      <c r="AT308" s="18" t="e">
        <f t="shared" si="353"/>
        <v>#DIV/0!</v>
      </c>
    </row>
    <row r="309" spans="1:46" ht="14.25" hidden="1" customHeight="1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O309" s="7"/>
      <c r="AP309" s="8"/>
      <c r="AQ309" s="12"/>
      <c r="AR309" s="13"/>
      <c r="AS309" s="17"/>
      <c r="AT309" s="18"/>
    </row>
    <row r="310" spans="1:46" ht="14.25" hidden="1" customHeight="1">
      <c r="A310" t="s">
        <v>11</v>
      </c>
      <c r="B310" t="s">
        <v>12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O310" s="7"/>
      <c r="AP310" s="8"/>
      <c r="AQ310" s="12"/>
      <c r="AR310" s="13"/>
      <c r="AS310" s="17"/>
      <c r="AT310" s="18"/>
    </row>
    <row r="311" spans="1:46">
      <c r="A311" t="s">
        <v>248</v>
      </c>
      <c r="C311">
        <v>3343480</v>
      </c>
      <c r="D311" s="1">
        <v>3254881</v>
      </c>
      <c r="E311" s="1">
        <v>3315958</v>
      </c>
      <c r="F311" s="1">
        <v>3205995</v>
      </c>
      <c r="G311" s="1">
        <v>3187492</v>
      </c>
      <c r="H311" s="1">
        <v>3282683</v>
      </c>
      <c r="I311" s="1">
        <v>3097399</v>
      </c>
      <c r="J311" s="1">
        <v>3089305</v>
      </c>
      <c r="K311" s="1">
        <v>3118536</v>
      </c>
      <c r="L311" s="1">
        <v>2975533</v>
      </c>
      <c r="M311" s="1">
        <v>2937075</v>
      </c>
      <c r="N311" s="1">
        <v>3120130</v>
      </c>
      <c r="O311" s="1">
        <v>3290729</v>
      </c>
      <c r="P311" s="1">
        <v>3242223</v>
      </c>
      <c r="Q311" s="1">
        <v>3049468</v>
      </c>
      <c r="R311" s="1">
        <v>3029096</v>
      </c>
      <c r="S311" s="1">
        <v>2958871</v>
      </c>
      <c r="T311" s="1">
        <v>2908970</v>
      </c>
      <c r="U311" s="1">
        <v>2976063</v>
      </c>
      <c r="V311" s="1">
        <v>2905445</v>
      </c>
      <c r="W311" s="1">
        <v>2928557</v>
      </c>
      <c r="X311" s="1">
        <v>2925638</v>
      </c>
      <c r="Y311" s="1">
        <v>2922935</v>
      </c>
      <c r="Z311" s="1">
        <v>2920433</v>
      </c>
      <c r="AA311" s="1">
        <v>2920256</v>
      </c>
      <c r="AB311" s="1">
        <v>2922253</v>
      </c>
      <c r="AC311" s="1">
        <v>2926284</v>
      </c>
      <c r="AD311" s="1">
        <v>2932222</v>
      </c>
      <c r="AE311" s="1">
        <v>2939947</v>
      </c>
      <c r="AF311" s="1">
        <v>2949349</v>
      </c>
      <c r="AG311" s="1">
        <v>2960325</v>
      </c>
      <c r="AH311" s="1">
        <v>2972783</v>
      </c>
      <c r="AI311" s="1">
        <v>2986635</v>
      </c>
      <c r="AJ311" s="1">
        <v>3001802</v>
      </c>
      <c r="AK311" s="1">
        <v>3018209</v>
      </c>
      <c r="AL311" s="1">
        <v>3035788</v>
      </c>
      <c r="AM311" s="1">
        <v>3054477</v>
      </c>
      <c r="AO311" s="7">
        <f t="shared" ref="AO311" si="354">+O311-C311</f>
        <v>-52751</v>
      </c>
      <c r="AP311" s="8">
        <f t="shared" ref="AP311" si="355">+(O311/C311)-1</f>
        <v>-1.5777273978010986E-2</v>
      </c>
      <c r="AQ311" s="12">
        <f t="shared" ref="AQ311" si="356">+(AA311-O311)</f>
        <v>-370473</v>
      </c>
      <c r="AR311" s="13">
        <f t="shared" ref="AR311" si="357">+(AA311/O311)-1</f>
        <v>-0.1125808293542252</v>
      </c>
      <c r="AS311" s="17">
        <f t="shared" ref="AS311" si="358">+AM311-AA311</f>
        <v>134221</v>
      </c>
      <c r="AT311" s="18">
        <f t="shared" ref="AT311" si="359">+(AM311/AA311)-1</f>
        <v>4.5962066339389374E-2</v>
      </c>
    </row>
    <row r="312" spans="1:46" ht="14.25" hidden="1" customHeight="1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O312" s="7"/>
      <c r="AP312" s="8"/>
      <c r="AQ312" s="12"/>
      <c r="AR312" s="13"/>
      <c r="AS312" s="17"/>
      <c r="AT312" s="18"/>
    </row>
    <row r="313" spans="1:46" ht="14.25" hidden="1" customHeight="1">
      <c r="A313" t="s">
        <v>252</v>
      </c>
      <c r="B313">
        <v>710915</v>
      </c>
      <c r="C313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O313" s="7">
        <f t="shared" ref="AO313:AO315" si="360">+O313-C313</f>
        <v>0</v>
      </c>
      <c r="AP313" s="8" t="e">
        <f t="shared" ref="AP313:AP315" si="361">+(O313/C313)-1</f>
        <v>#DIV/0!</v>
      </c>
      <c r="AQ313" s="12">
        <f t="shared" ref="AQ313:AQ315" si="362">+(AA313-O313)</f>
        <v>0</v>
      </c>
      <c r="AR313" s="13" t="e">
        <f t="shared" ref="AR313:AR315" si="363">+(AA313/O313)-1</f>
        <v>#DIV/0!</v>
      </c>
      <c r="AS313" s="17">
        <f t="shared" ref="AS313:AS315" si="364">+AM313-AA313</f>
        <v>0</v>
      </c>
      <c r="AT313" s="18" t="e">
        <f t="shared" ref="AT313:AT315" si="365">+(AM313/AA313)-1</f>
        <v>#DIV/0!</v>
      </c>
    </row>
    <row r="314" spans="1:46" ht="14.25" hidden="1" customHeight="1">
      <c r="A314" t="s">
        <v>253</v>
      </c>
      <c r="B314">
        <v>710905</v>
      </c>
      <c r="C314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O314" s="7">
        <f t="shared" si="360"/>
        <v>0</v>
      </c>
      <c r="AP314" s="8" t="e">
        <f t="shared" si="361"/>
        <v>#DIV/0!</v>
      </c>
      <c r="AQ314" s="12">
        <f t="shared" si="362"/>
        <v>0</v>
      </c>
      <c r="AR314" s="13" t="e">
        <f t="shared" si="363"/>
        <v>#DIV/0!</v>
      </c>
      <c r="AS314" s="17">
        <f t="shared" si="364"/>
        <v>0</v>
      </c>
      <c r="AT314" s="18" t="e">
        <f t="shared" si="365"/>
        <v>#DIV/0!</v>
      </c>
    </row>
    <row r="315" spans="1:46" ht="14.25" hidden="1" customHeight="1">
      <c r="A315" t="s">
        <v>254</v>
      </c>
      <c r="B315">
        <v>710910</v>
      </c>
      <c r="C315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O315" s="7">
        <f t="shared" si="360"/>
        <v>0</v>
      </c>
      <c r="AP315" s="8" t="e">
        <f t="shared" si="361"/>
        <v>#DIV/0!</v>
      </c>
      <c r="AQ315" s="12">
        <f t="shared" si="362"/>
        <v>0</v>
      </c>
      <c r="AR315" s="13" t="e">
        <f t="shared" si="363"/>
        <v>#DIV/0!</v>
      </c>
      <c r="AS315" s="17">
        <f t="shared" si="364"/>
        <v>0</v>
      </c>
      <c r="AT315" s="18" t="e">
        <f t="shared" si="365"/>
        <v>#DIV/0!</v>
      </c>
    </row>
    <row r="316" spans="1:46" ht="14.25" hidden="1" customHeight="1">
      <c r="A316" t="s">
        <v>11</v>
      </c>
      <c r="B316" t="s">
        <v>12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O316" s="7"/>
      <c r="AP316" s="8"/>
      <c r="AQ316" s="12"/>
      <c r="AR316" s="13"/>
      <c r="AS316" s="17"/>
      <c r="AT316" s="18"/>
    </row>
    <row r="317" spans="1:46" ht="14.25" hidden="1" customHeight="1">
      <c r="A317" t="s">
        <v>252</v>
      </c>
      <c r="C317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O317" s="7">
        <f t="shared" ref="AO317" si="366">+O317-C317</f>
        <v>0</v>
      </c>
      <c r="AP317" s="8" t="e">
        <f t="shared" ref="AP317" si="367">+(O317/C317)-1</f>
        <v>#DIV/0!</v>
      </c>
      <c r="AQ317" s="12">
        <f t="shared" ref="AQ317" si="368">+(AA317-O317)</f>
        <v>0</v>
      </c>
      <c r="AR317" s="13" t="e">
        <f t="shared" ref="AR317" si="369">+(AA317/O317)-1</f>
        <v>#DIV/0!</v>
      </c>
      <c r="AS317" s="17">
        <f t="shared" ref="AS317" si="370">+AM317-AA317</f>
        <v>0</v>
      </c>
      <c r="AT317" s="18" t="e">
        <f t="shared" ref="AT317" si="371">+(AM317/AA317)-1</f>
        <v>#DIV/0!</v>
      </c>
    </row>
    <row r="318" spans="1:46" ht="14.25" hidden="1" customHeight="1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O318" s="7"/>
      <c r="AP318" s="8"/>
      <c r="AQ318" s="12"/>
      <c r="AR318" s="13"/>
      <c r="AS318" s="17"/>
      <c r="AT318" s="18"/>
    </row>
    <row r="319" spans="1:46" ht="14.25" hidden="1" customHeight="1">
      <c r="A319" t="s">
        <v>255</v>
      </c>
      <c r="B319">
        <v>750905</v>
      </c>
      <c r="C319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O319" s="7">
        <f t="shared" ref="AO319:AO322" si="372">+O319-C319</f>
        <v>0</v>
      </c>
      <c r="AP319" s="8" t="e">
        <f t="shared" ref="AP319:AP322" si="373">+(O319/C319)-1</f>
        <v>#DIV/0!</v>
      </c>
      <c r="AQ319" s="12">
        <f t="shared" ref="AQ319:AQ322" si="374">+(AA319-O319)</f>
        <v>0</v>
      </c>
      <c r="AR319" s="13" t="e">
        <f t="shared" ref="AR319:AR322" si="375">+(AA319/O319)-1</f>
        <v>#DIV/0!</v>
      </c>
      <c r="AS319" s="17">
        <f t="shared" ref="AS319:AS322" si="376">+AM319-AA319</f>
        <v>0</v>
      </c>
      <c r="AT319" s="18" t="e">
        <f t="shared" ref="AT319:AT322" si="377">+(AM319/AA319)-1</f>
        <v>#DIV/0!</v>
      </c>
    </row>
    <row r="320" spans="1:46" ht="14.25" hidden="1" customHeight="1">
      <c r="A320" t="s">
        <v>256</v>
      </c>
      <c r="B320">
        <v>750910</v>
      </c>
      <c r="C320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O320" s="7">
        <f t="shared" si="372"/>
        <v>0</v>
      </c>
      <c r="AP320" s="8" t="e">
        <f t="shared" si="373"/>
        <v>#DIV/0!</v>
      </c>
      <c r="AQ320" s="12">
        <f t="shared" si="374"/>
        <v>0</v>
      </c>
      <c r="AR320" s="13" t="e">
        <f t="shared" si="375"/>
        <v>#DIV/0!</v>
      </c>
      <c r="AS320" s="17">
        <f t="shared" si="376"/>
        <v>0</v>
      </c>
      <c r="AT320" s="18" t="e">
        <f t="shared" si="377"/>
        <v>#DIV/0!</v>
      </c>
    </row>
    <row r="321" spans="1:46" ht="14.25" hidden="1" customHeight="1">
      <c r="A321" t="s">
        <v>257</v>
      </c>
      <c r="B321">
        <v>750911</v>
      </c>
      <c r="C32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O321" s="7">
        <f t="shared" si="372"/>
        <v>0</v>
      </c>
      <c r="AP321" s="8" t="e">
        <f t="shared" si="373"/>
        <v>#DIV/0!</v>
      </c>
      <c r="AQ321" s="12">
        <f t="shared" si="374"/>
        <v>0</v>
      </c>
      <c r="AR321" s="13" t="e">
        <f t="shared" si="375"/>
        <v>#DIV/0!</v>
      </c>
      <c r="AS321" s="17">
        <f t="shared" si="376"/>
        <v>0</v>
      </c>
      <c r="AT321" s="18" t="e">
        <f t="shared" si="377"/>
        <v>#DIV/0!</v>
      </c>
    </row>
    <row r="322" spans="1:46" ht="14.25" hidden="1" customHeight="1">
      <c r="A322" t="s">
        <v>258</v>
      </c>
      <c r="B322">
        <v>750915</v>
      </c>
      <c r="C322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O322" s="7">
        <f t="shared" si="372"/>
        <v>0</v>
      </c>
      <c r="AP322" s="8" t="e">
        <f t="shared" si="373"/>
        <v>#DIV/0!</v>
      </c>
      <c r="AQ322" s="12">
        <f t="shared" si="374"/>
        <v>0</v>
      </c>
      <c r="AR322" s="13" t="e">
        <f t="shared" si="375"/>
        <v>#DIV/0!</v>
      </c>
      <c r="AS322" s="17">
        <f t="shared" si="376"/>
        <v>0</v>
      </c>
      <c r="AT322" s="18" t="e">
        <f t="shared" si="377"/>
        <v>#DIV/0!</v>
      </c>
    </row>
    <row r="323" spans="1:46" ht="14.25" hidden="1" customHeight="1">
      <c r="A323" t="s">
        <v>11</v>
      </c>
      <c r="B323" t="s">
        <v>12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O323" s="7"/>
      <c r="AP323" s="8"/>
      <c r="AQ323" s="12"/>
      <c r="AR323" s="13"/>
      <c r="AS323" s="17"/>
      <c r="AT323" s="18"/>
    </row>
    <row r="324" spans="1:46" ht="14.25" hidden="1" customHeight="1">
      <c r="A324" t="s">
        <v>259</v>
      </c>
      <c r="C324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O324" s="7">
        <f t="shared" ref="AO324" si="378">+O324-C324</f>
        <v>0</v>
      </c>
      <c r="AP324" s="8" t="e">
        <f t="shared" ref="AP324" si="379">+(O324/C324)-1</f>
        <v>#DIV/0!</v>
      </c>
      <c r="AQ324" s="12">
        <f t="shared" ref="AQ324" si="380">+(AA324-O324)</f>
        <v>0</v>
      </c>
      <c r="AR324" s="13" t="e">
        <f t="shared" ref="AR324" si="381">+(AA324/O324)-1</f>
        <v>#DIV/0!</v>
      </c>
      <c r="AS324" s="17">
        <f t="shared" ref="AS324" si="382">+AM324-AA324</f>
        <v>0</v>
      </c>
      <c r="AT324" s="18" t="e">
        <f t="shared" ref="AT324" si="383">+(AM324/AA324)-1</f>
        <v>#DIV/0!</v>
      </c>
    </row>
    <row r="325" spans="1:46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O325" s="7"/>
      <c r="AP325" s="8"/>
      <c r="AQ325" s="12"/>
      <c r="AR325" s="13"/>
      <c r="AS325" s="17"/>
      <c r="AT325" s="18"/>
    </row>
    <row r="326" spans="1:46">
      <c r="A326" t="s">
        <v>260</v>
      </c>
      <c r="C326">
        <v>1834577568</v>
      </c>
      <c r="D326" s="1">
        <v>1832635257</v>
      </c>
      <c r="E326" s="1">
        <v>1826922714</v>
      </c>
      <c r="F326" s="1">
        <v>1816238432</v>
      </c>
      <c r="G326" s="1">
        <v>1813085479</v>
      </c>
      <c r="H326" s="1">
        <v>1811009362</v>
      </c>
      <c r="I326" s="1">
        <v>1815979429</v>
      </c>
      <c r="J326" s="1">
        <v>1814914975</v>
      </c>
      <c r="K326" s="1">
        <v>1816529010</v>
      </c>
      <c r="L326" s="1">
        <v>1813958820</v>
      </c>
      <c r="M326" s="1">
        <v>1813408937</v>
      </c>
      <c r="N326" s="1">
        <v>1813937111</v>
      </c>
      <c r="O326" s="1">
        <v>1815777164</v>
      </c>
      <c r="P326" s="1">
        <v>1816699304</v>
      </c>
      <c r="Q326" s="1">
        <v>1821336409</v>
      </c>
      <c r="R326" s="1">
        <v>1826723785</v>
      </c>
      <c r="S326" s="1">
        <v>1835185826</v>
      </c>
      <c r="T326" s="1">
        <v>1842582256</v>
      </c>
      <c r="U326" s="1">
        <v>1849585685</v>
      </c>
      <c r="V326" s="1">
        <v>1849867766</v>
      </c>
      <c r="W326" s="1">
        <v>1849633308</v>
      </c>
      <c r="X326" s="1">
        <v>1845014698</v>
      </c>
      <c r="Y326" s="1">
        <v>1912178425</v>
      </c>
      <c r="Z326" s="1">
        <v>1922454147</v>
      </c>
      <c r="AA326" s="1">
        <v>1933772176</v>
      </c>
      <c r="AB326" s="1">
        <v>1945696681</v>
      </c>
      <c r="AC326" s="1">
        <v>1961887939</v>
      </c>
      <c r="AD326" s="1">
        <v>1976410965</v>
      </c>
      <c r="AE326" s="1">
        <v>2000040518</v>
      </c>
      <c r="AF326" s="1">
        <v>2021521234</v>
      </c>
      <c r="AG326" s="1">
        <v>2044741923</v>
      </c>
      <c r="AH326" s="1">
        <v>2071145988</v>
      </c>
      <c r="AI326" s="1">
        <v>2093053817</v>
      </c>
      <c r="AJ326" s="1">
        <v>2110411890</v>
      </c>
      <c r="AK326" s="1">
        <v>2125957878</v>
      </c>
      <c r="AL326" s="1">
        <v>2139515944</v>
      </c>
      <c r="AM326" s="1">
        <v>2150389054</v>
      </c>
      <c r="AO326" s="7">
        <f t="shared" ref="AO326" si="384">+O326-C326</f>
        <v>-18800404</v>
      </c>
      <c r="AP326" s="8">
        <f t="shared" ref="AP326" si="385">+(O326/C326)-1</f>
        <v>-1.0247810900956167E-2</v>
      </c>
      <c r="AQ326" s="12">
        <f t="shared" ref="AQ326" si="386">+(AA326-O326)</f>
        <v>117995012</v>
      </c>
      <c r="AR326" s="13">
        <f t="shared" ref="AR326" si="387">+(AA326/O326)-1</f>
        <v>6.4983200769012317E-2</v>
      </c>
      <c r="AS326" s="17">
        <f t="shared" ref="AS326" si="388">+AM326-AA326</f>
        <v>216616878</v>
      </c>
      <c r="AT326" s="18">
        <f t="shared" ref="AT326" si="389">+(AM326/AA326)-1</f>
        <v>0.11201778611173885</v>
      </c>
    </row>
    <row r="327" spans="1:46" ht="14.25" hidden="1" customHeight="1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O327" s="7"/>
      <c r="AP327" s="8"/>
      <c r="AQ327" s="12"/>
      <c r="AR327" s="13"/>
      <c r="AS327" s="17"/>
      <c r="AT327" s="18"/>
    </row>
    <row r="328" spans="1:46" ht="14.25" hidden="1" customHeight="1">
      <c r="A328" t="s">
        <v>261</v>
      </c>
      <c r="B328">
        <v>710382</v>
      </c>
      <c r="C328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O328" s="7">
        <f t="shared" ref="AO328:AO338" si="390">+O328-C328</f>
        <v>0</v>
      </c>
      <c r="AP328" s="8" t="e">
        <f t="shared" ref="AP328:AP338" si="391">+(O328/C328)-1</f>
        <v>#DIV/0!</v>
      </c>
      <c r="AQ328" s="12">
        <f t="shared" ref="AQ328:AQ338" si="392">+(AA328-O328)</f>
        <v>0</v>
      </c>
      <c r="AR328" s="13" t="e">
        <f t="shared" ref="AR328:AR338" si="393">+(AA328/O328)-1</f>
        <v>#DIV/0!</v>
      </c>
      <c r="AS328" s="17">
        <f t="shared" ref="AS328:AS338" si="394">+AM328-AA328</f>
        <v>0</v>
      </c>
      <c r="AT328" s="18" t="e">
        <f t="shared" ref="AT328:AT338" si="395">+(AM328/AA328)-1</f>
        <v>#DIV/0!</v>
      </c>
    </row>
    <row r="329" spans="1:46" ht="14.25" hidden="1" customHeight="1">
      <c r="A329" t="s">
        <v>262</v>
      </c>
      <c r="B329">
        <v>710383</v>
      </c>
      <c r="C329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O329" s="7">
        <f t="shared" si="390"/>
        <v>0</v>
      </c>
      <c r="AP329" s="8" t="e">
        <f t="shared" si="391"/>
        <v>#DIV/0!</v>
      </c>
      <c r="AQ329" s="12">
        <f t="shared" si="392"/>
        <v>0</v>
      </c>
      <c r="AR329" s="13" t="e">
        <f t="shared" si="393"/>
        <v>#DIV/0!</v>
      </c>
      <c r="AS329" s="17">
        <f t="shared" si="394"/>
        <v>0</v>
      </c>
      <c r="AT329" s="18" t="e">
        <f t="shared" si="395"/>
        <v>#DIV/0!</v>
      </c>
    </row>
    <row r="330" spans="1:46" ht="14.25" hidden="1" customHeight="1">
      <c r="A330" t="s">
        <v>263</v>
      </c>
      <c r="B330">
        <v>710384</v>
      </c>
      <c r="C330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O330" s="7">
        <f t="shared" si="390"/>
        <v>0</v>
      </c>
      <c r="AP330" s="8" t="e">
        <f t="shared" si="391"/>
        <v>#DIV/0!</v>
      </c>
      <c r="AQ330" s="12">
        <f t="shared" si="392"/>
        <v>0</v>
      </c>
      <c r="AR330" s="13" t="e">
        <f t="shared" si="393"/>
        <v>#DIV/0!</v>
      </c>
      <c r="AS330" s="17">
        <f t="shared" si="394"/>
        <v>0</v>
      </c>
      <c r="AT330" s="18" t="e">
        <f t="shared" si="395"/>
        <v>#DIV/0!</v>
      </c>
    </row>
    <row r="331" spans="1:46" ht="14.25" hidden="1" customHeight="1">
      <c r="A331" t="s">
        <v>264</v>
      </c>
      <c r="B331">
        <v>710385</v>
      </c>
      <c r="C33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O331" s="7">
        <f t="shared" si="390"/>
        <v>0</v>
      </c>
      <c r="AP331" s="8" t="e">
        <f t="shared" si="391"/>
        <v>#DIV/0!</v>
      </c>
      <c r="AQ331" s="12">
        <f t="shared" si="392"/>
        <v>0</v>
      </c>
      <c r="AR331" s="13" t="e">
        <f t="shared" si="393"/>
        <v>#DIV/0!</v>
      </c>
      <c r="AS331" s="17">
        <f t="shared" si="394"/>
        <v>0</v>
      </c>
      <c r="AT331" s="18" t="e">
        <f t="shared" si="395"/>
        <v>#DIV/0!</v>
      </c>
    </row>
    <row r="332" spans="1:46" ht="14.25" hidden="1" customHeight="1">
      <c r="A332" t="s">
        <v>265</v>
      </c>
      <c r="B332">
        <v>710386</v>
      </c>
      <c r="C332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O332" s="7">
        <f t="shared" si="390"/>
        <v>0</v>
      </c>
      <c r="AP332" s="8" t="e">
        <f t="shared" si="391"/>
        <v>#DIV/0!</v>
      </c>
      <c r="AQ332" s="12">
        <f t="shared" si="392"/>
        <v>0</v>
      </c>
      <c r="AR332" s="13" t="e">
        <f t="shared" si="393"/>
        <v>#DIV/0!</v>
      </c>
      <c r="AS332" s="17">
        <f t="shared" si="394"/>
        <v>0</v>
      </c>
      <c r="AT332" s="18" t="e">
        <f t="shared" si="395"/>
        <v>#DIV/0!</v>
      </c>
    </row>
    <row r="333" spans="1:46" ht="14.25" hidden="1" customHeight="1">
      <c r="A333" t="s">
        <v>266</v>
      </c>
      <c r="B333">
        <v>710387</v>
      </c>
      <c r="C333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O333" s="7">
        <f t="shared" si="390"/>
        <v>0</v>
      </c>
      <c r="AP333" s="8" t="e">
        <f t="shared" si="391"/>
        <v>#DIV/0!</v>
      </c>
      <c r="AQ333" s="12">
        <f t="shared" si="392"/>
        <v>0</v>
      </c>
      <c r="AR333" s="13" t="e">
        <f t="shared" si="393"/>
        <v>#DIV/0!</v>
      </c>
      <c r="AS333" s="17">
        <f t="shared" si="394"/>
        <v>0</v>
      </c>
      <c r="AT333" s="18" t="e">
        <f t="shared" si="395"/>
        <v>#DIV/0!</v>
      </c>
    </row>
    <row r="334" spans="1:46" ht="14.25" hidden="1" customHeight="1">
      <c r="A334" t="s">
        <v>267</v>
      </c>
      <c r="B334">
        <v>710388</v>
      </c>
      <c r="C334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O334" s="7">
        <f t="shared" si="390"/>
        <v>0</v>
      </c>
      <c r="AP334" s="8" t="e">
        <f t="shared" si="391"/>
        <v>#DIV/0!</v>
      </c>
      <c r="AQ334" s="12">
        <f t="shared" si="392"/>
        <v>0</v>
      </c>
      <c r="AR334" s="13" t="e">
        <f t="shared" si="393"/>
        <v>#DIV/0!</v>
      </c>
      <c r="AS334" s="17">
        <f t="shared" si="394"/>
        <v>0</v>
      </c>
      <c r="AT334" s="18" t="e">
        <f t="shared" si="395"/>
        <v>#DIV/0!</v>
      </c>
    </row>
    <row r="335" spans="1:46" ht="14.25" hidden="1" customHeight="1">
      <c r="A335" t="s">
        <v>268</v>
      </c>
      <c r="B335">
        <v>710389</v>
      </c>
      <c r="C335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O335" s="7">
        <f t="shared" si="390"/>
        <v>0</v>
      </c>
      <c r="AP335" s="8" t="e">
        <f t="shared" si="391"/>
        <v>#DIV/0!</v>
      </c>
      <c r="AQ335" s="12">
        <f t="shared" si="392"/>
        <v>0</v>
      </c>
      <c r="AR335" s="13" t="e">
        <f t="shared" si="393"/>
        <v>#DIV/0!</v>
      </c>
      <c r="AS335" s="17">
        <f t="shared" si="394"/>
        <v>0</v>
      </c>
      <c r="AT335" s="18" t="e">
        <f t="shared" si="395"/>
        <v>#DIV/0!</v>
      </c>
    </row>
    <row r="336" spans="1:46" ht="14.25" hidden="1" customHeight="1">
      <c r="A336" t="s">
        <v>269</v>
      </c>
      <c r="B336">
        <v>710390</v>
      </c>
      <c r="C336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O336" s="7">
        <f t="shared" si="390"/>
        <v>0</v>
      </c>
      <c r="AP336" s="8" t="e">
        <f t="shared" si="391"/>
        <v>#DIV/0!</v>
      </c>
      <c r="AQ336" s="12">
        <f t="shared" si="392"/>
        <v>0</v>
      </c>
      <c r="AR336" s="13" t="e">
        <f t="shared" si="393"/>
        <v>#DIV/0!</v>
      </c>
      <c r="AS336" s="17">
        <f t="shared" si="394"/>
        <v>0</v>
      </c>
      <c r="AT336" s="18" t="e">
        <f t="shared" si="395"/>
        <v>#DIV/0!</v>
      </c>
    </row>
    <row r="337" spans="1:46" ht="14.25" hidden="1" customHeight="1">
      <c r="A337" t="s">
        <v>270</v>
      </c>
      <c r="B337">
        <v>710391</v>
      </c>
      <c r="C337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451283</v>
      </c>
      <c r="P337" s="1">
        <v>321500</v>
      </c>
      <c r="Q337" s="1">
        <v>0</v>
      </c>
      <c r="R337" s="1">
        <v>0</v>
      </c>
      <c r="S337" s="1">
        <v>526072</v>
      </c>
      <c r="T337" s="1">
        <v>0</v>
      </c>
      <c r="U337" s="1">
        <v>527553</v>
      </c>
      <c r="V337" s="1">
        <v>250000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O337" s="7">
        <f t="shared" si="390"/>
        <v>451283</v>
      </c>
      <c r="AP337" s="8" t="e">
        <f t="shared" si="391"/>
        <v>#DIV/0!</v>
      </c>
      <c r="AQ337" s="12">
        <f t="shared" si="392"/>
        <v>-451283</v>
      </c>
      <c r="AR337" s="13">
        <f t="shared" si="393"/>
        <v>-1</v>
      </c>
      <c r="AS337" s="17">
        <f t="shared" si="394"/>
        <v>0</v>
      </c>
      <c r="AT337" s="18" t="e">
        <f t="shared" si="395"/>
        <v>#DIV/0!</v>
      </c>
    </row>
    <row r="338" spans="1:46" ht="14.25" hidden="1" customHeight="1">
      <c r="A338" t="s">
        <v>271</v>
      </c>
      <c r="B338">
        <v>710399</v>
      </c>
      <c r="C338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O338" s="7">
        <f t="shared" si="390"/>
        <v>0</v>
      </c>
      <c r="AP338" s="8" t="e">
        <f t="shared" si="391"/>
        <v>#DIV/0!</v>
      </c>
      <c r="AQ338" s="12">
        <f t="shared" si="392"/>
        <v>0</v>
      </c>
      <c r="AR338" s="13" t="e">
        <f t="shared" si="393"/>
        <v>#DIV/0!</v>
      </c>
      <c r="AS338" s="17">
        <f t="shared" si="394"/>
        <v>0</v>
      </c>
      <c r="AT338" s="18" t="e">
        <f t="shared" si="395"/>
        <v>#DIV/0!</v>
      </c>
    </row>
    <row r="339" spans="1:46" ht="14.25" hidden="1" customHeight="1">
      <c r="A339" t="s">
        <v>11</v>
      </c>
      <c r="B339" t="s">
        <v>12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O339" s="7"/>
      <c r="AP339" s="8"/>
      <c r="AQ339" s="12"/>
      <c r="AR339" s="13"/>
      <c r="AS339" s="17"/>
      <c r="AT339" s="18"/>
    </row>
    <row r="340" spans="1:46">
      <c r="A340" t="s">
        <v>272</v>
      </c>
      <c r="C340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451283</v>
      </c>
      <c r="P340" s="1">
        <v>321500</v>
      </c>
      <c r="Q340" s="1">
        <v>0</v>
      </c>
      <c r="R340" s="1">
        <v>0</v>
      </c>
      <c r="S340" s="1">
        <v>526072</v>
      </c>
      <c r="T340" s="1">
        <v>0</v>
      </c>
      <c r="U340" s="1">
        <v>527553</v>
      </c>
      <c r="V340" s="1">
        <v>250000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O340" s="7">
        <f t="shared" ref="AO340" si="396">+O340-C340</f>
        <v>451283</v>
      </c>
      <c r="AP340" s="8" t="e">
        <f t="shared" ref="AP340" si="397">+(O340/C340)-1</f>
        <v>#DIV/0!</v>
      </c>
      <c r="AQ340" s="12">
        <f t="shared" ref="AQ340" si="398">+(AA340-O340)</f>
        <v>-451283</v>
      </c>
      <c r="AR340" s="13">
        <f t="shared" ref="AR340" si="399">+(AA340/O340)-1</f>
        <v>-1</v>
      </c>
      <c r="AS340" s="17">
        <f t="shared" ref="AS340" si="400">+AM340-AA340</f>
        <v>0</v>
      </c>
      <c r="AT340" s="18" t="e">
        <f t="shared" ref="AT340" si="401">+(AM340/AA340)-1</f>
        <v>#DIV/0!</v>
      </c>
    </row>
    <row r="341" spans="1:46" ht="14.25" hidden="1" customHeight="1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O341" s="7"/>
      <c r="AP341" s="8"/>
      <c r="AQ341" s="12"/>
      <c r="AR341" s="13"/>
      <c r="AS341" s="17"/>
      <c r="AT341" s="18"/>
    </row>
    <row r="342" spans="1:46" ht="14.25" hidden="1" customHeight="1">
      <c r="A342" t="s">
        <v>273</v>
      </c>
      <c r="B342" t="s">
        <v>274</v>
      </c>
      <c r="C342">
        <v>-24819622</v>
      </c>
      <c r="D342" s="1">
        <v>-25460190</v>
      </c>
      <c r="E342" s="1">
        <v>-25759915</v>
      </c>
      <c r="F342" s="1">
        <v>-27003191</v>
      </c>
      <c r="G342" s="1">
        <v>-27255194</v>
      </c>
      <c r="H342" s="1">
        <v>-27333339</v>
      </c>
      <c r="I342" s="1">
        <v>-33261320</v>
      </c>
      <c r="J342" s="1">
        <v>-33376972</v>
      </c>
      <c r="K342" s="1">
        <v>-32969700</v>
      </c>
      <c r="L342" s="1">
        <v>-33159822</v>
      </c>
      <c r="M342" s="1">
        <v>-32963257</v>
      </c>
      <c r="N342" s="1">
        <v>-32672156</v>
      </c>
      <c r="O342" s="1">
        <v>-33232200</v>
      </c>
      <c r="P342" s="1">
        <v>-33754939</v>
      </c>
      <c r="Q342" s="1">
        <v>-34344778</v>
      </c>
      <c r="R342" s="1">
        <v>-35098397</v>
      </c>
      <c r="S342" s="1">
        <v>-36779593</v>
      </c>
      <c r="T342" s="1">
        <v>-37109094</v>
      </c>
      <c r="U342" s="1">
        <v>-37927236</v>
      </c>
      <c r="V342" s="1">
        <v>-37606519</v>
      </c>
      <c r="W342" s="1">
        <v>-37847418</v>
      </c>
      <c r="X342" s="1">
        <v>-39209433</v>
      </c>
      <c r="Y342" s="1">
        <v>-39829401</v>
      </c>
      <c r="Z342" s="1">
        <v>-40073781</v>
      </c>
      <c r="AA342" s="1">
        <v>-40332550</v>
      </c>
      <c r="AB342" s="1">
        <v>-40627247</v>
      </c>
      <c r="AC342" s="1">
        <v>-40978648</v>
      </c>
      <c r="AD342" s="1">
        <v>-41366864</v>
      </c>
      <c r="AE342" s="1">
        <v>-41912289</v>
      </c>
      <c r="AF342" s="1">
        <v>-42285994</v>
      </c>
      <c r="AG342" s="1">
        <v>-42747978</v>
      </c>
      <c r="AH342" s="1">
        <v>-43128759</v>
      </c>
      <c r="AI342" s="1">
        <v>-43542901</v>
      </c>
      <c r="AJ342" s="1">
        <v>-43909579</v>
      </c>
      <c r="AK342" s="1">
        <v>-44099673</v>
      </c>
      <c r="AL342" s="1">
        <v>-44293633</v>
      </c>
      <c r="AM342" s="1">
        <v>-44350308</v>
      </c>
      <c r="AO342" s="7">
        <f t="shared" ref="AO342:AO345" si="402">+O342-C342</f>
        <v>-8412578</v>
      </c>
      <c r="AP342" s="8">
        <f t="shared" ref="AP342:AP345" si="403">+(O342/C342)-1</f>
        <v>0.33894867536661111</v>
      </c>
      <c r="AQ342" s="12">
        <f t="shared" ref="AQ342:AQ345" si="404">+(AA342-O342)</f>
        <v>-7100350</v>
      </c>
      <c r="AR342" s="13">
        <f t="shared" ref="AR342:AR345" si="405">+(AA342/O342)-1</f>
        <v>0.21365874061903822</v>
      </c>
      <c r="AS342" s="17">
        <f t="shared" ref="AS342:AS345" si="406">+AM342-AA342</f>
        <v>-4017758</v>
      </c>
      <c r="AT342" s="18">
        <f t="shared" ref="AT342:AT345" si="407">+(AM342/AA342)-1</f>
        <v>9.9615769397174203E-2</v>
      </c>
    </row>
    <row r="343" spans="1:46" ht="14.25" hidden="1" customHeight="1">
      <c r="A343" t="s">
        <v>275</v>
      </c>
      <c r="B343">
        <v>720020</v>
      </c>
      <c r="C343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O343" s="7">
        <f t="shared" si="402"/>
        <v>0</v>
      </c>
      <c r="AP343" s="8" t="e">
        <f t="shared" si="403"/>
        <v>#DIV/0!</v>
      </c>
      <c r="AQ343" s="12">
        <f t="shared" si="404"/>
        <v>0</v>
      </c>
      <c r="AR343" s="13" t="e">
        <f t="shared" si="405"/>
        <v>#DIV/0!</v>
      </c>
      <c r="AS343" s="17">
        <f t="shared" si="406"/>
        <v>0</v>
      </c>
      <c r="AT343" s="18" t="e">
        <f t="shared" si="407"/>
        <v>#DIV/0!</v>
      </c>
    </row>
    <row r="344" spans="1:46" ht="14.25" hidden="1" customHeight="1">
      <c r="A344" t="s">
        <v>276</v>
      </c>
      <c r="B344" t="s">
        <v>277</v>
      </c>
      <c r="C344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O344" s="7">
        <f t="shared" si="402"/>
        <v>0</v>
      </c>
      <c r="AP344" s="8" t="e">
        <f t="shared" si="403"/>
        <v>#DIV/0!</v>
      </c>
      <c r="AQ344" s="12">
        <f t="shared" si="404"/>
        <v>0</v>
      </c>
      <c r="AR344" s="13" t="e">
        <f t="shared" si="405"/>
        <v>#DIV/0!</v>
      </c>
      <c r="AS344" s="17">
        <f t="shared" si="406"/>
        <v>0</v>
      </c>
      <c r="AT344" s="18" t="e">
        <f t="shared" si="407"/>
        <v>#DIV/0!</v>
      </c>
    </row>
    <row r="345" spans="1:46" ht="14.25" hidden="1" customHeight="1">
      <c r="A345" t="s">
        <v>278</v>
      </c>
      <c r="B345" t="s">
        <v>279</v>
      </c>
      <c r="C345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O345" s="7">
        <f t="shared" si="402"/>
        <v>0</v>
      </c>
      <c r="AP345" s="8" t="e">
        <f t="shared" si="403"/>
        <v>#DIV/0!</v>
      </c>
      <c r="AQ345" s="12">
        <f t="shared" si="404"/>
        <v>0</v>
      </c>
      <c r="AR345" s="13" t="e">
        <f t="shared" si="405"/>
        <v>#DIV/0!</v>
      </c>
      <c r="AS345" s="17">
        <f t="shared" si="406"/>
        <v>0</v>
      </c>
      <c r="AT345" s="18" t="e">
        <f t="shared" si="407"/>
        <v>#DIV/0!</v>
      </c>
    </row>
    <row r="346" spans="1:46" ht="14.25" hidden="1" customHeight="1">
      <c r="A346" t="s">
        <v>11</v>
      </c>
      <c r="B346" t="s">
        <v>12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O346" s="7"/>
      <c r="AP346" s="8"/>
      <c r="AQ346" s="12"/>
      <c r="AR346" s="13"/>
      <c r="AS346" s="17"/>
      <c r="AT346" s="18"/>
    </row>
    <row r="347" spans="1:46">
      <c r="A347" t="s">
        <v>280</v>
      </c>
      <c r="C347">
        <v>-24819622</v>
      </c>
      <c r="D347" s="1">
        <v>-25460190</v>
      </c>
      <c r="E347" s="1">
        <v>-25759915</v>
      </c>
      <c r="F347" s="1">
        <v>-27003191</v>
      </c>
      <c r="G347" s="1">
        <v>-27255194</v>
      </c>
      <c r="H347" s="1">
        <v>-27333339</v>
      </c>
      <c r="I347" s="1">
        <v>-33261320</v>
      </c>
      <c r="J347" s="1">
        <v>-33376972</v>
      </c>
      <c r="K347" s="1">
        <v>-32969700</v>
      </c>
      <c r="L347" s="1">
        <v>-33159822</v>
      </c>
      <c r="M347" s="1">
        <v>-32963257</v>
      </c>
      <c r="N347" s="1">
        <v>-32672156</v>
      </c>
      <c r="O347" s="1">
        <v>-33232200</v>
      </c>
      <c r="P347" s="1">
        <v>-33754939</v>
      </c>
      <c r="Q347" s="1">
        <v>-34344778</v>
      </c>
      <c r="R347" s="1">
        <v>-35098397</v>
      </c>
      <c r="S347" s="1">
        <v>-36779593</v>
      </c>
      <c r="T347" s="1">
        <v>-37109094</v>
      </c>
      <c r="U347" s="1">
        <v>-37927236</v>
      </c>
      <c r="V347" s="1">
        <v>-37606519</v>
      </c>
      <c r="W347" s="1">
        <v>-37847418</v>
      </c>
      <c r="X347" s="1">
        <v>-39209433</v>
      </c>
      <c r="Y347" s="1">
        <v>-39829401</v>
      </c>
      <c r="Z347" s="1">
        <v>-40073781</v>
      </c>
      <c r="AA347" s="1">
        <v>-40332550</v>
      </c>
      <c r="AB347" s="1">
        <v>-40627247</v>
      </c>
      <c r="AC347" s="1">
        <v>-40978648</v>
      </c>
      <c r="AD347" s="1">
        <v>-41366864</v>
      </c>
      <c r="AE347" s="1">
        <v>-41912289</v>
      </c>
      <c r="AF347" s="1">
        <v>-42285994</v>
      </c>
      <c r="AG347" s="1">
        <v>-42747978</v>
      </c>
      <c r="AH347" s="1">
        <v>-43128759</v>
      </c>
      <c r="AI347" s="1">
        <v>-43542901</v>
      </c>
      <c r="AJ347" s="1">
        <v>-43909579</v>
      </c>
      <c r="AK347" s="1">
        <v>-44099673</v>
      </c>
      <c r="AL347" s="1">
        <v>-44293633</v>
      </c>
      <c r="AM347" s="1">
        <v>-44350308</v>
      </c>
      <c r="AO347" s="7">
        <f t="shared" ref="AO347" si="408">+O347-C347</f>
        <v>-8412578</v>
      </c>
      <c r="AP347" s="8">
        <f t="shared" ref="AP347" si="409">+(O347/C347)-1</f>
        <v>0.33894867536661111</v>
      </c>
      <c r="AQ347" s="12">
        <f t="shared" ref="AQ347" si="410">+(AA347-O347)</f>
        <v>-7100350</v>
      </c>
      <c r="AR347" s="13">
        <f t="shared" ref="AR347" si="411">+(AA347/O347)-1</f>
        <v>0.21365874061903822</v>
      </c>
      <c r="AS347" s="17">
        <f t="shared" ref="AS347" si="412">+AM347-AA347</f>
        <v>-4017758</v>
      </c>
      <c r="AT347" s="18">
        <f t="shared" ref="AT347" si="413">+(AM347/AA347)-1</f>
        <v>9.9615769397174203E-2</v>
      </c>
    </row>
    <row r="348" spans="1:46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O348" s="7"/>
      <c r="AP348" s="8"/>
      <c r="AQ348" s="12"/>
      <c r="AR348" s="13"/>
      <c r="AS348" s="17"/>
      <c r="AT348" s="18"/>
    </row>
    <row r="349" spans="1:46">
      <c r="A349" t="s">
        <v>281</v>
      </c>
      <c r="C349">
        <v>1809757946</v>
      </c>
      <c r="D349" s="1">
        <v>1807175067</v>
      </c>
      <c r="E349" s="1">
        <v>1801162799</v>
      </c>
      <c r="F349" s="1">
        <v>1789235241</v>
      </c>
      <c r="G349" s="1">
        <v>1785830285</v>
      </c>
      <c r="H349" s="1">
        <v>1783676023</v>
      </c>
      <c r="I349" s="1">
        <v>1782718109</v>
      </c>
      <c r="J349" s="1">
        <v>1781538003</v>
      </c>
      <c r="K349" s="1">
        <v>1783559310</v>
      </c>
      <c r="L349" s="1">
        <v>1780798998</v>
      </c>
      <c r="M349" s="1">
        <v>1780445680</v>
      </c>
      <c r="N349" s="1">
        <v>1781264955</v>
      </c>
      <c r="O349" s="1">
        <v>1782996247</v>
      </c>
      <c r="P349" s="1">
        <v>1783265865</v>
      </c>
      <c r="Q349" s="1">
        <v>1786991631</v>
      </c>
      <c r="R349" s="1">
        <v>1791625388</v>
      </c>
      <c r="S349" s="1">
        <v>1798932305</v>
      </c>
      <c r="T349" s="1">
        <v>1805473162</v>
      </c>
      <c r="U349" s="1">
        <v>1812186002</v>
      </c>
      <c r="V349" s="1">
        <v>1812511247</v>
      </c>
      <c r="W349" s="1">
        <v>1811785890</v>
      </c>
      <c r="X349" s="1">
        <v>1805805265</v>
      </c>
      <c r="Y349" s="1">
        <v>1872349025</v>
      </c>
      <c r="Z349" s="1">
        <v>1882380366</v>
      </c>
      <c r="AA349" s="1">
        <v>1893439626</v>
      </c>
      <c r="AB349" s="1">
        <v>1905069434</v>
      </c>
      <c r="AC349" s="1">
        <v>1920909291</v>
      </c>
      <c r="AD349" s="1">
        <v>1935044102</v>
      </c>
      <c r="AE349" s="1">
        <v>1958128229</v>
      </c>
      <c r="AF349" s="1">
        <v>1979235239</v>
      </c>
      <c r="AG349" s="1">
        <v>2001993945</v>
      </c>
      <c r="AH349" s="1">
        <v>2028017229</v>
      </c>
      <c r="AI349" s="1">
        <v>2049510915</v>
      </c>
      <c r="AJ349" s="1">
        <v>2066502311</v>
      </c>
      <c r="AK349" s="1">
        <v>2081858205</v>
      </c>
      <c r="AL349" s="1">
        <v>2095222311</v>
      </c>
      <c r="AM349" s="1">
        <v>2106038746</v>
      </c>
      <c r="AO349" s="7">
        <f t="shared" ref="AO349" si="414">+O349-C349</f>
        <v>-26761699</v>
      </c>
      <c r="AP349" s="8">
        <f t="shared" ref="AP349" si="415">+(O349/C349)-1</f>
        <v>-1.4787446608066968E-2</v>
      </c>
      <c r="AQ349" s="12">
        <f t="shared" ref="AQ349" si="416">+(AA349-O349)</f>
        <v>110443379</v>
      </c>
      <c r="AR349" s="13">
        <f t="shared" ref="AR349" si="417">+(AA349/O349)-1</f>
        <v>6.1942575137680533E-2</v>
      </c>
      <c r="AS349" s="17">
        <f t="shared" ref="AS349" si="418">+AM349-AA349</f>
        <v>212599120</v>
      </c>
      <c r="AT349" s="18">
        <f t="shared" ref="AT349" si="419">+(AM349/AA349)-1</f>
        <v>0.11228196404082236</v>
      </c>
    </row>
    <row r="350" spans="1:46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O350" s="7"/>
      <c r="AP350" s="8"/>
      <c r="AQ350" s="12"/>
      <c r="AR350" s="13"/>
      <c r="AS350" s="17"/>
      <c r="AT350" s="18"/>
    </row>
    <row r="351" spans="1:46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O351" s="7"/>
      <c r="AP351" s="8"/>
      <c r="AQ351" s="12"/>
      <c r="AR351" s="13"/>
      <c r="AS351" s="17"/>
      <c r="AT351" s="18"/>
    </row>
    <row r="352" spans="1:46">
      <c r="A352" t="s">
        <v>282</v>
      </c>
      <c r="B352" t="s">
        <v>283</v>
      </c>
      <c r="C352">
        <v>8859417</v>
      </c>
      <c r="D352" s="1">
        <v>8882328</v>
      </c>
      <c r="E352" s="1">
        <v>8490161</v>
      </c>
      <c r="F352" s="1">
        <v>8824917</v>
      </c>
      <c r="G352" s="1">
        <v>8695877</v>
      </c>
      <c r="H352" s="1">
        <v>8553073</v>
      </c>
      <c r="I352" s="1">
        <v>8944603</v>
      </c>
      <c r="J352" s="1">
        <v>8927773</v>
      </c>
      <c r="K352" s="1">
        <v>8793951</v>
      </c>
      <c r="L352" s="1">
        <v>8887718</v>
      </c>
      <c r="M352" s="1">
        <v>8878755</v>
      </c>
      <c r="N352" s="1">
        <v>8904748</v>
      </c>
      <c r="O352" s="1">
        <v>9095918</v>
      </c>
      <c r="P352" s="1">
        <v>8679399</v>
      </c>
      <c r="Q352" s="1">
        <v>8210033</v>
      </c>
      <c r="R352" s="1">
        <v>8667932</v>
      </c>
      <c r="S352" s="1">
        <v>8741652</v>
      </c>
      <c r="T352" s="1">
        <v>8887760</v>
      </c>
      <c r="U352" s="1">
        <v>9298152</v>
      </c>
      <c r="V352" s="1">
        <v>9563447</v>
      </c>
      <c r="W352" s="1">
        <v>9678989</v>
      </c>
      <c r="X352" s="1">
        <v>9678989</v>
      </c>
      <c r="Y352" s="1">
        <v>9678989</v>
      </c>
      <c r="Z352" s="1">
        <v>9678989</v>
      </c>
      <c r="AA352" s="1">
        <v>9678989</v>
      </c>
      <c r="AB352" s="1">
        <v>9678989</v>
      </c>
      <c r="AC352" s="1">
        <v>9678989</v>
      </c>
      <c r="AD352" s="1">
        <v>9678989</v>
      </c>
      <c r="AE352" s="1">
        <v>9678989</v>
      </c>
      <c r="AF352" s="1">
        <v>9678989</v>
      </c>
      <c r="AG352" s="1">
        <v>9678989</v>
      </c>
      <c r="AH352" s="1">
        <v>9678989</v>
      </c>
      <c r="AI352" s="1">
        <v>9678989</v>
      </c>
      <c r="AJ352" s="1">
        <v>9678989</v>
      </c>
      <c r="AK352" s="1">
        <v>9678989</v>
      </c>
      <c r="AL352" s="1">
        <v>9678989</v>
      </c>
      <c r="AM352" s="1">
        <v>9678989</v>
      </c>
      <c r="AO352" s="7">
        <f t="shared" ref="AO352:AO353" si="420">+O352-C352</f>
        <v>236501</v>
      </c>
      <c r="AP352" s="8">
        <f t="shared" ref="AP352:AP353" si="421">+(O352/C352)-1</f>
        <v>2.6694871682865884E-2</v>
      </c>
      <c r="AQ352" s="12">
        <f t="shared" ref="AQ352:AQ353" si="422">+(AA352-O352)</f>
        <v>583071</v>
      </c>
      <c r="AR352" s="13">
        <f t="shared" ref="AR352:AR353" si="423">+(AA352/O352)-1</f>
        <v>6.4102490809613721E-2</v>
      </c>
      <c r="AS352" s="17">
        <f t="shared" ref="AS352:AS353" si="424">+AM352-AA352</f>
        <v>0</v>
      </c>
      <c r="AT352" s="18">
        <f t="shared" ref="AT352:AT353" si="425">+(AM352/AA352)-1</f>
        <v>0</v>
      </c>
    </row>
    <row r="353" spans="1:46">
      <c r="A353" t="s">
        <v>284</v>
      </c>
      <c r="C353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O353" s="7">
        <f t="shared" si="420"/>
        <v>0</v>
      </c>
      <c r="AP353" s="8" t="e">
        <f t="shared" si="421"/>
        <v>#DIV/0!</v>
      </c>
      <c r="AQ353" s="12">
        <f t="shared" si="422"/>
        <v>0</v>
      </c>
      <c r="AR353" s="13" t="e">
        <f t="shared" si="423"/>
        <v>#DIV/0!</v>
      </c>
      <c r="AS353" s="17">
        <f t="shared" si="424"/>
        <v>0</v>
      </c>
      <c r="AT353" s="18" t="e">
        <f t="shared" si="425"/>
        <v>#DIV/0!</v>
      </c>
    </row>
    <row r="354" spans="1:46">
      <c r="A354" t="s">
        <v>11</v>
      </c>
      <c r="B354" t="s">
        <v>12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O354" s="7"/>
      <c r="AP354" s="8"/>
      <c r="AQ354" s="12"/>
      <c r="AR354" s="13"/>
      <c r="AS354" s="17"/>
      <c r="AT354" s="18"/>
    </row>
    <row r="355" spans="1:46">
      <c r="A355" t="s">
        <v>285</v>
      </c>
      <c r="C355">
        <v>8859417</v>
      </c>
      <c r="D355" s="1">
        <v>8882328</v>
      </c>
      <c r="E355" s="1">
        <v>8490161</v>
      </c>
      <c r="F355" s="1">
        <v>8824917</v>
      </c>
      <c r="G355" s="1">
        <v>8695877</v>
      </c>
      <c r="H355" s="1">
        <v>8553073</v>
      </c>
      <c r="I355" s="1">
        <v>8944603</v>
      </c>
      <c r="J355" s="1">
        <v>8927773</v>
      </c>
      <c r="K355" s="1">
        <v>8793951</v>
      </c>
      <c r="L355" s="1">
        <v>8887718</v>
      </c>
      <c r="M355" s="1">
        <v>8878755</v>
      </c>
      <c r="N355" s="1">
        <v>8904748</v>
      </c>
      <c r="O355" s="1">
        <v>9095918</v>
      </c>
      <c r="P355" s="1">
        <v>8679399</v>
      </c>
      <c r="Q355" s="1">
        <v>8210033</v>
      </c>
      <c r="R355" s="1">
        <v>8667932</v>
      </c>
      <c r="S355" s="1">
        <v>8741652</v>
      </c>
      <c r="T355" s="1">
        <v>8887760</v>
      </c>
      <c r="U355" s="1">
        <v>9298152</v>
      </c>
      <c r="V355" s="1">
        <v>9563447</v>
      </c>
      <c r="W355" s="1">
        <v>9678989</v>
      </c>
      <c r="X355" s="1">
        <v>9678989</v>
      </c>
      <c r="Y355" s="1">
        <v>9678989</v>
      </c>
      <c r="Z355" s="1">
        <v>9678989</v>
      </c>
      <c r="AA355" s="1">
        <v>9678989</v>
      </c>
      <c r="AB355" s="1">
        <v>9678989</v>
      </c>
      <c r="AC355" s="1">
        <v>9678989</v>
      </c>
      <c r="AD355" s="1">
        <v>9678989</v>
      </c>
      <c r="AE355" s="1">
        <v>9678989</v>
      </c>
      <c r="AF355" s="1">
        <v>9678989</v>
      </c>
      <c r="AG355" s="1">
        <v>9678989</v>
      </c>
      <c r="AH355" s="1">
        <v>9678989</v>
      </c>
      <c r="AI355" s="1">
        <v>9678989</v>
      </c>
      <c r="AJ355" s="1">
        <v>9678989</v>
      </c>
      <c r="AK355" s="1">
        <v>9678989</v>
      </c>
      <c r="AL355" s="1">
        <v>9678989</v>
      </c>
      <c r="AM355" s="1">
        <v>9678989</v>
      </c>
      <c r="AO355" s="7">
        <f t="shared" ref="AO355" si="426">+O355-C355</f>
        <v>236501</v>
      </c>
      <c r="AP355" s="8">
        <f t="shared" ref="AP355" si="427">+(O355/C355)-1</f>
        <v>2.6694871682865884E-2</v>
      </c>
      <c r="AQ355" s="12">
        <f t="shared" ref="AQ355" si="428">+(AA355-O355)</f>
        <v>583071</v>
      </c>
      <c r="AR355" s="13">
        <f t="shared" ref="AR355" si="429">+(AA355/O355)-1</f>
        <v>6.4102490809613721E-2</v>
      </c>
      <c r="AS355" s="17">
        <f t="shared" ref="AS355" si="430">+AM355-AA355</f>
        <v>0</v>
      </c>
      <c r="AT355" s="18">
        <f t="shared" ref="AT355" si="431">+(AM355/AA355)-1</f>
        <v>0</v>
      </c>
    </row>
    <row r="356" spans="1:46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O356" s="7"/>
      <c r="AP356" s="8"/>
      <c r="AQ356" s="12"/>
      <c r="AR356" s="13"/>
      <c r="AS356" s="17"/>
      <c r="AT356" s="18"/>
    </row>
    <row r="357" spans="1:46">
      <c r="A357" t="s">
        <v>286</v>
      </c>
      <c r="B357">
        <v>750905</v>
      </c>
      <c r="C357">
        <v>2191759</v>
      </c>
      <c r="D357" s="1">
        <v>2551517</v>
      </c>
      <c r="E357" s="1">
        <v>2848435</v>
      </c>
      <c r="F357" s="1">
        <v>2589799</v>
      </c>
      <c r="G357" s="1">
        <v>2496602</v>
      </c>
      <c r="H357" s="1">
        <v>2916319</v>
      </c>
      <c r="I357" s="1">
        <v>2623461</v>
      </c>
      <c r="J357" s="1">
        <v>2721429</v>
      </c>
      <c r="K357" s="1">
        <v>2863493</v>
      </c>
      <c r="L357" s="1">
        <v>2878076</v>
      </c>
      <c r="M357" s="1">
        <v>2745020</v>
      </c>
      <c r="N357" s="1">
        <v>2825774</v>
      </c>
      <c r="O357" s="1">
        <v>2930211</v>
      </c>
      <c r="P357" s="1">
        <v>3063507</v>
      </c>
      <c r="Q357" s="1">
        <v>3289242</v>
      </c>
      <c r="R357" s="1">
        <v>3716938</v>
      </c>
      <c r="S357" s="1">
        <v>3468682</v>
      </c>
      <c r="T357" s="1">
        <v>2880776</v>
      </c>
      <c r="U357" s="1">
        <v>3252163</v>
      </c>
      <c r="V357" s="1">
        <v>3706074</v>
      </c>
      <c r="W357" s="1">
        <v>3720267</v>
      </c>
      <c r="X357" s="1">
        <v>3720267</v>
      </c>
      <c r="Y357" s="1">
        <v>3720267</v>
      </c>
      <c r="Z357" s="1">
        <v>3720267</v>
      </c>
      <c r="AA357" s="1">
        <v>3720267</v>
      </c>
      <c r="AB357" s="1">
        <v>3720267</v>
      </c>
      <c r="AC357" s="1">
        <v>3720267</v>
      </c>
      <c r="AD357" s="1">
        <v>3720267</v>
      </c>
      <c r="AE357" s="1">
        <v>3720267</v>
      </c>
      <c r="AF357" s="1">
        <v>3720267</v>
      </c>
      <c r="AG357" s="1">
        <v>3720267</v>
      </c>
      <c r="AH357" s="1">
        <v>3720267</v>
      </c>
      <c r="AI357" s="1">
        <v>3720267</v>
      </c>
      <c r="AJ357" s="1">
        <v>3720267</v>
      </c>
      <c r="AK357" s="1">
        <v>3720267</v>
      </c>
      <c r="AL357" s="1">
        <v>3720267</v>
      </c>
      <c r="AM357" s="1">
        <v>3720267</v>
      </c>
      <c r="AO357" s="7">
        <f t="shared" ref="AO357:AO361" si="432">+O357-C357</f>
        <v>738452</v>
      </c>
      <c r="AP357" s="8">
        <f t="shared" ref="AP357:AP361" si="433">+(O357/C357)-1</f>
        <v>0.33692207948045372</v>
      </c>
      <c r="AQ357" s="12">
        <f t="shared" ref="AQ357:AQ361" si="434">+(AA357-O357)</f>
        <v>790056</v>
      </c>
      <c r="AR357" s="13">
        <f t="shared" ref="AR357:AR361" si="435">+(AA357/O357)-1</f>
        <v>0.26962426937855333</v>
      </c>
      <c r="AS357" s="17">
        <f t="shared" ref="AS357:AS361" si="436">+AM357-AA357</f>
        <v>0</v>
      </c>
      <c r="AT357" s="18">
        <f t="shared" ref="AT357:AT361" si="437">+(AM357/AA357)-1</f>
        <v>0</v>
      </c>
    </row>
    <row r="358" spans="1:46">
      <c r="A358" t="s">
        <v>287</v>
      </c>
      <c r="B358">
        <v>750910</v>
      </c>
      <c r="C358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O358" s="7">
        <f t="shared" si="432"/>
        <v>0</v>
      </c>
      <c r="AP358" s="8" t="e">
        <f t="shared" si="433"/>
        <v>#DIV/0!</v>
      </c>
      <c r="AQ358" s="12">
        <f t="shared" si="434"/>
        <v>0</v>
      </c>
      <c r="AR358" s="13" t="e">
        <f t="shared" si="435"/>
        <v>#DIV/0!</v>
      </c>
      <c r="AS358" s="17">
        <f t="shared" si="436"/>
        <v>0</v>
      </c>
      <c r="AT358" s="18" t="e">
        <f t="shared" si="437"/>
        <v>#DIV/0!</v>
      </c>
    </row>
    <row r="359" spans="1:46">
      <c r="A359" t="s">
        <v>288</v>
      </c>
      <c r="B359">
        <v>750911</v>
      </c>
      <c r="C359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O359" s="7">
        <f t="shared" si="432"/>
        <v>0</v>
      </c>
      <c r="AP359" s="8" t="e">
        <f t="shared" si="433"/>
        <v>#DIV/0!</v>
      </c>
      <c r="AQ359" s="12">
        <f t="shared" si="434"/>
        <v>0</v>
      </c>
      <c r="AR359" s="13" t="e">
        <f t="shared" si="435"/>
        <v>#DIV/0!</v>
      </c>
      <c r="AS359" s="17">
        <f t="shared" si="436"/>
        <v>0</v>
      </c>
      <c r="AT359" s="18" t="e">
        <f t="shared" si="437"/>
        <v>#DIV/0!</v>
      </c>
    </row>
    <row r="360" spans="1:46">
      <c r="A360" t="s">
        <v>289</v>
      </c>
      <c r="B360">
        <v>750915</v>
      </c>
      <c r="C360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O360" s="7">
        <f t="shared" si="432"/>
        <v>0</v>
      </c>
      <c r="AP360" s="8" t="e">
        <f t="shared" si="433"/>
        <v>#DIV/0!</v>
      </c>
      <c r="AQ360" s="12">
        <f t="shared" si="434"/>
        <v>0</v>
      </c>
      <c r="AR360" s="13" t="e">
        <f t="shared" si="435"/>
        <v>#DIV/0!</v>
      </c>
      <c r="AS360" s="17">
        <f t="shared" si="436"/>
        <v>0</v>
      </c>
      <c r="AT360" s="18" t="e">
        <f t="shared" si="437"/>
        <v>#DIV/0!</v>
      </c>
    </row>
    <row r="361" spans="1:46">
      <c r="A361" t="s">
        <v>290</v>
      </c>
      <c r="C36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O361" s="7">
        <f t="shared" si="432"/>
        <v>0</v>
      </c>
      <c r="AP361" s="8" t="e">
        <f t="shared" si="433"/>
        <v>#DIV/0!</v>
      </c>
      <c r="AQ361" s="12">
        <f t="shared" si="434"/>
        <v>0</v>
      </c>
      <c r="AR361" s="13" t="e">
        <f t="shared" si="435"/>
        <v>#DIV/0!</v>
      </c>
      <c r="AS361" s="17">
        <f t="shared" si="436"/>
        <v>0</v>
      </c>
      <c r="AT361" s="18" t="e">
        <f t="shared" si="437"/>
        <v>#DIV/0!</v>
      </c>
    </row>
    <row r="362" spans="1:46">
      <c r="A362" t="s">
        <v>11</v>
      </c>
      <c r="B362" t="s">
        <v>12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O362" s="7"/>
      <c r="AP362" s="8"/>
      <c r="AQ362" s="12"/>
      <c r="AR362" s="13"/>
      <c r="AS362" s="17"/>
      <c r="AT362" s="18"/>
    </row>
    <row r="363" spans="1:46">
      <c r="A363" t="s">
        <v>291</v>
      </c>
      <c r="C363">
        <v>2191759</v>
      </c>
      <c r="D363" s="1">
        <v>2551517</v>
      </c>
      <c r="E363" s="1">
        <v>2848435</v>
      </c>
      <c r="F363" s="1">
        <v>2589799</v>
      </c>
      <c r="G363" s="1">
        <v>2496602</v>
      </c>
      <c r="H363" s="1">
        <v>2916319</v>
      </c>
      <c r="I363" s="1">
        <v>2623461</v>
      </c>
      <c r="J363" s="1">
        <v>2721429</v>
      </c>
      <c r="K363" s="1">
        <v>2863493</v>
      </c>
      <c r="L363" s="1">
        <v>2878076</v>
      </c>
      <c r="M363" s="1">
        <v>2745020</v>
      </c>
      <c r="N363" s="1">
        <v>2825774</v>
      </c>
      <c r="O363" s="1">
        <v>2930211</v>
      </c>
      <c r="P363" s="1">
        <v>3063507</v>
      </c>
      <c r="Q363" s="1">
        <v>3289242</v>
      </c>
      <c r="R363" s="1">
        <v>3716938</v>
      </c>
      <c r="S363" s="1">
        <v>3468682</v>
      </c>
      <c r="T363" s="1">
        <v>2880776</v>
      </c>
      <c r="U363" s="1">
        <v>3252163</v>
      </c>
      <c r="V363" s="1">
        <v>3706074</v>
      </c>
      <c r="W363" s="1">
        <v>3720267</v>
      </c>
      <c r="X363" s="1">
        <v>3720267</v>
      </c>
      <c r="Y363" s="1">
        <v>3720267</v>
      </c>
      <c r="Z363" s="1">
        <v>3720267</v>
      </c>
      <c r="AA363" s="1">
        <v>3720267</v>
      </c>
      <c r="AB363" s="1">
        <v>3720267</v>
      </c>
      <c r="AC363" s="1">
        <v>3720267</v>
      </c>
      <c r="AD363" s="1">
        <v>3720267</v>
      </c>
      <c r="AE363" s="1">
        <v>3720267</v>
      </c>
      <c r="AF363" s="1">
        <v>3720267</v>
      </c>
      <c r="AG363" s="1">
        <v>3720267</v>
      </c>
      <c r="AH363" s="1">
        <v>3720267</v>
      </c>
      <c r="AI363" s="1">
        <v>3720267</v>
      </c>
      <c r="AJ363" s="1">
        <v>3720267</v>
      </c>
      <c r="AK363" s="1">
        <v>3720267</v>
      </c>
      <c r="AL363" s="1">
        <v>3720267</v>
      </c>
      <c r="AM363" s="1">
        <v>3720267</v>
      </c>
      <c r="AO363" s="7">
        <f t="shared" ref="AO363" si="438">+O363-C363</f>
        <v>738452</v>
      </c>
      <c r="AP363" s="8">
        <f t="shared" ref="AP363" si="439">+(O363/C363)-1</f>
        <v>0.33692207948045372</v>
      </c>
      <c r="AQ363" s="12">
        <f t="shared" ref="AQ363" si="440">+(AA363-O363)</f>
        <v>790056</v>
      </c>
      <c r="AR363" s="13">
        <f t="shared" ref="AR363" si="441">+(AA363/O363)-1</f>
        <v>0.26962426937855333</v>
      </c>
      <c r="AS363" s="17">
        <f t="shared" ref="AS363" si="442">+AM363-AA363</f>
        <v>0</v>
      </c>
      <c r="AT363" s="18">
        <f t="shared" ref="AT363" si="443">+(AM363/AA363)-1</f>
        <v>0</v>
      </c>
    </row>
    <row r="364" spans="1:46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O364" s="7"/>
      <c r="AP364" s="8"/>
      <c r="AQ364" s="12"/>
      <c r="AR364" s="13"/>
      <c r="AS364" s="17"/>
      <c r="AT364" s="18"/>
    </row>
    <row r="365" spans="1:46">
      <c r="A365" t="s">
        <v>292</v>
      </c>
      <c r="B365">
        <v>760005</v>
      </c>
      <c r="C365">
        <v>5973864</v>
      </c>
      <c r="D365" s="1">
        <v>5973864</v>
      </c>
      <c r="E365" s="1">
        <v>5973864</v>
      </c>
      <c r="F365" s="1">
        <v>5973864</v>
      </c>
      <c r="G365" s="1">
        <v>5973864</v>
      </c>
      <c r="H365" s="1">
        <v>5973864</v>
      </c>
      <c r="I365" s="1">
        <v>5973864</v>
      </c>
      <c r="J365" s="1">
        <v>5973864</v>
      </c>
      <c r="K365" s="1">
        <v>5973864</v>
      </c>
      <c r="L365" s="1">
        <v>5973864</v>
      </c>
      <c r="M365" s="1">
        <v>5973864</v>
      </c>
      <c r="N365" s="1">
        <v>5973864</v>
      </c>
      <c r="O365" s="1">
        <v>5973864</v>
      </c>
      <c r="P365" s="1">
        <v>5973864</v>
      </c>
      <c r="Q365" s="1">
        <v>5973864</v>
      </c>
      <c r="R365" s="1">
        <v>5973864</v>
      </c>
      <c r="S365" s="1">
        <v>5973864</v>
      </c>
      <c r="T365" s="1">
        <v>5973864</v>
      </c>
      <c r="U365" s="1">
        <v>5973864</v>
      </c>
      <c r="V365" s="1">
        <v>5973864</v>
      </c>
      <c r="W365" s="1">
        <v>5973864</v>
      </c>
      <c r="X365" s="1">
        <v>5973864</v>
      </c>
      <c r="Y365" s="1">
        <v>5973864</v>
      </c>
      <c r="Z365" s="1">
        <v>5973864</v>
      </c>
      <c r="AA365" s="1">
        <v>5973864</v>
      </c>
      <c r="AB365" s="1">
        <v>5973864</v>
      </c>
      <c r="AC365" s="1">
        <v>5973864</v>
      </c>
      <c r="AD365" s="1">
        <v>5973864</v>
      </c>
      <c r="AE365" s="1">
        <v>5973864</v>
      </c>
      <c r="AF365" s="1">
        <v>5973864</v>
      </c>
      <c r="AG365" s="1">
        <v>5973864</v>
      </c>
      <c r="AH365" s="1">
        <v>5973864</v>
      </c>
      <c r="AI365" s="1">
        <v>5973864</v>
      </c>
      <c r="AJ365" s="1">
        <v>5973864</v>
      </c>
      <c r="AK365" s="1">
        <v>5973864</v>
      </c>
      <c r="AL365" s="1">
        <v>5973864</v>
      </c>
      <c r="AM365" s="1">
        <v>5973864</v>
      </c>
      <c r="AO365" s="7">
        <f t="shared" ref="AO365:AO384" si="444">+O365-C365</f>
        <v>0</v>
      </c>
      <c r="AP365" s="8">
        <f t="shared" ref="AP365:AP384" si="445">+(O365/C365)-1</f>
        <v>0</v>
      </c>
      <c r="AQ365" s="12">
        <f t="shared" ref="AQ365:AQ384" si="446">+(AA365-O365)</f>
        <v>0</v>
      </c>
      <c r="AR365" s="13">
        <f t="shared" ref="AR365:AR384" si="447">+(AA365/O365)-1</f>
        <v>0</v>
      </c>
      <c r="AS365" s="17">
        <f t="shared" ref="AS365:AS384" si="448">+AM365-AA365</f>
        <v>0</v>
      </c>
      <c r="AT365" s="18">
        <f t="shared" ref="AT365:AT384" si="449">+(AM365/AA365)-1</f>
        <v>0</v>
      </c>
    </row>
    <row r="366" spans="1:46">
      <c r="A366" t="s">
        <v>293</v>
      </c>
      <c r="C366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O366" s="7">
        <f t="shared" si="444"/>
        <v>0</v>
      </c>
      <c r="AP366" s="8" t="e">
        <f t="shared" si="445"/>
        <v>#DIV/0!</v>
      </c>
      <c r="AQ366" s="12">
        <f t="shared" si="446"/>
        <v>0</v>
      </c>
      <c r="AR366" s="13" t="e">
        <f t="shared" si="447"/>
        <v>#DIV/0!</v>
      </c>
      <c r="AS366" s="17">
        <f t="shared" si="448"/>
        <v>0</v>
      </c>
      <c r="AT366" s="18" t="e">
        <f t="shared" si="449"/>
        <v>#DIV/0!</v>
      </c>
    </row>
    <row r="367" spans="1:46">
      <c r="A367" t="s">
        <v>294</v>
      </c>
      <c r="B367">
        <v>760010</v>
      </c>
      <c r="C367">
        <v>30175546</v>
      </c>
      <c r="D367" s="1">
        <v>30175546</v>
      </c>
      <c r="E367" s="1">
        <v>30175546</v>
      </c>
      <c r="F367" s="1">
        <v>30175546</v>
      </c>
      <c r="G367" s="1">
        <v>30175546</v>
      </c>
      <c r="H367" s="1">
        <v>30175546</v>
      </c>
      <c r="I367" s="1">
        <v>30175546</v>
      </c>
      <c r="J367" s="1">
        <v>30175546</v>
      </c>
      <c r="K367" s="1">
        <v>30175546</v>
      </c>
      <c r="L367" s="1">
        <v>30175546</v>
      </c>
      <c r="M367" s="1">
        <v>30175546</v>
      </c>
      <c r="N367" s="1">
        <v>30175546</v>
      </c>
      <c r="O367" s="1">
        <v>30175546</v>
      </c>
      <c r="P367" s="1">
        <v>30175546</v>
      </c>
      <c r="Q367" s="1">
        <v>30175546</v>
      </c>
      <c r="R367" s="1">
        <v>30175546</v>
      </c>
      <c r="S367" s="1">
        <v>30175546</v>
      </c>
      <c r="T367" s="1">
        <v>30175546</v>
      </c>
      <c r="U367" s="1">
        <v>30175546</v>
      </c>
      <c r="V367" s="1">
        <v>30175546</v>
      </c>
      <c r="W367" s="1">
        <v>30175546</v>
      </c>
      <c r="X367" s="1">
        <v>30175546</v>
      </c>
      <c r="Y367" s="1">
        <v>30175546</v>
      </c>
      <c r="Z367" s="1">
        <v>30175546</v>
      </c>
      <c r="AA367" s="1">
        <v>30175546</v>
      </c>
      <c r="AB367" s="1">
        <v>30175546</v>
      </c>
      <c r="AC367" s="1">
        <v>30175546</v>
      </c>
      <c r="AD367" s="1">
        <v>30175546</v>
      </c>
      <c r="AE367" s="1">
        <v>30175546</v>
      </c>
      <c r="AF367" s="1">
        <v>30175546</v>
      </c>
      <c r="AG367" s="1">
        <v>30175546</v>
      </c>
      <c r="AH367" s="1">
        <v>30175546</v>
      </c>
      <c r="AI367" s="1">
        <v>30175546</v>
      </c>
      <c r="AJ367" s="1">
        <v>30175546</v>
      </c>
      <c r="AK367" s="1">
        <v>30175546</v>
      </c>
      <c r="AL367" s="1">
        <v>30175546</v>
      </c>
      <c r="AM367" s="1">
        <v>30175546</v>
      </c>
      <c r="AO367" s="7">
        <f t="shared" si="444"/>
        <v>0</v>
      </c>
      <c r="AP367" s="8">
        <f t="shared" si="445"/>
        <v>0</v>
      </c>
      <c r="AQ367" s="12">
        <f t="shared" si="446"/>
        <v>0</v>
      </c>
      <c r="AR367" s="13">
        <f t="shared" si="447"/>
        <v>0</v>
      </c>
      <c r="AS367" s="17">
        <f t="shared" si="448"/>
        <v>0</v>
      </c>
      <c r="AT367" s="18">
        <f t="shared" si="449"/>
        <v>0</v>
      </c>
    </row>
    <row r="368" spans="1:46">
      <c r="A368" t="s">
        <v>295</v>
      </c>
      <c r="B368">
        <v>760015</v>
      </c>
      <c r="C368">
        <v>3386320</v>
      </c>
      <c r="D368" s="1">
        <v>3386320</v>
      </c>
      <c r="E368" s="1">
        <v>3386320</v>
      </c>
      <c r="F368" s="1">
        <v>3386320</v>
      </c>
      <c r="G368" s="1">
        <v>3591240</v>
      </c>
      <c r="H368" s="1">
        <v>3624685</v>
      </c>
      <c r="I368" s="1">
        <v>3624685</v>
      </c>
      <c r="J368" s="1">
        <v>3887517</v>
      </c>
      <c r="K368" s="1">
        <v>4155223</v>
      </c>
      <c r="L368" s="1">
        <v>4155223</v>
      </c>
      <c r="M368" s="1">
        <v>4155223</v>
      </c>
      <c r="N368" s="1">
        <v>4155223</v>
      </c>
      <c r="O368" s="1">
        <v>4155223</v>
      </c>
      <c r="P368" s="1">
        <v>4155223</v>
      </c>
      <c r="Q368" s="1">
        <v>4155223</v>
      </c>
      <c r="R368" s="1">
        <v>4192754</v>
      </c>
      <c r="S368" s="1">
        <v>4192754</v>
      </c>
      <c r="T368" s="1">
        <v>4192754</v>
      </c>
      <c r="U368" s="1">
        <v>4290351</v>
      </c>
      <c r="V368" s="1">
        <v>4451841</v>
      </c>
      <c r="W368" s="1">
        <v>4464148</v>
      </c>
      <c r="X368" s="1">
        <v>4464148</v>
      </c>
      <c r="Y368" s="1">
        <v>4464148</v>
      </c>
      <c r="Z368" s="1">
        <v>4464148</v>
      </c>
      <c r="AA368" s="1">
        <v>4464148</v>
      </c>
      <c r="AB368" s="1">
        <v>7084148</v>
      </c>
      <c r="AC368" s="1">
        <v>7224148</v>
      </c>
      <c r="AD368" s="1">
        <v>7224148</v>
      </c>
      <c r="AE368" s="1">
        <v>7334148</v>
      </c>
      <c r="AF368" s="1">
        <v>7444648</v>
      </c>
      <c r="AG368" s="1">
        <v>7659148</v>
      </c>
      <c r="AH368" s="1">
        <v>7659148</v>
      </c>
      <c r="AI368" s="1">
        <v>7789148</v>
      </c>
      <c r="AJ368" s="1">
        <v>10884148</v>
      </c>
      <c r="AK368" s="1">
        <v>10934148</v>
      </c>
      <c r="AL368" s="1">
        <v>10934148</v>
      </c>
      <c r="AM368" s="1">
        <v>10934148</v>
      </c>
      <c r="AO368" s="7">
        <f t="shared" si="444"/>
        <v>768903</v>
      </c>
      <c r="AP368" s="8">
        <f t="shared" si="445"/>
        <v>0.22706152992038553</v>
      </c>
      <c r="AQ368" s="12">
        <f t="shared" si="446"/>
        <v>308925</v>
      </c>
      <c r="AR368" s="13">
        <f t="shared" si="447"/>
        <v>7.4346190324803274E-2</v>
      </c>
      <c r="AS368" s="17">
        <f t="shared" si="448"/>
        <v>6470000</v>
      </c>
      <c r="AT368" s="18">
        <f t="shared" si="449"/>
        <v>1.4493247087686161</v>
      </c>
    </row>
    <row r="369" spans="1:46">
      <c r="A369" t="s">
        <v>296</v>
      </c>
      <c r="B369">
        <v>760020</v>
      </c>
      <c r="C369">
        <v>0</v>
      </c>
      <c r="D369" s="1">
        <v>0</v>
      </c>
      <c r="E369" s="1">
        <v>102481</v>
      </c>
      <c r="F369" s="1">
        <v>373181</v>
      </c>
      <c r="G369" s="1">
        <v>516134</v>
      </c>
      <c r="H369" s="1">
        <v>314429</v>
      </c>
      <c r="I369" s="1">
        <v>387784</v>
      </c>
      <c r="J369" s="1">
        <v>14087</v>
      </c>
      <c r="K369" s="1">
        <v>0</v>
      </c>
      <c r="L369" s="1">
        <v>12232</v>
      </c>
      <c r="M369" s="1">
        <v>125804</v>
      </c>
      <c r="N369" s="1">
        <v>134118</v>
      </c>
      <c r="O369" s="1">
        <v>111075</v>
      </c>
      <c r="P369" s="1">
        <v>0</v>
      </c>
      <c r="Q369" s="1">
        <v>0</v>
      </c>
      <c r="R369" s="1">
        <v>0</v>
      </c>
      <c r="S369" s="1">
        <v>24399</v>
      </c>
      <c r="T369" s="1">
        <v>175485</v>
      </c>
      <c r="U369" s="1">
        <v>309072</v>
      </c>
      <c r="V369" s="1">
        <v>192639</v>
      </c>
      <c r="W369" s="1">
        <v>222660</v>
      </c>
      <c r="X369" s="1">
        <v>222660</v>
      </c>
      <c r="Y369" s="1">
        <v>222660</v>
      </c>
      <c r="Z369" s="1">
        <v>222660</v>
      </c>
      <c r="AA369" s="1">
        <v>222660</v>
      </c>
      <c r="AB369" s="1">
        <v>222660</v>
      </c>
      <c r="AC369" s="1">
        <v>222660</v>
      </c>
      <c r="AD369" s="1">
        <v>222660</v>
      </c>
      <c r="AE369" s="1">
        <v>222660</v>
      </c>
      <c r="AF369" s="1">
        <v>222660</v>
      </c>
      <c r="AG369" s="1">
        <v>222660</v>
      </c>
      <c r="AH369" s="1">
        <v>222660</v>
      </c>
      <c r="AI369" s="1">
        <v>222660</v>
      </c>
      <c r="AJ369" s="1">
        <v>222660</v>
      </c>
      <c r="AK369" s="1">
        <v>222660</v>
      </c>
      <c r="AL369" s="1">
        <v>222660</v>
      </c>
      <c r="AM369" s="1">
        <v>222660</v>
      </c>
      <c r="AO369" s="7">
        <f t="shared" si="444"/>
        <v>111075</v>
      </c>
      <c r="AP369" s="8" t="e">
        <f t="shared" si="445"/>
        <v>#DIV/0!</v>
      </c>
      <c r="AQ369" s="12">
        <f t="shared" si="446"/>
        <v>111585</v>
      </c>
      <c r="AR369" s="13">
        <f t="shared" si="447"/>
        <v>1.0045914922349763</v>
      </c>
      <c r="AS369" s="17">
        <f t="shared" si="448"/>
        <v>0</v>
      </c>
      <c r="AT369" s="18">
        <f t="shared" si="449"/>
        <v>0</v>
      </c>
    </row>
    <row r="370" spans="1:46">
      <c r="A370" t="s">
        <v>297</v>
      </c>
      <c r="B370">
        <v>760025</v>
      </c>
      <c r="C370">
        <v>-13777066</v>
      </c>
      <c r="D370" s="1">
        <v>-13850072</v>
      </c>
      <c r="E370" s="1">
        <v>-13923078</v>
      </c>
      <c r="F370" s="1">
        <v>-13996084</v>
      </c>
      <c r="G370" s="1">
        <v>-14070798</v>
      </c>
      <c r="H370" s="1">
        <v>-14144496</v>
      </c>
      <c r="I370" s="1">
        <v>-14217770</v>
      </c>
      <c r="J370" s="1">
        <v>-14292309</v>
      </c>
      <c r="K370" s="1">
        <v>-14369873</v>
      </c>
      <c r="L370" s="1">
        <v>-14447003</v>
      </c>
      <c r="M370" s="1">
        <v>-14522894</v>
      </c>
      <c r="N370" s="1">
        <v>-14598785</v>
      </c>
      <c r="O370" s="1">
        <v>-14674677</v>
      </c>
      <c r="P370" s="1">
        <v>-14750568</v>
      </c>
      <c r="Q370" s="1">
        <v>-14826459</v>
      </c>
      <c r="R370" s="1">
        <v>-14890332</v>
      </c>
      <c r="S370" s="1">
        <v>-14966640</v>
      </c>
      <c r="T370" s="1">
        <v>-15042947</v>
      </c>
      <c r="U370" s="1">
        <v>-15120881</v>
      </c>
      <c r="V370" s="1">
        <v>-15186763</v>
      </c>
      <c r="W370" s="1">
        <v>-15261149</v>
      </c>
      <c r="X370" s="1">
        <v>-15340100</v>
      </c>
      <c r="Y370" s="1">
        <v>-15411166</v>
      </c>
      <c r="Z370" s="1">
        <v>-15490117</v>
      </c>
      <c r="AA370" s="1">
        <v>-15569068</v>
      </c>
      <c r="AB370" s="1">
        <v>-15665633</v>
      </c>
      <c r="AC370" s="1">
        <v>-15764398</v>
      </c>
      <c r="AD370" s="1">
        <v>-15863162</v>
      </c>
      <c r="AE370" s="1">
        <v>-15964074</v>
      </c>
      <c r="AF370" s="1">
        <v>-16066792</v>
      </c>
      <c r="AG370" s="1">
        <v>-16172540</v>
      </c>
      <c r="AH370" s="1">
        <v>-16278288</v>
      </c>
      <c r="AI370" s="1">
        <v>-16385056</v>
      </c>
      <c r="AJ370" s="1">
        <v>-16515907</v>
      </c>
      <c r="AK370" s="1">
        <v>-16647381</v>
      </c>
      <c r="AL370" s="1">
        <v>-16778248</v>
      </c>
      <c r="AM370" s="1">
        <v>-16909116</v>
      </c>
      <c r="AO370" s="7">
        <f t="shared" si="444"/>
        <v>-897611</v>
      </c>
      <c r="AP370" s="8">
        <f t="shared" si="445"/>
        <v>6.5152551348741428E-2</v>
      </c>
      <c r="AQ370" s="12">
        <f t="shared" si="446"/>
        <v>-894391</v>
      </c>
      <c r="AR370" s="13">
        <f t="shared" si="447"/>
        <v>6.0947917286356734E-2</v>
      </c>
      <c r="AS370" s="17">
        <f t="shared" si="448"/>
        <v>-1340048</v>
      </c>
      <c r="AT370" s="18">
        <f t="shared" si="449"/>
        <v>8.6071176514869174E-2</v>
      </c>
    </row>
    <row r="371" spans="1:46">
      <c r="A371" t="s">
        <v>298</v>
      </c>
      <c r="C37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O371" s="7">
        <f t="shared" si="444"/>
        <v>0</v>
      </c>
      <c r="AP371" s="8" t="e">
        <f t="shared" si="445"/>
        <v>#DIV/0!</v>
      </c>
      <c r="AQ371" s="12">
        <f t="shared" si="446"/>
        <v>0</v>
      </c>
      <c r="AR371" s="13" t="e">
        <f t="shared" si="447"/>
        <v>#DIV/0!</v>
      </c>
      <c r="AS371" s="17">
        <f t="shared" si="448"/>
        <v>0</v>
      </c>
      <c r="AT371" s="18" t="e">
        <f t="shared" si="449"/>
        <v>#DIV/0!</v>
      </c>
    </row>
    <row r="372" spans="1:46">
      <c r="A372" t="s">
        <v>299</v>
      </c>
      <c r="C372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O372" s="7">
        <f t="shared" si="444"/>
        <v>0</v>
      </c>
      <c r="AP372" s="8" t="e">
        <f t="shared" si="445"/>
        <v>#DIV/0!</v>
      </c>
      <c r="AQ372" s="12">
        <f t="shared" si="446"/>
        <v>0</v>
      </c>
      <c r="AR372" s="13" t="e">
        <f t="shared" si="447"/>
        <v>#DIV/0!</v>
      </c>
      <c r="AS372" s="17">
        <f t="shared" si="448"/>
        <v>0</v>
      </c>
      <c r="AT372" s="18" t="e">
        <f t="shared" si="449"/>
        <v>#DIV/0!</v>
      </c>
    </row>
    <row r="373" spans="1:46">
      <c r="A373" t="s">
        <v>300</v>
      </c>
      <c r="B373">
        <v>760030</v>
      </c>
      <c r="C373">
        <v>4605305</v>
      </c>
      <c r="D373" s="1">
        <v>4605305</v>
      </c>
      <c r="E373" s="1">
        <v>4605305</v>
      </c>
      <c r="F373" s="1">
        <v>4605305</v>
      </c>
      <c r="G373" s="1">
        <v>4605305</v>
      </c>
      <c r="H373" s="1">
        <v>4605305</v>
      </c>
      <c r="I373" s="1">
        <v>4605305</v>
      </c>
      <c r="J373" s="1">
        <v>4605305</v>
      </c>
      <c r="K373" s="1">
        <v>4605305</v>
      </c>
      <c r="L373" s="1">
        <v>4605305</v>
      </c>
      <c r="M373" s="1">
        <v>4605305</v>
      </c>
      <c r="N373" s="1">
        <v>4605305</v>
      </c>
      <c r="O373" s="1">
        <v>4605305</v>
      </c>
      <c r="P373" s="1">
        <v>4605305</v>
      </c>
      <c r="Q373" s="1">
        <v>4605305</v>
      </c>
      <c r="R373" s="1">
        <v>4605305</v>
      </c>
      <c r="S373" s="1">
        <v>4605305</v>
      </c>
      <c r="T373" s="1">
        <v>4605305</v>
      </c>
      <c r="U373" s="1">
        <v>4605305</v>
      </c>
      <c r="V373" s="1">
        <v>4605305</v>
      </c>
      <c r="W373" s="1">
        <v>4605305</v>
      </c>
      <c r="X373" s="1">
        <v>4605305</v>
      </c>
      <c r="Y373" s="1">
        <v>4605305</v>
      </c>
      <c r="Z373" s="1">
        <v>4605305</v>
      </c>
      <c r="AA373" s="1">
        <v>4605305</v>
      </c>
      <c r="AB373" s="1">
        <v>4605305</v>
      </c>
      <c r="AC373" s="1">
        <v>4605305</v>
      </c>
      <c r="AD373" s="1">
        <v>4605305</v>
      </c>
      <c r="AE373" s="1">
        <v>4605305</v>
      </c>
      <c r="AF373" s="1">
        <v>4605305</v>
      </c>
      <c r="AG373" s="1">
        <v>4605305</v>
      </c>
      <c r="AH373" s="1">
        <v>4605305</v>
      </c>
      <c r="AI373" s="1">
        <v>4605305</v>
      </c>
      <c r="AJ373" s="1">
        <v>4605305</v>
      </c>
      <c r="AK373" s="1">
        <v>4605305</v>
      </c>
      <c r="AL373" s="1">
        <v>4605305</v>
      </c>
      <c r="AM373" s="1">
        <v>4605305</v>
      </c>
      <c r="AO373" s="7">
        <f t="shared" si="444"/>
        <v>0</v>
      </c>
      <c r="AP373" s="8">
        <f t="shared" si="445"/>
        <v>0</v>
      </c>
      <c r="AQ373" s="12">
        <f t="shared" si="446"/>
        <v>0</v>
      </c>
      <c r="AR373" s="13">
        <f t="shared" si="447"/>
        <v>0</v>
      </c>
      <c r="AS373" s="17">
        <f t="shared" si="448"/>
        <v>0</v>
      </c>
      <c r="AT373" s="18">
        <f t="shared" si="449"/>
        <v>0</v>
      </c>
    </row>
    <row r="374" spans="1:46">
      <c r="A374" t="s">
        <v>301</v>
      </c>
      <c r="B374">
        <v>760035</v>
      </c>
      <c r="C374">
        <v>-4455175</v>
      </c>
      <c r="D374" s="1">
        <v>-4469916</v>
      </c>
      <c r="E374" s="1">
        <v>-4484658</v>
      </c>
      <c r="F374" s="1">
        <v>-4499400</v>
      </c>
      <c r="G374" s="1">
        <v>-4514141</v>
      </c>
      <c r="H374" s="1">
        <v>-4516058</v>
      </c>
      <c r="I374" s="1">
        <v>-4517974</v>
      </c>
      <c r="J374" s="1">
        <v>-4519891</v>
      </c>
      <c r="K374" s="1">
        <v>-4521807</v>
      </c>
      <c r="L374" s="1">
        <v>-4523724</v>
      </c>
      <c r="M374" s="1">
        <v>-4525640</v>
      </c>
      <c r="N374" s="1">
        <v>-4527557</v>
      </c>
      <c r="O374" s="1">
        <v>-4529473</v>
      </c>
      <c r="P374" s="1">
        <v>-4531390</v>
      </c>
      <c r="Q374" s="1">
        <v>-4533306</v>
      </c>
      <c r="R374" s="1">
        <v>-4535223</v>
      </c>
      <c r="S374" s="1">
        <v>-4537140</v>
      </c>
      <c r="T374" s="1">
        <v>-4539056</v>
      </c>
      <c r="U374" s="1">
        <v>-4540973</v>
      </c>
      <c r="V374" s="1">
        <v>-4542889</v>
      </c>
      <c r="W374" s="1">
        <v>-4544806</v>
      </c>
      <c r="X374" s="1">
        <v>-4546723</v>
      </c>
      <c r="Y374" s="1">
        <v>-4548448</v>
      </c>
      <c r="Z374" s="1">
        <v>-4550365</v>
      </c>
      <c r="AA374" s="1">
        <v>-4552281</v>
      </c>
      <c r="AB374" s="1">
        <v>-4554088</v>
      </c>
      <c r="AC374" s="1">
        <v>-4555895</v>
      </c>
      <c r="AD374" s="1">
        <v>-4557702</v>
      </c>
      <c r="AE374" s="1">
        <v>-4559509</v>
      </c>
      <c r="AF374" s="1">
        <v>-4561117</v>
      </c>
      <c r="AG374" s="1">
        <v>-4562725</v>
      </c>
      <c r="AH374" s="1">
        <v>-4564333</v>
      </c>
      <c r="AI374" s="1">
        <v>-4565941</v>
      </c>
      <c r="AJ374" s="1">
        <v>-4567549</v>
      </c>
      <c r="AK374" s="1">
        <v>-4569157</v>
      </c>
      <c r="AL374" s="1">
        <v>-4570765</v>
      </c>
      <c r="AM374" s="1">
        <v>-4572373</v>
      </c>
      <c r="AO374" s="7">
        <f t="shared" si="444"/>
        <v>-74298</v>
      </c>
      <c r="AP374" s="8">
        <f t="shared" si="445"/>
        <v>1.6676785984837794E-2</v>
      </c>
      <c r="AQ374" s="12">
        <f t="shared" si="446"/>
        <v>-22808</v>
      </c>
      <c r="AR374" s="13">
        <f t="shared" si="447"/>
        <v>5.0354643906698193E-3</v>
      </c>
      <c r="AS374" s="17">
        <f t="shared" si="448"/>
        <v>-20092</v>
      </c>
      <c r="AT374" s="18">
        <f t="shared" si="449"/>
        <v>4.4136115499020523E-3</v>
      </c>
    </row>
    <row r="375" spans="1:46">
      <c r="A375" t="s">
        <v>302</v>
      </c>
      <c r="B375" t="s">
        <v>303</v>
      </c>
      <c r="C375">
        <v>5959060</v>
      </c>
      <c r="D375" s="1">
        <v>5959060</v>
      </c>
      <c r="E375" s="1">
        <v>5959060</v>
      </c>
      <c r="F375" s="1">
        <v>5959060</v>
      </c>
      <c r="G375" s="1">
        <v>6036737</v>
      </c>
      <c r="H375" s="1">
        <v>6036737</v>
      </c>
      <c r="I375" s="1">
        <v>6036737</v>
      </c>
      <c r="J375" s="1">
        <v>6097682</v>
      </c>
      <c r="K375" s="1">
        <v>6097682</v>
      </c>
      <c r="L375" s="1">
        <v>6071416</v>
      </c>
      <c r="M375" s="1">
        <v>6071416</v>
      </c>
      <c r="N375" s="1">
        <v>6071416</v>
      </c>
      <c r="O375" s="1">
        <v>6071416</v>
      </c>
      <c r="P375" s="1">
        <v>6115729</v>
      </c>
      <c r="Q375" s="1">
        <v>6115729</v>
      </c>
      <c r="R375" s="1">
        <v>6125091</v>
      </c>
      <c r="S375" s="1">
        <v>6097990</v>
      </c>
      <c r="T375" s="1">
        <v>6097990</v>
      </c>
      <c r="U375" s="1">
        <v>6143754</v>
      </c>
      <c r="V375" s="1">
        <v>6142631</v>
      </c>
      <c r="W375" s="1">
        <v>6157346</v>
      </c>
      <c r="X375" s="1">
        <v>6157346</v>
      </c>
      <c r="Y375" s="1">
        <v>6157346</v>
      </c>
      <c r="Z375" s="1">
        <v>6157346</v>
      </c>
      <c r="AA375" s="1">
        <v>6157346</v>
      </c>
      <c r="AB375" s="1">
        <v>6157346</v>
      </c>
      <c r="AC375" s="1">
        <v>6557346</v>
      </c>
      <c r="AD375" s="1">
        <v>7257346</v>
      </c>
      <c r="AE375" s="1">
        <v>7257346</v>
      </c>
      <c r="AF375" s="1">
        <v>8397346</v>
      </c>
      <c r="AG375" s="1">
        <v>8397346</v>
      </c>
      <c r="AH375" s="1">
        <v>8397346</v>
      </c>
      <c r="AI375" s="1">
        <v>8397346</v>
      </c>
      <c r="AJ375" s="1">
        <v>8397346</v>
      </c>
      <c r="AK375" s="1">
        <v>9887346</v>
      </c>
      <c r="AL375" s="1">
        <v>9887346</v>
      </c>
      <c r="AM375" s="1">
        <v>9887346</v>
      </c>
      <c r="AO375" s="7">
        <f t="shared" si="444"/>
        <v>112356</v>
      </c>
      <c r="AP375" s="8">
        <f t="shared" si="445"/>
        <v>1.8854651572563386E-2</v>
      </c>
      <c r="AQ375" s="12">
        <f t="shared" si="446"/>
        <v>85930</v>
      </c>
      <c r="AR375" s="13">
        <f t="shared" si="447"/>
        <v>1.4153205776049615E-2</v>
      </c>
      <c r="AS375" s="17">
        <f t="shared" si="448"/>
        <v>3730000</v>
      </c>
      <c r="AT375" s="18">
        <f t="shared" si="449"/>
        <v>0.60578047749793495</v>
      </c>
    </row>
    <row r="376" spans="1:46">
      <c r="A376" t="s">
        <v>304</v>
      </c>
      <c r="B376">
        <v>760050</v>
      </c>
      <c r="C376">
        <v>4113083</v>
      </c>
      <c r="D376" s="1">
        <v>4112717</v>
      </c>
      <c r="E376" s="1">
        <v>4167799</v>
      </c>
      <c r="F376" s="1">
        <v>4167799</v>
      </c>
      <c r="G376" s="1">
        <v>4167799</v>
      </c>
      <c r="H376" s="1">
        <v>4385112</v>
      </c>
      <c r="I376" s="1">
        <v>4258730</v>
      </c>
      <c r="J376" s="1">
        <v>4319647</v>
      </c>
      <c r="K376" s="1">
        <v>4370447</v>
      </c>
      <c r="L376" s="1">
        <v>4212214</v>
      </c>
      <c r="M376" s="1">
        <v>4326421</v>
      </c>
      <c r="N376" s="1">
        <v>4326421</v>
      </c>
      <c r="O376" s="1">
        <v>4148044</v>
      </c>
      <c r="P376" s="1">
        <v>4148044</v>
      </c>
      <c r="Q376" s="1">
        <v>4195973</v>
      </c>
      <c r="R376" s="1">
        <v>4195973</v>
      </c>
      <c r="S376" s="1">
        <v>4254750</v>
      </c>
      <c r="T376" s="1">
        <v>4254750</v>
      </c>
      <c r="U376" s="1">
        <v>4254750</v>
      </c>
      <c r="V376" s="1">
        <v>4301372</v>
      </c>
      <c r="W376" s="1">
        <v>4337447</v>
      </c>
      <c r="X376" s="1">
        <v>4337447</v>
      </c>
      <c r="Y376" s="1">
        <v>4337447</v>
      </c>
      <c r="Z376" s="1">
        <v>4337447</v>
      </c>
      <c r="AA376" s="1">
        <v>4337447</v>
      </c>
      <c r="AB376" s="1">
        <v>4337447</v>
      </c>
      <c r="AC376" s="1">
        <v>4337447</v>
      </c>
      <c r="AD376" s="1">
        <v>4337447</v>
      </c>
      <c r="AE376" s="1">
        <v>4337447</v>
      </c>
      <c r="AF376" s="1">
        <v>4337447</v>
      </c>
      <c r="AG376" s="1">
        <v>4337447</v>
      </c>
      <c r="AH376" s="1">
        <v>4337447</v>
      </c>
      <c r="AI376" s="1">
        <v>4337447</v>
      </c>
      <c r="AJ376" s="1">
        <v>4337447</v>
      </c>
      <c r="AK376" s="1">
        <v>4337447</v>
      </c>
      <c r="AL376" s="1">
        <v>4337447</v>
      </c>
      <c r="AM376" s="1">
        <v>4337447</v>
      </c>
      <c r="AO376" s="7">
        <f t="shared" si="444"/>
        <v>34961</v>
      </c>
      <c r="AP376" s="8">
        <f t="shared" si="445"/>
        <v>8.4999500374780546E-3</v>
      </c>
      <c r="AQ376" s="12">
        <f t="shared" si="446"/>
        <v>189403</v>
      </c>
      <c r="AR376" s="13">
        <f t="shared" si="447"/>
        <v>4.566079819789759E-2</v>
      </c>
      <c r="AS376" s="17">
        <f t="shared" si="448"/>
        <v>0</v>
      </c>
      <c r="AT376" s="18">
        <f t="shared" si="449"/>
        <v>0</v>
      </c>
    </row>
    <row r="377" spans="1:46">
      <c r="A377" t="s">
        <v>305</v>
      </c>
      <c r="B377">
        <v>760090</v>
      </c>
      <c r="C377">
        <v>2345154</v>
      </c>
      <c r="D377" s="1">
        <v>2345154</v>
      </c>
      <c r="E377" s="1">
        <v>2345154</v>
      </c>
      <c r="F377" s="1">
        <v>2345154</v>
      </c>
      <c r="G377" s="1">
        <v>1892436</v>
      </c>
      <c r="H377" s="1">
        <v>1892436</v>
      </c>
      <c r="I377" s="1">
        <v>1892436</v>
      </c>
      <c r="J377" s="1">
        <v>1892436</v>
      </c>
      <c r="K377" s="1">
        <v>1892436</v>
      </c>
      <c r="L377" s="1">
        <v>1892436</v>
      </c>
      <c r="M377" s="1">
        <v>1892436</v>
      </c>
      <c r="N377" s="1">
        <v>1892436</v>
      </c>
      <c r="O377" s="1">
        <v>1892436</v>
      </c>
      <c r="P377" s="1">
        <v>1892436</v>
      </c>
      <c r="Q377" s="1">
        <v>1892436</v>
      </c>
      <c r="R377" s="1">
        <v>1892436</v>
      </c>
      <c r="S377" s="1">
        <v>1617736</v>
      </c>
      <c r="T377" s="1">
        <v>1617736</v>
      </c>
      <c r="U377" s="1">
        <v>1617736</v>
      </c>
      <c r="V377" s="1">
        <v>1589827</v>
      </c>
      <c r="W377" s="1">
        <v>1589827</v>
      </c>
      <c r="X377" s="1">
        <v>1589827</v>
      </c>
      <c r="Y377" s="1">
        <v>1589827</v>
      </c>
      <c r="Z377" s="1">
        <v>1589827</v>
      </c>
      <c r="AA377" s="1">
        <v>1589827</v>
      </c>
      <c r="AB377" s="1">
        <v>1589827</v>
      </c>
      <c r="AC377" s="1">
        <v>1589827</v>
      </c>
      <c r="AD377" s="1">
        <v>1589827</v>
      </c>
      <c r="AE377" s="1">
        <v>1589827</v>
      </c>
      <c r="AF377" s="1">
        <v>1589827</v>
      </c>
      <c r="AG377" s="1">
        <v>1629827</v>
      </c>
      <c r="AH377" s="1">
        <v>1679827</v>
      </c>
      <c r="AI377" s="1">
        <v>1754827</v>
      </c>
      <c r="AJ377" s="1">
        <v>1794827</v>
      </c>
      <c r="AK377" s="1">
        <v>1794827</v>
      </c>
      <c r="AL377" s="1">
        <v>1794827</v>
      </c>
      <c r="AM377" s="1">
        <v>1794827</v>
      </c>
      <c r="AO377" s="7">
        <f t="shared" si="444"/>
        <v>-452718</v>
      </c>
      <c r="AP377" s="8">
        <f t="shared" si="445"/>
        <v>-0.19304403889893795</v>
      </c>
      <c r="AQ377" s="12">
        <f t="shared" si="446"/>
        <v>-302609</v>
      </c>
      <c r="AR377" s="13">
        <f t="shared" si="447"/>
        <v>-0.1599044828992896</v>
      </c>
      <c r="AS377" s="17">
        <f t="shared" si="448"/>
        <v>205000</v>
      </c>
      <c r="AT377" s="18">
        <f t="shared" si="449"/>
        <v>0.12894484745824553</v>
      </c>
    </row>
    <row r="378" spans="1:46">
      <c r="A378" t="s">
        <v>306</v>
      </c>
      <c r="B378">
        <v>760110</v>
      </c>
      <c r="C378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O378" s="7">
        <f t="shared" si="444"/>
        <v>0</v>
      </c>
      <c r="AP378" s="8" t="e">
        <f t="shared" si="445"/>
        <v>#DIV/0!</v>
      </c>
      <c r="AQ378" s="12">
        <f t="shared" si="446"/>
        <v>0</v>
      </c>
      <c r="AR378" s="13" t="e">
        <f t="shared" si="447"/>
        <v>#DIV/0!</v>
      </c>
      <c r="AS378" s="17">
        <f t="shared" si="448"/>
        <v>0</v>
      </c>
      <c r="AT378" s="18" t="e">
        <f t="shared" si="449"/>
        <v>#DIV/0!</v>
      </c>
    </row>
    <row r="379" spans="1:46">
      <c r="A379" t="s">
        <v>307</v>
      </c>
      <c r="B379">
        <v>760115</v>
      </c>
      <c r="C379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O379" s="7">
        <f t="shared" si="444"/>
        <v>0</v>
      </c>
      <c r="AP379" s="8" t="e">
        <f t="shared" si="445"/>
        <v>#DIV/0!</v>
      </c>
      <c r="AQ379" s="12">
        <f t="shared" si="446"/>
        <v>0</v>
      </c>
      <c r="AR379" s="13" t="e">
        <f t="shared" si="447"/>
        <v>#DIV/0!</v>
      </c>
      <c r="AS379" s="17">
        <f t="shared" si="448"/>
        <v>0</v>
      </c>
      <c r="AT379" s="18" t="e">
        <f t="shared" si="449"/>
        <v>#DIV/0!</v>
      </c>
    </row>
    <row r="380" spans="1:46">
      <c r="A380" t="s">
        <v>308</v>
      </c>
      <c r="B380">
        <v>760120</v>
      </c>
      <c r="C380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O380" s="7">
        <f t="shared" si="444"/>
        <v>0</v>
      </c>
      <c r="AP380" s="8" t="e">
        <f t="shared" si="445"/>
        <v>#DIV/0!</v>
      </c>
      <c r="AQ380" s="12">
        <f t="shared" si="446"/>
        <v>0</v>
      </c>
      <c r="AR380" s="13" t="e">
        <f t="shared" si="447"/>
        <v>#DIV/0!</v>
      </c>
      <c r="AS380" s="17">
        <f t="shared" si="448"/>
        <v>0</v>
      </c>
      <c r="AT380" s="18" t="e">
        <f t="shared" si="449"/>
        <v>#DIV/0!</v>
      </c>
    </row>
    <row r="381" spans="1:46">
      <c r="A381" t="s">
        <v>309</v>
      </c>
      <c r="C38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O381" s="7">
        <f t="shared" si="444"/>
        <v>0</v>
      </c>
      <c r="AP381" s="8" t="e">
        <f t="shared" si="445"/>
        <v>#DIV/0!</v>
      </c>
      <c r="AQ381" s="12">
        <f t="shared" si="446"/>
        <v>0</v>
      </c>
      <c r="AR381" s="13" t="e">
        <f t="shared" si="447"/>
        <v>#DIV/0!</v>
      </c>
      <c r="AS381" s="17">
        <f t="shared" si="448"/>
        <v>0</v>
      </c>
      <c r="AT381" s="18" t="e">
        <f t="shared" si="449"/>
        <v>#DIV/0!</v>
      </c>
    </row>
    <row r="382" spans="1:46">
      <c r="A382" t="s">
        <v>310</v>
      </c>
      <c r="B382" t="s">
        <v>311</v>
      </c>
      <c r="C382">
        <v>-11644753</v>
      </c>
      <c r="D382" s="1">
        <v>-11676446</v>
      </c>
      <c r="E382" s="1">
        <v>-11709001</v>
      </c>
      <c r="F382" s="1">
        <v>-11741467</v>
      </c>
      <c r="G382" s="1">
        <v>-11322751</v>
      </c>
      <c r="H382" s="1">
        <v>-11358720</v>
      </c>
      <c r="I382" s="1">
        <v>-11266755</v>
      </c>
      <c r="J382" s="1">
        <v>-11160492</v>
      </c>
      <c r="K382" s="1">
        <v>-11193881</v>
      </c>
      <c r="L382" s="1">
        <v>-11046522</v>
      </c>
      <c r="M382" s="1">
        <v>-11158662</v>
      </c>
      <c r="N382" s="1">
        <v>-11197836</v>
      </c>
      <c r="O382" s="1">
        <v>-11043846</v>
      </c>
      <c r="P382" s="1">
        <v>-11017112</v>
      </c>
      <c r="Q382" s="1">
        <v>-11058335</v>
      </c>
      <c r="R382" s="1">
        <v>-11067421</v>
      </c>
      <c r="S382" s="1">
        <v>-10808261</v>
      </c>
      <c r="T382" s="1">
        <v>-10850451</v>
      </c>
      <c r="U382" s="1">
        <v>-10890538</v>
      </c>
      <c r="V382" s="1">
        <v>-10898342</v>
      </c>
      <c r="W382" s="1">
        <v>-10940285</v>
      </c>
      <c r="X382" s="1">
        <v>-10955750</v>
      </c>
      <c r="Y382" s="1">
        <v>-10971478</v>
      </c>
      <c r="Z382" s="1">
        <v>-10986943</v>
      </c>
      <c r="AA382" s="1">
        <v>-11001949</v>
      </c>
      <c r="AB382" s="1">
        <v>-11013056</v>
      </c>
      <c r="AC382" s="1">
        <v>-11036880</v>
      </c>
      <c r="AD382" s="1">
        <v>-11063469</v>
      </c>
      <c r="AE382" s="1">
        <v>-11084463</v>
      </c>
      <c r="AF382" s="1">
        <v>-11105854</v>
      </c>
      <c r="AG382" s="1">
        <v>-11127641</v>
      </c>
      <c r="AH382" s="1">
        <v>-11149824</v>
      </c>
      <c r="AI382" s="1">
        <v>-11172403</v>
      </c>
      <c r="AJ382" s="1">
        <v>-11195378</v>
      </c>
      <c r="AK382" s="1">
        <v>-11219806</v>
      </c>
      <c r="AL382" s="1">
        <v>-11243573</v>
      </c>
      <c r="AM382" s="1">
        <v>-11298918</v>
      </c>
      <c r="AO382" s="7">
        <f t="shared" si="444"/>
        <v>600907</v>
      </c>
      <c r="AP382" s="8">
        <f t="shared" si="445"/>
        <v>-5.1603241391208532E-2</v>
      </c>
      <c r="AQ382" s="12">
        <f t="shared" si="446"/>
        <v>41897</v>
      </c>
      <c r="AR382" s="13">
        <f t="shared" si="447"/>
        <v>-3.7936965075391349E-3</v>
      </c>
      <c r="AS382" s="17">
        <f t="shared" si="448"/>
        <v>-296969</v>
      </c>
      <c r="AT382" s="18">
        <f t="shared" si="449"/>
        <v>2.6992399255804544E-2</v>
      </c>
    </row>
    <row r="383" spans="1:46">
      <c r="A383" t="s">
        <v>312</v>
      </c>
      <c r="B383">
        <v>760300</v>
      </c>
      <c r="C383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O383" s="7">
        <f t="shared" si="444"/>
        <v>0</v>
      </c>
      <c r="AP383" s="8" t="e">
        <f t="shared" si="445"/>
        <v>#DIV/0!</v>
      </c>
      <c r="AQ383" s="12">
        <f t="shared" si="446"/>
        <v>0</v>
      </c>
      <c r="AR383" s="13" t="e">
        <f t="shared" si="447"/>
        <v>#DIV/0!</v>
      </c>
      <c r="AS383" s="17">
        <f t="shared" si="448"/>
        <v>0</v>
      </c>
      <c r="AT383" s="18" t="e">
        <f t="shared" si="449"/>
        <v>#DIV/0!</v>
      </c>
    </row>
    <row r="384" spans="1:46">
      <c r="A384" t="s">
        <v>313</v>
      </c>
      <c r="B384">
        <v>760350</v>
      </c>
      <c r="C384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O384" s="7">
        <f t="shared" si="444"/>
        <v>0</v>
      </c>
      <c r="AP384" s="8" t="e">
        <f t="shared" si="445"/>
        <v>#DIV/0!</v>
      </c>
      <c r="AQ384" s="12">
        <f t="shared" si="446"/>
        <v>0</v>
      </c>
      <c r="AR384" s="13" t="e">
        <f t="shared" si="447"/>
        <v>#DIV/0!</v>
      </c>
      <c r="AS384" s="17">
        <f t="shared" si="448"/>
        <v>0</v>
      </c>
      <c r="AT384" s="18" t="e">
        <f t="shared" si="449"/>
        <v>#DIV/0!</v>
      </c>
    </row>
    <row r="385" spans="1:46">
      <c r="A385" t="s">
        <v>11</v>
      </c>
      <c r="B385" t="s">
        <v>12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O385" s="7"/>
      <c r="AP385" s="8"/>
      <c r="AQ385" s="12"/>
      <c r="AR385" s="13"/>
      <c r="AS385" s="17"/>
      <c r="AT385" s="18"/>
    </row>
    <row r="386" spans="1:46">
      <c r="A386" t="s">
        <v>314</v>
      </c>
      <c r="C386">
        <v>26681338</v>
      </c>
      <c r="D386" s="1">
        <v>26561531</v>
      </c>
      <c r="E386" s="1">
        <v>26598792</v>
      </c>
      <c r="F386" s="1">
        <v>26749279</v>
      </c>
      <c r="G386" s="1">
        <v>27051373</v>
      </c>
      <c r="H386" s="1">
        <v>26988841</v>
      </c>
      <c r="I386" s="1">
        <v>26952588</v>
      </c>
      <c r="J386" s="1">
        <v>26993391</v>
      </c>
      <c r="K386" s="1">
        <v>27184941</v>
      </c>
      <c r="L386" s="1">
        <v>27080986</v>
      </c>
      <c r="M386" s="1">
        <v>27118818</v>
      </c>
      <c r="N386" s="1">
        <v>27010150</v>
      </c>
      <c r="O386" s="1">
        <v>26884913</v>
      </c>
      <c r="P386" s="1">
        <v>26767077</v>
      </c>
      <c r="Q386" s="1">
        <v>26695976</v>
      </c>
      <c r="R386" s="1">
        <v>26667993</v>
      </c>
      <c r="S386" s="1">
        <v>26630305</v>
      </c>
      <c r="T386" s="1">
        <v>26660976</v>
      </c>
      <c r="U386" s="1">
        <v>26817987</v>
      </c>
      <c r="V386" s="1">
        <v>26805029</v>
      </c>
      <c r="W386" s="1">
        <v>26779903</v>
      </c>
      <c r="X386" s="1">
        <v>26683570</v>
      </c>
      <c r="Y386" s="1">
        <v>26595050</v>
      </c>
      <c r="Z386" s="1">
        <v>26498717</v>
      </c>
      <c r="AA386" s="1">
        <v>26402844</v>
      </c>
      <c r="AB386" s="1">
        <v>28913366</v>
      </c>
      <c r="AC386" s="1">
        <v>29328970</v>
      </c>
      <c r="AD386" s="1">
        <v>29901810</v>
      </c>
      <c r="AE386" s="1">
        <v>29888097</v>
      </c>
      <c r="AF386" s="1">
        <v>31012880</v>
      </c>
      <c r="AG386" s="1">
        <v>31138237</v>
      </c>
      <c r="AH386" s="1">
        <v>31058698</v>
      </c>
      <c r="AI386" s="1">
        <v>31132743</v>
      </c>
      <c r="AJ386" s="1">
        <v>34112308</v>
      </c>
      <c r="AK386" s="1">
        <v>35494799</v>
      </c>
      <c r="AL386" s="1">
        <v>35338557</v>
      </c>
      <c r="AM386" s="1">
        <v>35150736</v>
      </c>
      <c r="AO386" s="7">
        <f t="shared" ref="AO386" si="450">+O386-C386</f>
        <v>203575</v>
      </c>
      <c r="AP386" s="8">
        <f t="shared" ref="AP386" si="451">+(O386/C386)-1</f>
        <v>7.6298647391670471E-3</v>
      </c>
      <c r="AQ386" s="12">
        <f t="shared" ref="AQ386" si="452">+(AA386-O386)</f>
        <v>-482069</v>
      </c>
      <c r="AR386" s="13">
        <f t="shared" ref="AR386" si="453">+(AA386/O386)-1</f>
        <v>-1.793083726921485E-2</v>
      </c>
      <c r="AS386" s="17">
        <f t="shared" ref="AS386" si="454">+AM386-AA386</f>
        <v>8747892</v>
      </c>
      <c r="AT386" s="18">
        <f t="shared" ref="AT386" si="455">+(AM386/AA386)-1</f>
        <v>0.33132385283948951</v>
      </c>
    </row>
    <row r="387" spans="1:46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O387" s="7"/>
      <c r="AP387" s="8"/>
      <c r="AQ387" s="12"/>
      <c r="AR387" s="13"/>
      <c r="AS387" s="17"/>
      <c r="AT387" s="18"/>
    </row>
    <row r="388" spans="1:46">
      <c r="A388" t="s">
        <v>315</v>
      </c>
      <c r="B388">
        <v>770110</v>
      </c>
      <c r="C388">
        <v>642812</v>
      </c>
      <c r="D388" s="1">
        <v>665963</v>
      </c>
      <c r="E388" s="1">
        <v>629300</v>
      </c>
      <c r="F388" s="1">
        <v>633885</v>
      </c>
      <c r="G388" s="1">
        <v>617075</v>
      </c>
      <c r="H388" s="1">
        <v>640829</v>
      </c>
      <c r="I388" s="1">
        <v>652086</v>
      </c>
      <c r="J388" s="1">
        <v>667888</v>
      </c>
      <c r="K388" s="1">
        <v>679361</v>
      </c>
      <c r="L388" s="1">
        <v>689320</v>
      </c>
      <c r="M388" s="1">
        <v>686916</v>
      </c>
      <c r="N388" s="1">
        <v>717832</v>
      </c>
      <c r="O388" s="1">
        <v>699404</v>
      </c>
      <c r="P388" s="1">
        <v>726407</v>
      </c>
      <c r="Q388" s="1">
        <v>662391</v>
      </c>
      <c r="R388" s="1">
        <v>628245</v>
      </c>
      <c r="S388" s="1">
        <v>628144</v>
      </c>
      <c r="T388" s="1">
        <v>655914</v>
      </c>
      <c r="U388" s="1">
        <v>680748</v>
      </c>
      <c r="V388" s="1">
        <v>693245</v>
      </c>
      <c r="W388" s="1">
        <v>706110</v>
      </c>
      <c r="X388" s="1">
        <v>706110</v>
      </c>
      <c r="Y388" s="1">
        <v>706110</v>
      </c>
      <c r="Z388" s="1">
        <v>706110</v>
      </c>
      <c r="AA388" s="1">
        <v>706110</v>
      </c>
      <c r="AB388" s="1">
        <v>706110</v>
      </c>
      <c r="AC388" s="1">
        <v>706110</v>
      </c>
      <c r="AD388" s="1">
        <v>706110</v>
      </c>
      <c r="AE388" s="1">
        <v>706110</v>
      </c>
      <c r="AF388" s="1">
        <v>706110</v>
      </c>
      <c r="AG388" s="1">
        <v>706110</v>
      </c>
      <c r="AH388" s="1">
        <v>706110</v>
      </c>
      <c r="AI388" s="1">
        <v>706110</v>
      </c>
      <c r="AJ388" s="1">
        <v>706110</v>
      </c>
      <c r="AK388" s="1">
        <v>706110</v>
      </c>
      <c r="AL388" s="1">
        <v>706110</v>
      </c>
      <c r="AM388" s="1">
        <v>706110</v>
      </c>
      <c r="AO388" s="7">
        <f t="shared" ref="AO388" si="456">+O388-C388</f>
        <v>56592</v>
      </c>
      <c r="AP388" s="8">
        <f t="shared" ref="AP388" si="457">+(O388/C388)-1</f>
        <v>8.8038182236797047E-2</v>
      </c>
      <c r="AQ388" s="12">
        <f t="shared" ref="AQ388" si="458">+(AA388-O388)</f>
        <v>6706</v>
      </c>
      <c r="AR388" s="13">
        <f t="shared" ref="AR388" si="459">+(AA388/O388)-1</f>
        <v>9.5881636364676393E-3</v>
      </c>
      <c r="AS388" s="17">
        <f t="shared" ref="AS388" si="460">+AM388-AA388</f>
        <v>0</v>
      </c>
      <c r="AT388" s="18">
        <f t="shared" ref="AT388" si="461">+(AM388/AA388)-1</f>
        <v>0</v>
      </c>
    </row>
    <row r="389" spans="1:46">
      <c r="A389" t="s">
        <v>11</v>
      </c>
      <c r="B389" t="s">
        <v>12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O389" s="7"/>
      <c r="AP389" s="8"/>
      <c r="AQ389" s="12"/>
      <c r="AR389" s="13"/>
      <c r="AS389" s="17"/>
      <c r="AT389" s="18"/>
    </row>
    <row r="390" spans="1:46">
      <c r="A390" t="s">
        <v>315</v>
      </c>
      <c r="C390">
        <v>642812</v>
      </c>
      <c r="D390" s="1">
        <v>665963</v>
      </c>
      <c r="E390" s="1">
        <v>629300</v>
      </c>
      <c r="F390" s="1">
        <v>633885</v>
      </c>
      <c r="G390" s="1">
        <v>617075</v>
      </c>
      <c r="H390" s="1">
        <v>640829</v>
      </c>
      <c r="I390" s="1">
        <v>652086</v>
      </c>
      <c r="J390" s="1">
        <v>667888</v>
      </c>
      <c r="K390" s="1">
        <v>679361</v>
      </c>
      <c r="L390" s="1">
        <v>689320</v>
      </c>
      <c r="M390" s="1">
        <v>686916</v>
      </c>
      <c r="N390" s="1">
        <v>717832</v>
      </c>
      <c r="O390" s="1">
        <v>699404</v>
      </c>
      <c r="P390" s="1">
        <v>726407</v>
      </c>
      <c r="Q390" s="1">
        <v>662391</v>
      </c>
      <c r="R390" s="1">
        <v>628245</v>
      </c>
      <c r="S390" s="1">
        <v>628144</v>
      </c>
      <c r="T390" s="1">
        <v>655914</v>
      </c>
      <c r="U390" s="1">
        <v>680748</v>
      </c>
      <c r="V390" s="1">
        <v>693245</v>
      </c>
      <c r="W390" s="1">
        <v>706110</v>
      </c>
      <c r="X390" s="1">
        <v>706110</v>
      </c>
      <c r="Y390" s="1">
        <v>706110</v>
      </c>
      <c r="Z390" s="1">
        <v>706110</v>
      </c>
      <c r="AA390" s="1">
        <v>706110</v>
      </c>
      <c r="AB390" s="1">
        <v>706110</v>
      </c>
      <c r="AC390" s="1">
        <v>706110</v>
      </c>
      <c r="AD390" s="1">
        <v>706110</v>
      </c>
      <c r="AE390" s="1">
        <v>706110</v>
      </c>
      <c r="AF390" s="1">
        <v>706110</v>
      </c>
      <c r="AG390" s="1">
        <v>706110</v>
      </c>
      <c r="AH390" s="1">
        <v>706110</v>
      </c>
      <c r="AI390" s="1">
        <v>706110</v>
      </c>
      <c r="AJ390" s="1">
        <v>706110</v>
      </c>
      <c r="AK390" s="1">
        <v>706110</v>
      </c>
      <c r="AL390" s="1">
        <v>706110</v>
      </c>
      <c r="AM390" s="1">
        <v>706110</v>
      </c>
      <c r="AO390" s="7">
        <f t="shared" ref="AO390" si="462">+O390-C390</f>
        <v>56592</v>
      </c>
      <c r="AP390" s="8">
        <f t="shared" ref="AP390" si="463">+(O390/C390)-1</f>
        <v>8.8038182236797047E-2</v>
      </c>
      <c r="AQ390" s="12">
        <f t="shared" ref="AQ390" si="464">+(AA390-O390)</f>
        <v>6706</v>
      </c>
      <c r="AR390" s="13">
        <f t="shared" ref="AR390" si="465">+(AA390/O390)-1</f>
        <v>9.5881636364676393E-3</v>
      </c>
      <c r="AS390" s="17">
        <f t="shared" ref="AS390" si="466">+AM390-AA390</f>
        <v>0</v>
      </c>
      <c r="AT390" s="18">
        <f t="shared" ref="AT390" si="467">+(AM390/AA390)-1</f>
        <v>0</v>
      </c>
    </row>
    <row r="391" spans="1:46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O391" s="7"/>
      <c r="AP391" s="8"/>
      <c r="AQ391" s="12"/>
      <c r="AR391" s="13"/>
      <c r="AS391" s="17"/>
      <c r="AT391" s="18"/>
    </row>
    <row r="392" spans="1:46">
      <c r="A392" t="s">
        <v>316</v>
      </c>
      <c r="B392" t="s">
        <v>317</v>
      </c>
      <c r="C392">
        <v>33526097</v>
      </c>
      <c r="D392" s="1">
        <v>43167498</v>
      </c>
      <c r="E392" s="1">
        <v>68537754</v>
      </c>
      <c r="F392" s="1">
        <v>45761709</v>
      </c>
      <c r="G392" s="1">
        <v>46995787</v>
      </c>
      <c r="H392" s="1">
        <v>37715143</v>
      </c>
      <c r="I392" s="1">
        <v>43879731</v>
      </c>
      <c r="J392" s="1">
        <v>46249018</v>
      </c>
      <c r="K392" s="1">
        <v>36385599</v>
      </c>
      <c r="L392" s="1">
        <v>44481436</v>
      </c>
      <c r="M392" s="1">
        <v>56616917</v>
      </c>
      <c r="N392" s="1">
        <v>31369170</v>
      </c>
      <c r="O392" s="1">
        <v>35104148</v>
      </c>
      <c r="P392" s="1">
        <v>35041257</v>
      </c>
      <c r="Q392" s="1">
        <v>36024451</v>
      </c>
      <c r="R392" s="1">
        <v>43644970</v>
      </c>
      <c r="S392" s="1">
        <v>43544426</v>
      </c>
      <c r="T392" s="1">
        <v>29909973</v>
      </c>
      <c r="U392" s="1">
        <v>40885207</v>
      </c>
      <c r="V392" s="1">
        <v>71435830</v>
      </c>
      <c r="W392" s="1">
        <v>29887051</v>
      </c>
      <c r="X392" s="1">
        <v>29887051</v>
      </c>
      <c r="Y392" s="1">
        <v>29887051</v>
      </c>
      <c r="Z392" s="1">
        <v>29887051</v>
      </c>
      <c r="AA392" s="1">
        <v>29887051</v>
      </c>
      <c r="AB392" s="1">
        <v>29887051</v>
      </c>
      <c r="AC392" s="1">
        <v>29887051</v>
      </c>
      <c r="AD392" s="1">
        <v>29887051</v>
      </c>
      <c r="AE392" s="1">
        <v>29887051</v>
      </c>
      <c r="AF392" s="1">
        <v>29887051</v>
      </c>
      <c r="AG392" s="1">
        <v>29887051</v>
      </c>
      <c r="AH392" s="1">
        <v>29887051</v>
      </c>
      <c r="AI392" s="1">
        <v>29887051</v>
      </c>
      <c r="AJ392" s="1">
        <v>29887051</v>
      </c>
      <c r="AK392" s="1">
        <v>29887051</v>
      </c>
      <c r="AL392" s="1">
        <v>29887051</v>
      </c>
      <c r="AM392" s="1">
        <v>29887051</v>
      </c>
      <c r="AO392" s="7">
        <f t="shared" ref="AO392:AO396" si="468">+O392-C392</f>
        <v>1578051</v>
      </c>
      <c r="AP392" s="8">
        <f t="shared" ref="AP392:AP396" si="469">+(O392/C392)-1</f>
        <v>4.7069332287620558E-2</v>
      </c>
      <c r="AQ392" s="12">
        <f t="shared" ref="AQ392:AQ396" si="470">+(AA392-O392)</f>
        <v>-5217097</v>
      </c>
      <c r="AR392" s="13">
        <f t="shared" ref="AR392:AR396" si="471">+(AA392/O392)-1</f>
        <v>-0.14861767902756107</v>
      </c>
      <c r="AS392" s="17">
        <f t="shared" ref="AS392:AS396" si="472">+AM392-AA392</f>
        <v>0</v>
      </c>
      <c r="AT392" s="18">
        <f t="shared" ref="AT392:AT396" si="473">+(AM392/AA392)-1</f>
        <v>0</v>
      </c>
    </row>
    <row r="393" spans="1:46">
      <c r="A393" t="s">
        <v>318</v>
      </c>
      <c r="C393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O393" s="7">
        <f t="shared" si="468"/>
        <v>0</v>
      </c>
      <c r="AP393" s="8" t="e">
        <f t="shared" si="469"/>
        <v>#DIV/0!</v>
      </c>
      <c r="AQ393" s="12">
        <f t="shared" si="470"/>
        <v>0</v>
      </c>
      <c r="AR393" s="13" t="e">
        <f t="shared" si="471"/>
        <v>#DIV/0!</v>
      </c>
      <c r="AS393" s="17">
        <f t="shared" si="472"/>
        <v>0</v>
      </c>
      <c r="AT393" s="18" t="e">
        <f t="shared" si="473"/>
        <v>#DIV/0!</v>
      </c>
    </row>
    <row r="394" spans="1:46">
      <c r="A394" t="s">
        <v>319</v>
      </c>
      <c r="B394" t="s">
        <v>320</v>
      </c>
      <c r="C394">
        <v>6795428</v>
      </c>
      <c r="D394" s="1">
        <v>6780464</v>
      </c>
      <c r="E394" s="1">
        <v>6938332</v>
      </c>
      <c r="F394" s="1">
        <v>6500240</v>
      </c>
      <c r="G394" s="1">
        <v>6560674</v>
      </c>
      <c r="H394" s="1">
        <v>6295719</v>
      </c>
      <c r="I394" s="1">
        <v>5588270</v>
      </c>
      <c r="J394" s="1">
        <v>6087605</v>
      </c>
      <c r="K394" s="1">
        <v>6198244</v>
      </c>
      <c r="L394" s="1">
        <v>6128159</v>
      </c>
      <c r="M394" s="1">
        <v>6130986</v>
      </c>
      <c r="N394" s="1">
        <v>5671202</v>
      </c>
      <c r="O394" s="1">
        <v>6665924</v>
      </c>
      <c r="P394" s="1">
        <v>6953102</v>
      </c>
      <c r="Q394" s="1">
        <v>6727674</v>
      </c>
      <c r="R394" s="1">
        <v>6389467</v>
      </c>
      <c r="S394" s="1">
        <v>6209137</v>
      </c>
      <c r="T394" s="1">
        <v>5852389</v>
      </c>
      <c r="U394" s="1">
        <v>6037619</v>
      </c>
      <c r="V394" s="1">
        <v>6693644</v>
      </c>
      <c r="W394" s="1">
        <v>6098029</v>
      </c>
      <c r="X394" s="1">
        <v>6098029</v>
      </c>
      <c r="Y394" s="1">
        <v>6098029</v>
      </c>
      <c r="Z394" s="1">
        <v>6098029</v>
      </c>
      <c r="AA394" s="1">
        <v>6098029</v>
      </c>
      <c r="AB394" s="1">
        <v>6098029</v>
      </c>
      <c r="AC394" s="1">
        <v>6098029</v>
      </c>
      <c r="AD394" s="1">
        <v>6098029</v>
      </c>
      <c r="AE394" s="1">
        <v>6098029</v>
      </c>
      <c r="AF394" s="1">
        <v>6098029</v>
      </c>
      <c r="AG394" s="1">
        <v>6098029</v>
      </c>
      <c r="AH394" s="1">
        <v>6098029</v>
      </c>
      <c r="AI394" s="1">
        <v>6098029</v>
      </c>
      <c r="AJ394" s="1">
        <v>6098029</v>
      </c>
      <c r="AK394" s="1">
        <v>6098029</v>
      </c>
      <c r="AL394" s="1">
        <v>6098029</v>
      </c>
      <c r="AM394" s="1">
        <v>6098029</v>
      </c>
      <c r="AO394" s="7">
        <f t="shared" si="468"/>
        <v>-129504</v>
      </c>
      <c r="AP394" s="8">
        <f t="shared" si="469"/>
        <v>-1.9057519261479916E-2</v>
      </c>
      <c r="AQ394" s="12">
        <f t="shared" si="470"/>
        <v>-567895</v>
      </c>
      <c r="AR394" s="13">
        <f t="shared" si="471"/>
        <v>-8.5193740582700905E-2</v>
      </c>
      <c r="AS394" s="17">
        <f t="shared" si="472"/>
        <v>0</v>
      </c>
      <c r="AT394" s="18">
        <f t="shared" si="473"/>
        <v>0</v>
      </c>
    </row>
    <row r="395" spans="1:46">
      <c r="A395" t="s">
        <v>321</v>
      </c>
      <c r="C395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O395" s="7">
        <f t="shared" si="468"/>
        <v>0</v>
      </c>
      <c r="AP395" s="8" t="e">
        <f t="shared" si="469"/>
        <v>#DIV/0!</v>
      </c>
      <c r="AQ395" s="12">
        <f t="shared" si="470"/>
        <v>0</v>
      </c>
      <c r="AR395" s="13" t="e">
        <f t="shared" si="471"/>
        <v>#DIV/0!</v>
      </c>
      <c r="AS395" s="17">
        <f t="shared" si="472"/>
        <v>0</v>
      </c>
      <c r="AT395" s="18" t="e">
        <f t="shared" si="473"/>
        <v>#DIV/0!</v>
      </c>
    </row>
    <row r="396" spans="1:46">
      <c r="A396" t="s">
        <v>322</v>
      </c>
      <c r="B396">
        <v>770105</v>
      </c>
      <c r="C396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O396" s="7">
        <f t="shared" si="468"/>
        <v>0</v>
      </c>
      <c r="AP396" s="8" t="e">
        <f t="shared" si="469"/>
        <v>#DIV/0!</v>
      </c>
      <c r="AQ396" s="12">
        <f t="shared" si="470"/>
        <v>0</v>
      </c>
      <c r="AR396" s="13" t="e">
        <f t="shared" si="471"/>
        <v>#DIV/0!</v>
      </c>
      <c r="AS396" s="17">
        <f t="shared" si="472"/>
        <v>0</v>
      </c>
      <c r="AT396" s="18" t="e">
        <f t="shared" si="473"/>
        <v>#DIV/0!</v>
      </c>
    </row>
    <row r="397" spans="1:46">
      <c r="A397" t="s">
        <v>11</v>
      </c>
      <c r="B397" t="s">
        <v>12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46">
      <c r="A398" t="s">
        <v>323</v>
      </c>
      <c r="C398">
        <v>40321525</v>
      </c>
      <c r="D398" s="1">
        <v>49947962</v>
      </c>
      <c r="E398" s="1">
        <v>75476086</v>
      </c>
      <c r="F398" s="1">
        <v>52261949</v>
      </c>
      <c r="G398" s="1">
        <v>53556461</v>
      </c>
      <c r="H398" s="1">
        <v>44010862</v>
      </c>
      <c r="I398" s="1">
        <v>49468001</v>
      </c>
      <c r="J398" s="1">
        <v>52336624</v>
      </c>
      <c r="K398" s="1">
        <v>42583843</v>
      </c>
      <c r="L398" s="1">
        <v>50609594</v>
      </c>
      <c r="M398" s="1">
        <v>62747903</v>
      </c>
      <c r="N398" s="1">
        <v>37040372</v>
      </c>
      <c r="O398" s="1">
        <v>41770072</v>
      </c>
      <c r="P398" s="1">
        <v>41994359</v>
      </c>
      <c r="Q398" s="1">
        <v>42752125</v>
      </c>
      <c r="R398" s="1">
        <v>50034437</v>
      </c>
      <c r="S398" s="1">
        <v>49753563</v>
      </c>
      <c r="T398" s="1">
        <v>35762361</v>
      </c>
      <c r="U398" s="1">
        <v>46922826</v>
      </c>
      <c r="V398" s="1">
        <v>78129474</v>
      </c>
      <c r="W398" s="1">
        <v>35985080</v>
      </c>
      <c r="X398" s="1">
        <v>35985080</v>
      </c>
      <c r="Y398" s="1">
        <v>35985080</v>
      </c>
      <c r="Z398" s="1">
        <v>35985080</v>
      </c>
      <c r="AA398" s="1">
        <v>35985080</v>
      </c>
      <c r="AB398" s="1">
        <v>35985080</v>
      </c>
      <c r="AC398" s="1">
        <v>35985080</v>
      </c>
      <c r="AD398" s="1">
        <v>35985080</v>
      </c>
      <c r="AE398" s="1">
        <v>35985080</v>
      </c>
      <c r="AF398" s="1">
        <v>35985080</v>
      </c>
      <c r="AG398" s="1">
        <v>35985080</v>
      </c>
      <c r="AH398" s="1">
        <v>35985080</v>
      </c>
      <c r="AI398" s="1">
        <v>35985080</v>
      </c>
      <c r="AJ398" s="1">
        <v>35985080</v>
      </c>
      <c r="AK398" s="1">
        <v>35985080</v>
      </c>
      <c r="AL398" s="1">
        <v>35985080</v>
      </c>
      <c r="AM398" s="1">
        <v>35985080</v>
      </c>
      <c r="AO398" s="7">
        <f t="shared" ref="AO398" si="474">+O398-C398</f>
        <v>1448547</v>
      </c>
      <c r="AP398" s="8">
        <f t="shared" ref="AP398" si="475">+(O398/C398)-1</f>
        <v>3.5924906114042088E-2</v>
      </c>
      <c r="AQ398" s="12">
        <f t="shared" ref="AQ398" si="476">+(AA398-O398)</f>
        <v>-5784992</v>
      </c>
      <c r="AR398" s="13">
        <f t="shared" ref="AR398" si="477">+(AA398/O398)-1</f>
        <v>-0.13849609835482213</v>
      </c>
      <c r="AS398" s="17">
        <f t="shared" ref="AS398" si="478">+AM398-AA398</f>
        <v>0</v>
      </c>
      <c r="AT398" s="18">
        <f t="shared" ref="AT398" si="479">+(AM398/AA398)-1</f>
        <v>0</v>
      </c>
    </row>
    <row r="399" spans="1:46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O399" s="7"/>
      <c r="AP399" s="8"/>
      <c r="AQ399" s="12"/>
      <c r="AR399" s="13"/>
      <c r="AS399" s="17"/>
      <c r="AT399" s="18"/>
    </row>
    <row r="400" spans="1:46">
      <c r="A400" t="s">
        <v>324</v>
      </c>
      <c r="B400">
        <v>790201</v>
      </c>
      <c r="C400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O400" s="7">
        <f t="shared" ref="AO400:AO401" si="480">+O400-C400</f>
        <v>0</v>
      </c>
      <c r="AP400" s="8" t="e">
        <f t="shared" ref="AP400:AP401" si="481">+(O400/C400)-1</f>
        <v>#DIV/0!</v>
      </c>
      <c r="AQ400" s="12">
        <f t="shared" ref="AQ400:AQ401" si="482">+(AA400-O400)</f>
        <v>0</v>
      </c>
      <c r="AR400" s="13" t="e">
        <f t="shared" ref="AR400:AR401" si="483">+(AA400/O400)-1</f>
        <v>#DIV/0!</v>
      </c>
      <c r="AS400" s="17">
        <f t="shared" ref="AS400:AS401" si="484">+AM400-AA400</f>
        <v>0</v>
      </c>
      <c r="AT400" s="18" t="e">
        <f t="shared" ref="AT400:AT401" si="485">+(AM400/AA400)-1</f>
        <v>#DIV/0!</v>
      </c>
    </row>
    <row r="401" spans="1:46">
      <c r="A401" t="s">
        <v>325</v>
      </c>
      <c r="B401">
        <v>790202</v>
      </c>
      <c r="C401">
        <v>192000</v>
      </c>
      <c r="D401" s="1">
        <v>192000</v>
      </c>
      <c r="E401" s="1">
        <v>192000</v>
      </c>
      <c r="F401" s="1">
        <v>192000</v>
      </c>
      <c r="G401" s="1">
        <v>192000</v>
      </c>
      <c r="H401" s="1">
        <v>192000</v>
      </c>
      <c r="I401" s="1">
        <v>192000</v>
      </c>
      <c r="J401" s="1">
        <v>192000</v>
      </c>
      <c r="K401" s="1">
        <v>192000</v>
      </c>
      <c r="L401" s="1">
        <v>192000</v>
      </c>
      <c r="M401" s="1">
        <v>192000</v>
      </c>
      <c r="N401" s="1">
        <v>192000</v>
      </c>
      <c r="O401" s="1">
        <v>192000</v>
      </c>
      <c r="P401" s="1">
        <v>192000</v>
      </c>
      <c r="Q401" s="1">
        <v>192000</v>
      </c>
      <c r="R401" s="1">
        <v>192000</v>
      </c>
      <c r="S401" s="1">
        <v>192000</v>
      </c>
      <c r="T401" s="1">
        <v>192000</v>
      </c>
      <c r="U401" s="1">
        <v>192000</v>
      </c>
      <c r="V401" s="1">
        <v>192000</v>
      </c>
      <c r="W401" s="1">
        <v>192000</v>
      </c>
      <c r="X401" s="1">
        <v>192000</v>
      </c>
      <c r="Y401" s="1">
        <v>192000</v>
      </c>
      <c r="Z401" s="1">
        <v>192000</v>
      </c>
      <c r="AA401" s="1">
        <v>192000</v>
      </c>
      <c r="AB401" s="1">
        <v>192000</v>
      </c>
      <c r="AC401" s="1">
        <v>192000</v>
      </c>
      <c r="AD401" s="1">
        <v>192000</v>
      </c>
      <c r="AE401" s="1">
        <v>192000</v>
      </c>
      <c r="AF401" s="1">
        <v>192000</v>
      </c>
      <c r="AG401" s="1">
        <v>192000</v>
      </c>
      <c r="AH401" s="1">
        <v>192000</v>
      </c>
      <c r="AI401" s="1">
        <v>192000</v>
      </c>
      <c r="AJ401" s="1">
        <v>192000</v>
      </c>
      <c r="AK401" s="1">
        <v>192000</v>
      </c>
      <c r="AL401" s="1">
        <v>192000</v>
      </c>
      <c r="AM401" s="1">
        <v>192000</v>
      </c>
      <c r="AO401" s="7">
        <f t="shared" si="480"/>
        <v>0</v>
      </c>
      <c r="AP401" s="8">
        <f t="shared" si="481"/>
        <v>0</v>
      </c>
      <c r="AQ401" s="12">
        <f t="shared" si="482"/>
        <v>0</v>
      </c>
      <c r="AR401" s="13">
        <f t="shared" si="483"/>
        <v>0</v>
      </c>
      <c r="AS401" s="17">
        <f t="shared" si="484"/>
        <v>0</v>
      </c>
      <c r="AT401" s="18">
        <f t="shared" si="485"/>
        <v>0</v>
      </c>
    </row>
    <row r="402" spans="1:46">
      <c r="A402" t="s">
        <v>11</v>
      </c>
      <c r="B402" t="s">
        <v>12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O402" s="7"/>
      <c r="AP402" s="8"/>
      <c r="AQ402" s="12"/>
      <c r="AR402" s="13"/>
      <c r="AS402" s="17"/>
      <c r="AT402" s="18"/>
    </row>
    <row r="403" spans="1:46">
      <c r="A403" t="s">
        <v>326</v>
      </c>
      <c r="C403">
        <v>192000</v>
      </c>
      <c r="D403" s="1">
        <v>192000</v>
      </c>
      <c r="E403" s="1">
        <v>192000</v>
      </c>
      <c r="F403" s="1">
        <v>192000</v>
      </c>
      <c r="G403" s="1">
        <v>192000</v>
      </c>
      <c r="H403" s="1">
        <v>192000</v>
      </c>
      <c r="I403" s="1">
        <v>192000</v>
      </c>
      <c r="J403" s="1">
        <v>192000</v>
      </c>
      <c r="K403" s="1">
        <v>192000</v>
      </c>
      <c r="L403" s="1">
        <v>192000</v>
      </c>
      <c r="M403" s="1">
        <v>192000</v>
      </c>
      <c r="N403" s="1">
        <v>192000</v>
      </c>
      <c r="O403" s="1">
        <v>192000</v>
      </c>
      <c r="P403" s="1">
        <v>192000</v>
      </c>
      <c r="Q403" s="1">
        <v>192000</v>
      </c>
      <c r="R403" s="1">
        <v>192000</v>
      </c>
      <c r="S403" s="1">
        <v>192000</v>
      </c>
      <c r="T403" s="1">
        <v>192000</v>
      </c>
      <c r="U403" s="1">
        <v>192000</v>
      </c>
      <c r="V403" s="1">
        <v>192000</v>
      </c>
      <c r="W403" s="1">
        <v>192000</v>
      </c>
      <c r="X403" s="1">
        <v>192000</v>
      </c>
      <c r="Y403" s="1">
        <v>192000</v>
      </c>
      <c r="Z403" s="1">
        <v>192000</v>
      </c>
      <c r="AA403" s="1">
        <v>192000</v>
      </c>
      <c r="AB403" s="1">
        <v>192000</v>
      </c>
      <c r="AC403" s="1">
        <v>192000</v>
      </c>
      <c r="AD403" s="1">
        <v>192000</v>
      </c>
      <c r="AE403" s="1">
        <v>192000</v>
      </c>
      <c r="AF403" s="1">
        <v>192000</v>
      </c>
      <c r="AG403" s="1">
        <v>192000</v>
      </c>
      <c r="AH403" s="1">
        <v>192000</v>
      </c>
      <c r="AI403" s="1">
        <v>192000</v>
      </c>
      <c r="AJ403" s="1">
        <v>192000</v>
      </c>
      <c r="AK403" s="1">
        <v>192000</v>
      </c>
      <c r="AL403" s="1">
        <v>192000</v>
      </c>
      <c r="AM403" s="1">
        <v>192000</v>
      </c>
      <c r="AO403" s="7">
        <f t="shared" ref="AO403" si="486">+O403-C403</f>
        <v>0</v>
      </c>
      <c r="AP403" s="8">
        <f t="shared" ref="AP403" si="487">+(O403/C403)-1</f>
        <v>0</v>
      </c>
      <c r="AQ403" s="12">
        <f t="shared" ref="AQ403" si="488">+(AA403-O403)</f>
        <v>0</v>
      </c>
      <c r="AR403" s="13">
        <f t="shared" ref="AR403" si="489">+(AA403/O403)-1</f>
        <v>0</v>
      </c>
      <c r="AS403" s="17">
        <f t="shared" ref="AS403" si="490">+AM403-AA403</f>
        <v>0</v>
      </c>
      <c r="AT403" s="18">
        <f t="shared" ref="AT403" si="491">+(AM403/AA403)-1</f>
        <v>0</v>
      </c>
    </row>
    <row r="404" spans="1:46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O404" s="7"/>
      <c r="AP404" s="8"/>
      <c r="AQ404" s="12"/>
      <c r="AR404" s="13"/>
      <c r="AS404" s="17"/>
      <c r="AT404" s="18"/>
    </row>
    <row r="405" spans="1:46">
      <c r="A405" t="s">
        <v>327</v>
      </c>
      <c r="B405">
        <v>730031</v>
      </c>
      <c r="C405">
        <v>5373254</v>
      </c>
      <c r="D405" s="1">
        <v>5373254</v>
      </c>
      <c r="E405" s="1">
        <v>5373254</v>
      </c>
      <c r="F405" s="1">
        <v>5348858</v>
      </c>
      <c r="G405" s="1">
        <v>5348858</v>
      </c>
      <c r="H405" s="1">
        <v>5348858</v>
      </c>
      <c r="I405" s="1">
        <v>5324747</v>
      </c>
      <c r="J405" s="1">
        <v>5324747</v>
      </c>
      <c r="K405" s="1">
        <v>5324747</v>
      </c>
      <c r="L405" s="1">
        <v>5300807</v>
      </c>
      <c r="M405" s="1">
        <v>5300807</v>
      </c>
      <c r="N405" s="1">
        <v>5300807</v>
      </c>
      <c r="O405" s="1">
        <v>5686532</v>
      </c>
      <c r="P405" s="1">
        <v>5686532</v>
      </c>
      <c r="Q405" s="1">
        <v>5686532</v>
      </c>
      <c r="R405" s="1">
        <v>5670078</v>
      </c>
      <c r="S405" s="1">
        <v>5670078</v>
      </c>
      <c r="T405" s="1">
        <v>5670078</v>
      </c>
      <c r="U405" s="1">
        <v>5653715</v>
      </c>
      <c r="V405" s="1">
        <v>5653715</v>
      </c>
      <c r="W405" s="1">
        <v>5653715</v>
      </c>
      <c r="X405" s="1">
        <v>5653715</v>
      </c>
      <c r="Y405" s="1">
        <v>5653715</v>
      </c>
      <c r="Z405" s="1">
        <v>5653715</v>
      </c>
      <c r="AA405" s="1">
        <v>5653715</v>
      </c>
      <c r="AB405" s="1">
        <v>5653715</v>
      </c>
      <c r="AC405" s="1">
        <v>5653715</v>
      </c>
      <c r="AD405" s="1">
        <v>5653715</v>
      </c>
      <c r="AE405" s="1">
        <v>5653715</v>
      </c>
      <c r="AF405" s="1">
        <v>5653715</v>
      </c>
      <c r="AG405" s="1">
        <v>5653715</v>
      </c>
      <c r="AH405" s="1">
        <v>5653715</v>
      </c>
      <c r="AI405" s="1">
        <v>5653715</v>
      </c>
      <c r="AJ405" s="1">
        <v>5653715</v>
      </c>
      <c r="AK405" s="1">
        <v>5653715</v>
      </c>
      <c r="AL405" s="1">
        <v>5653715</v>
      </c>
      <c r="AM405" s="1">
        <v>5653715</v>
      </c>
      <c r="AO405" s="7">
        <f t="shared" ref="AO405:AO408" si="492">+O405-C405</f>
        <v>313278</v>
      </c>
      <c r="AP405" s="8">
        <f t="shared" ref="AP405:AP408" si="493">+(O405/C405)-1</f>
        <v>5.8303218124436285E-2</v>
      </c>
      <c r="AQ405" s="12">
        <f t="shared" ref="AQ405:AQ408" si="494">+(AA405-O405)</f>
        <v>-32817</v>
      </c>
      <c r="AR405" s="13">
        <f t="shared" ref="AR405:AR408" si="495">+(AA405/O405)-1</f>
        <v>-5.7710041902516718E-3</v>
      </c>
      <c r="AS405" s="17">
        <f t="shared" ref="AS405:AS408" si="496">+AM405-AA405</f>
        <v>0</v>
      </c>
      <c r="AT405" s="18">
        <f t="shared" ref="AT405:AT408" si="497">+(AM405/AA405)-1</f>
        <v>0</v>
      </c>
    </row>
    <row r="406" spans="1:46">
      <c r="A406" t="s">
        <v>328</v>
      </c>
      <c r="B406">
        <v>730035</v>
      </c>
      <c r="C406">
        <v>5193694</v>
      </c>
      <c r="D406" s="1">
        <v>5211475</v>
      </c>
      <c r="E406" s="1">
        <v>5229298</v>
      </c>
      <c r="F406" s="1">
        <v>5247164</v>
      </c>
      <c r="G406" s="1">
        <v>5262362</v>
      </c>
      <c r="H406" s="1">
        <v>5274560</v>
      </c>
      <c r="I406" s="1">
        <v>5287081</v>
      </c>
      <c r="J406" s="1">
        <v>5299968</v>
      </c>
      <c r="K406" s="1">
        <v>5312888</v>
      </c>
      <c r="L406" s="1">
        <v>5325842</v>
      </c>
      <c r="M406" s="1">
        <v>5338829</v>
      </c>
      <c r="N406" s="1">
        <v>5351849</v>
      </c>
      <c r="O406" s="1">
        <v>5364903</v>
      </c>
      <c r="P406" s="1">
        <v>5377991</v>
      </c>
      <c r="Q406" s="1">
        <v>5391113</v>
      </c>
      <c r="R406" s="1">
        <v>5404268</v>
      </c>
      <c r="S406" s="1">
        <v>5417437</v>
      </c>
      <c r="T406" s="1">
        <v>5430640</v>
      </c>
      <c r="U406" s="1">
        <v>5444279</v>
      </c>
      <c r="V406" s="1">
        <v>5458411</v>
      </c>
      <c r="W406" s="1">
        <v>5472580</v>
      </c>
      <c r="X406" s="1">
        <v>5472580</v>
      </c>
      <c r="Y406" s="1">
        <v>5472580</v>
      </c>
      <c r="Z406" s="1">
        <v>5472580</v>
      </c>
      <c r="AA406" s="1">
        <v>5472580</v>
      </c>
      <c r="AB406" s="1">
        <v>5472580</v>
      </c>
      <c r="AC406" s="1">
        <v>5472580</v>
      </c>
      <c r="AD406" s="1">
        <v>5472580</v>
      </c>
      <c r="AE406" s="1">
        <v>5472580</v>
      </c>
      <c r="AF406" s="1">
        <v>5472580</v>
      </c>
      <c r="AG406" s="1">
        <v>5472580</v>
      </c>
      <c r="AH406" s="1">
        <v>5472580</v>
      </c>
      <c r="AI406" s="1">
        <v>5472580</v>
      </c>
      <c r="AJ406" s="1">
        <v>5472580</v>
      </c>
      <c r="AK406" s="1">
        <v>5472580</v>
      </c>
      <c r="AL406" s="1">
        <v>5472580</v>
      </c>
      <c r="AM406" s="1">
        <v>5472580</v>
      </c>
      <c r="AO406" s="7">
        <f t="shared" si="492"/>
        <v>171209</v>
      </c>
      <c r="AP406" s="8">
        <f t="shared" si="493"/>
        <v>3.2964783832085676E-2</v>
      </c>
      <c r="AQ406" s="12">
        <f t="shared" si="494"/>
        <v>107677</v>
      </c>
      <c r="AR406" s="13">
        <f t="shared" si="495"/>
        <v>2.0070633150310435E-2</v>
      </c>
      <c r="AS406" s="17">
        <f t="shared" si="496"/>
        <v>0</v>
      </c>
      <c r="AT406" s="18">
        <f t="shared" si="497"/>
        <v>0</v>
      </c>
    </row>
    <row r="407" spans="1:46">
      <c r="A407" t="s">
        <v>329</v>
      </c>
      <c r="B407">
        <v>790300</v>
      </c>
      <c r="C407">
        <v>1962294</v>
      </c>
      <c r="D407" s="1">
        <v>1910651</v>
      </c>
      <c r="E407" s="1">
        <v>1858818</v>
      </c>
      <c r="F407" s="1">
        <v>1806793</v>
      </c>
      <c r="G407" s="1">
        <v>1754576</v>
      </c>
      <c r="H407" s="1">
        <v>1702166</v>
      </c>
      <c r="I407" s="1">
        <v>1649219</v>
      </c>
      <c r="J407" s="1">
        <v>2070021</v>
      </c>
      <c r="K407" s="1">
        <v>2070676</v>
      </c>
      <c r="L407" s="1">
        <v>2018869</v>
      </c>
      <c r="M407" s="1">
        <v>1966873</v>
      </c>
      <c r="N407" s="1">
        <v>1914501</v>
      </c>
      <c r="O407" s="1">
        <v>1861939</v>
      </c>
      <c r="P407" s="1">
        <v>1809185</v>
      </c>
      <c r="Q407" s="1">
        <v>1900662</v>
      </c>
      <c r="R407" s="1">
        <v>1848042</v>
      </c>
      <c r="S407" s="1">
        <v>1795231</v>
      </c>
      <c r="T407" s="1">
        <v>1742230</v>
      </c>
      <c r="U407" s="1">
        <v>1688631</v>
      </c>
      <c r="V407" s="1">
        <v>1634535</v>
      </c>
      <c r="W407" s="1">
        <v>1580198</v>
      </c>
      <c r="X407" s="1">
        <v>1580198</v>
      </c>
      <c r="Y407" s="1">
        <v>1580198</v>
      </c>
      <c r="Z407" s="1">
        <v>1580198</v>
      </c>
      <c r="AA407" s="1">
        <v>1580198</v>
      </c>
      <c r="AB407" s="1">
        <v>1580198</v>
      </c>
      <c r="AC407" s="1">
        <v>1580198</v>
      </c>
      <c r="AD407" s="1">
        <v>1580198</v>
      </c>
      <c r="AE407" s="1">
        <v>1580198</v>
      </c>
      <c r="AF407" s="1">
        <v>1580198</v>
      </c>
      <c r="AG407" s="1">
        <v>1580198</v>
      </c>
      <c r="AH407" s="1">
        <v>1580198</v>
      </c>
      <c r="AI407" s="1">
        <v>1580198</v>
      </c>
      <c r="AJ407" s="1">
        <v>1580198</v>
      </c>
      <c r="AK407" s="1">
        <v>1580198</v>
      </c>
      <c r="AL407" s="1">
        <v>1580198</v>
      </c>
      <c r="AM407" s="1">
        <v>1580198</v>
      </c>
      <c r="AO407" s="7">
        <f t="shared" si="492"/>
        <v>-100355</v>
      </c>
      <c r="AP407" s="8">
        <f t="shared" si="493"/>
        <v>-5.1141673979536173E-2</v>
      </c>
      <c r="AQ407" s="12">
        <f t="shared" si="494"/>
        <v>-281741</v>
      </c>
      <c r="AR407" s="13">
        <f t="shared" si="495"/>
        <v>-0.15131591314215986</v>
      </c>
      <c r="AS407" s="17">
        <f t="shared" si="496"/>
        <v>0</v>
      </c>
      <c r="AT407" s="18">
        <f t="shared" si="497"/>
        <v>0</v>
      </c>
    </row>
    <row r="408" spans="1:46">
      <c r="A408" t="s">
        <v>330</v>
      </c>
      <c r="B408">
        <v>790301</v>
      </c>
      <c r="C408">
        <v>754870</v>
      </c>
      <c r="D408" s="1">
        <v>734817</v>
      </c>
      <c r="E408" s="1">
        <v>714700</v>
      </c>
      <c r="F408" s="1">
        <v>694519</v>
      </c>
      <c r="G408" s="1">
        <v>674274</v>
      </c>
      <c r="H408" s="1">
        <v>653964</v>
      </c>
      <c r="I408" s="1">
        <v>633589</v>
      </c>
      <c r="J408" s="1">
        <v>613150</v>
      </c>
      <c r="K408" s="1">
        <v>592645</v>
      </c>
      <c r="L408" s="1">
        <v>572075</v>
      </c>
      <c r="M408" s="1">
        <v>551439</v>
      </c>
      <c r="N408" s="1">
        <v>770043</v>
      </c>
      <c r="O408" s="1">
        <v>945785</v>
      </c>
      <c r="P408" s="1">
        <v>968263</v>
      </c>
      <c r="Q408" s="1">
        <v>945270</v>
      </c>
      <c r="R408" s="1">
        <v>921262</v>
      </c>
      <c r="S408" s="1">
        <v>896400</v>
      </c>
      <c r="T408" s="1">
        <v>871451</v>
      </c>
      <c r="U408" s="1">
        <v>846415</v>
      </c>
      <c r="V408" s="1">
        <v>821292</v>
      </c>
      <c r="W408" s="1">
        <v>796081</v>
      </c>
      <c r="X408" s="1">
        <v>796081</v>
      </c>
      <c r="Y408" s="1">
        <v>796081</v>
      </c>
      <c r="Z408" s="1">
        <v>796081</v>
      </c>
      <c r="AA408" s="1">
        <v>796081</v>
      </c>
      <c r="AB408" s="1">
        <v>796081</v>
      </c>
      <c r="AC408" s="1">
        <v>796081</v>
      </c>
      <c r="AD408" s="1">
        <v>796081</v>
      </c>
      <c r="AE408" s="1">
        <v>796081</v>
      </c>
      <c r="AF408" s="1">
        <v>796081</v>
      </c>
      <c r="AG408" s="1">
        <v>796081</v>
      </c>
      <c r="AH408" s="1">
        <v>796081</v>
      </c>
      <c r="AI408" s="1">
        <v>796081</v>
      </c>
      <c r="AJ408" s="1">
        <v>796081</v>
      </c>
      <c r="AK408" s="1">
        <v>796081</v>
      </c>
      <c r="AL408" s="1">
        <v>796081</v>
      </c>
      <c r="AM408" s="1">
        <v>796081</v>
      </c>
      <c r="AO408" s="7">
        <f t="shared" si="492"/>
        <v>190915</v>
      </c>
      <c r="AP408" s="8">
        <f t="shared" si="493"/>
        <v>0.25291109727502747</v>
      </c>
      <c r="AQ408" s="12">
        <f t="shared" si="494"/>
        <v>-149704</v>
      </c>
      <c r="AR408" s="13">
        <f t="shared" si="495"/>
        <v>-0.15828544542364276</v>
      </c>
      <c r="AS408" s="17">
        <f t="shared" si="496"/>
        <v>0</v>
      </c>
      <c r="AT408" s="18">
        <f t="shared" si="497"/>
        <v>0</v>
      </c>
    </row>
    <row r="409" spans="1:46">
      <c r="A409" t="s">
        <v>11</v>
      </c>
      <c r="B409" t="s">
        <v>12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46">
      <c r="A410" t="s">
        <v>331</v>
      </c>
      <c r="C410">
        <v>13284113</v>
      </c>
      <c r="D410" s="1">
        <v>13230198</v>
      </c>
      <c r="E410" s="1">
        <v>13176070</v>
      </c>
      <c r="F410" s="1">
        <v>13097334</v>
      </c>
      <c r="G410" s="1">
        <v>13040069</v>
      </c>
      <c r="H410" s="1">
        <v>12979548</v>
      </c>
      <c r="I410" s="1">
        <v>12894636</v>
      </c>
      <c r="J410" s="1">
        <v>13307885</v>
      </c>
      <c r="K410" s="1">
        <v>13300956</v>
      </c>
      <c r="L410" s="1">
        <v>13217592</v>
      </c>
      <c r="M410" s="1">
        <v>13157948</v>
      </c>
      <c r="N410" s="1">
        <v>13337200</v>
      </c>
      <c r="O410" s="1">
        <v>13859159</v>
      </c>
      <c r="P410" s="1">
        <v>13841971</v>
      </c>
      <c r="Q410" s="1">
        <v>13923576</v>
      </c>
      <c r="R410" s="1">
        <v>13843650</v>
      </c>
      <c r="S410" s="1">
        <v>13779146</v>
      </c>
      <c r="T410" s="1">
        <v>13714399</v>
      </c>
      <c r="U410" s="1">
        <v>13633039</v>
      </c>
      <c r="V410" s="1">
        <v>13567953</v>
      </c>
      <c r="W410" s="1">
        <v>13502574</v>
      </c>
      <c r="X410" s="1">
        <v>13502574</v>
      </c>
      <c r="Y410" s="1">
        <v>13502574</v>
      </c>
      <c r="Z410" s="1">
        <v>13502574</v>
      </c>
      <c r="AA410" s="1">
        <v>13502574</v>
      </c>
      <c r="AB410" s="1">
        <v>13502574</v>
      </c>
      <c r="AC410" s="1">
        <v>13502574</v>
      </c>
      <c r="AD410" s="1">
        <v>13502574</v>
      </c>
      <c r="AE410" s="1">
        <v>13502574</v>
      </c>
      <c r="AF410" s="1">
        <v>13502574</v>
      </c>
      <c r="AG410" s="1">
        <v>13502574</v>
      </c>
      <c r="AH410" s="1">
        <v>13502574</v>
      </c>
      <c r="AI410" s="1">
        <v>13502574</v>
      </c>
      <c r="AJ410" s="1">
        <v>13502574</v>
      </c>
      <c r="AK410" s="1">
        <v>13502574</v>
      </c>
      <c r="AL410" s="1">
        <v>13502574</v>
      </c>
      <c r="AM410" s="1">
        <v>13502574</v>
      </c>
      <c r="AO410" s="7">
        <f t="shared" ref="AO410" si="498">+O410-C410</f>
        <v>575046</v>
      </c>
      <c r="AP410" s="8">
        <f t="shared" ref="AP410" si="499">+(O410/C410)-1</f>
        <v>4.3288249655810684E-2</v>
      </c>
      <c r="AQ410" s="12">
        <f t="shared" ref="AQ410" si="500">+(AA410-O410)</f>
        <v>-356585</v>
      </c>
      <c r="AR410" s="13">
        <f t="shared" ref="AR410" si="501">+(AA410/O410)-1</f>
        <v>-2.572919467912882E-2</v>
      </c>
      <c r="AS410" s="17">
        <f t="shared" ref="AS410" si="502">+AM410-AA410</f>
        <v>0</v>
      </c>
      <c r="AT410" s="18">
        <f t="shared" ref="AT410" si="503">+(AM410/AA410)-1</f>
        <v>0</v>
      </c>
    </row>
    <row r="411" spans="1:46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O411" s="7"/>
      <c r="AP411" s="8"/>
      <c r="AQ411" s="12"/>
      <c r="AR411" s="13"/>
      <c r="AS411" s="17"/>
      <c r="AT411" s="18"/>
    </row>
    <row r="412" spans="1:46">
      <c r="A412" t="s">
        <v>332</v>
      </c>
      <c r="C412">
        <v>2368604374</v>
      </c>
      <c r="D412" s="1">
        <v>2333861255</v>
      </c>
      <c r="E412" s="1">
        <v>2363599959</v>
      </c>
      <c r="F412" s="1">
        <v>2361793365</v>
      </c>
      <c r="G412" s="1">
        <v>2319627958</v>
      </c>
      <c r="H412" s="1">
        <v>2319920977</v>
      </c>
      <c r="I412" s="1">
        <v>2326919430</v>
      </c>
      <c r="J412" s="1">
        <v>2316519996</v>
      </c>
      <c r="K412" s="1">
        <v>2352156104</v>
      </c>
      <c r="L412" s="1">
        <v>2330946132</v>
      </c>
      <c r="M412" s="1">
        <v>2325401748</v>
      </c>
      <c r="N412" s="1">
        <v>2331511739</v>
      </c>
      <c r="O412" s="1">
        <v>2320001190</v>
      </c>
      <c r="P412" s="1">
        <v>2343100605</v>
      </c>
      <c r="Q412" s="1">
        <v>2345498316</v>
      </c>
      <c r="R412" s="1">
        <v>2329887401</v>
      </c>
      <c r="S412" s="1">
        <v>2334748388</v>
      </c>
      <c r="T412" s="1">
        <v>2345066003</v>
      </c>
      <c r="U412" s="1">
        <v>2345250482</v>
      </c>
      <c r="V412" s="1">
        <v>2382504278</v>
      </c>
      <c r="W412" s="1">
        <v>2407329448</v>
      </c>
      <c r="X412" s="1">
        <v>2436462458</v>
      </c>
      <c r="Y412" s="1">
        <v>2454443028</v>
      </c>
      <c r="Z412" s="1">
        <v>2468132004</v>
      </c>
      <c r="AA412" s="1">
        <v>2472949703</v>
      </c>
      <c r="AB412" s="1">
        <v>2485330631</v>
      </c>
      <c r="AC412" s="1">
        <v>2497629859</v>
      </c>
      <c r="AD412" s="1">
        <v>2510336170</v>
      </c>
      <c r="AE412" s="1">
        <v>2525889287</v>
      </c>
      <c r="AF412" s="1">
        <v>2541556940</v>
      </c>
      <c r="AG412" s="1">
        <v>2558803994</v>
      </c>
      <c r="AH412" s="1">
        <v>2579344532</v>
      </c>
      <c r="AI412" s="1">
        <v>2599803783</v>
      </c>
      <c r="AJ412" s="1">
        <v>2620674622</v>
      </c>
      <c r="AK412" s="1">
        <v>2640206587</v>
      </c>
      <c r="AL412" s="1">
        <v>2658627662</v>
      </c>
      <c r="AM412" s="1">
        <v>2674203754</v>
      </c>
      <c r="AO412" s="7">
        <f t="shared" ref="AO412" si="504">+O412-C412</f>
        <v>-48603184</v>
      </c>
      <c r="AP412" s="8">
        <f t="shared" ref="AP412" si="505">+(O412/C412)-1</f>
        <v>-2.0519756078099638E-2</v>
      </c>
      <c r="AQ412" s="12">
        <f t="shared" ref="AQ412" si="506">+(AA412-O412)</f>
        <v>152948513</v>
      </c>
      <c r="AR412" s="13">
        <f t="shared" ref="AR412" si="507">+(AA412/O412)-1</f>
        <v>6.5926049374138485E-2</v>
      </c>
      <c r="AS412" s="17">
        <f t="shared" ref="AS412" si="508">+AM412-AA412</f>
        <v>201254051</v>
      </c>
      <c r="AT412" s="18">
        <f t="shared" ref="AT412" si="509">+(AM412/AA412)-1</f>
        <v>8.1382185313293443E-2</v>
      </c>
    </row>
    <row r="413" spans="1:46">
      <c r="A413" t="s">
        <v>333</v>
      </c>
      <c r="B413" t="s">
        <v>334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O413" s="7"/>
      <c r="AP413" s="8"/>
      <c r="AQ413" s="12"/>
      <c r="AR413" s="13"/>
      <c r="AS413" s="17"/>
      <c r="AT413" s="18"/>
    </row>
    <row r="414" spans="1:46" ht="14.25" hidden="1" customHeight="1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O414" s="7"/>
      <c r="AP414" s="8"/>
      <c r="AQ414" s="12"/>
      <c r="AR414" s="13"/>
      <c r="AS414" s="17"/>
      <c r="AT414" s="18"/>
    </row>
    <row r="415" spans="1:46" ht="14.25" hidden="1" customHeight="1">
      <c r="A415" t="s">
        <v>335</v>
      </c>
      <c r="B415">
        <v>820005</v>
      </c>
      <c r="C415">
        <v>417352988</v>
      </c>
      <c r="D415" s="1">
        <v>411714684</v>
      </c>
      <c r="E415" s="1">
        <v>416144159</v>
      </c>
      <c r="F415" s="1">
        <v>409697347</v>
      </c>
      <c r="G415" s="1">
        <v>396705955</v>
      </c>
      <c r="H415" s="1">
        <v>392642747</v>
      </c>
      <c r="I415" s="1">
        <v>384900956</v>
      </c>
      <c r="J415" s="1">
        <v>382399046</v>
      </c>
      <c r="K415" s="1">
        <v>379674403</v>
      </c>
      <c r="L415" s="1">
        <v>374014064</v>
      </c>
      <c r="M415" s="1">
        <v>368332564</v>
      </c>
      <c r="N415" s="1">
        <v>365352312</v>
      </c>
      <c r="O415" s="1">
        <v>362668716</v>
      </c>
      <c r="P415" s="1">
        <v>366389435</v>
      </c>
      <c r="Q415" s="1">
        <v>369610032</v>
      </c>
      <c r="R415" s="1">
        <v>371003530</v>
      </c>
      <c r="S415" s="1">
        <v>365513227</v>
      </c>
      <c r="T415" s="1">
        <v>357210953</v>
      </c>
      <c r="U415" s="1">
        <v>352229006</v>
      </c>
      <c r="V415" s="1">
        <v>349681061</v>
      </c>
      <c r="W415" s="1">
        <v>347033817</v>
      </c>
      <c r="X415" s="1">
        <v>343383153</v>
      </c>
      <c r="Y415" s="1">
        <v>340983277</v>
      </c>
      <c r="Z415" s="1">
        <v>338374893</v>
      </c>
      <c r="AA415" s="1">
        <v>335794504</v>
      </c>
      <c r="AB415" s="1">
        <v>332483217</v>
      </c>
      <c r="AC415" s="1">
        <v>329178164</v>
      </c>
      <c r="AD415" s="1">
        <v>325569194</v>
      </c>
      <c r="AE415" s="1">
        <v>322304314</v>
      </c>
      <c r="AF415" s="1">
        <v>319477520</v>
      </c>
      <c r="AG415" s="1">
        <v>317167481</v>
      </c>
      <c r="AH415" s="1">
        <v>315583425</v>
      </c>
      <c r="AI415" s="1">
        <v>314188134</v>
      </c>
      <c r="AJ415" s="1">
        <v>312866327</v>
      </c>
      <c r="AK415" s="1">
        <v>311520160</v>
      </c>
      <c r="AL415" s="1">
        <v>310092089</v>
      </c>
      <c r="AM415" s="1">
        <v>308881488</v>
      </c>
      <c r="AO415" s="7">
        <f t="shared" ref="AO415:AO416" si="510">+O415-C415</f>
        <v>-54684272</v>
      </c>
      <c r="AP415" s="8">
        <f t="shared" ref="AP415:AP416" si="511">+(O415/C415)-1</f>
        <v>-0.13102642983833146</v>
      </c>
      <c r="AQ415" s="12">
        <f t="shared" ref="AQ415:AQ416" si="512">+(AA415-O415)</f>
        <v>-26874212</v>
      </c>
      <c r="AR415" s="13">
        <f t="shared" ref="AR415:AR416" si="513">+(AA415/O415)-1</f>
        <v>-7.4101268773345219E-2</v>
      </c>
      <c r="AS415" s="17">
        <f t="shared" ref="AS415:AS416" si="514">+AM415-AA415</f>
        <v>-26913016</v>
      </c>
      <c r="AT415" s="18">
        <f t="shared" ref="AT415:AT416" si="515">+(AM415/AA415)-1</f>
        <v>-8.0147279599311116E-2</v>
      </c>
    </row>
    <row r="416" spans="1:46" ht="14.25" hidden="1" customHeight="1">
      <c r="A416" t="s">
        <v>336</v>
      </c>
      <c r="B416">
        <v>820010</v>
      </c>
      <c r="C416">
        <v>13294214</v>
      </c>
      <c r="D416" s="1">
        <v>13408471</v>
      </c>
      <c r="E416" s="1">
        <v>12773667</v>
      </c>
      <c r="F416" s="1">
        <v>12875170</v>
      </c>
      <c r="G416" s="1">
        <v>11360147</v>
      </c>
      <c r="H416" s="1">
        <v>11171584</v>
      </c>
      <c r="I416" s="1">
        <v>11447895</v>
      </c>
      <c r="J416" s="1">
        <v>10656811</v>
      </c>
      <c r="K416" s="1">
        <v>11299720</v>
      </c>
      <c r="L416" s="1">
        <v>11880344</v>
      </c>
      <c r="M416" s="1">
        <v>11542157</v>
      </c>
      <c r="N416" s="1">
        <v>11382775</v>
      </c>
      <c r="O416" s="1">
        <v>10986044</v>
      </c>
      <c r="P416" s="1">
        <v>10991205</v>
      </c>
      <c r="Q416" s="1">
        <v>12647252</v>
      </c>
      <c r="R416" s="1">
        <v>11569318</v>
      </c>
      <c r="S416" s="1">
        <v>10828243</v>
      </c>
      <c r="T416" s="1">
        <v>11231660</v>
      </c>
      <c r="U416" s="1">
        <v>11796138</v>
      </c>
      <c r="V416" s="1">
        <v>11071746</v>
      </c>
      <c r="W416" s="1">
        <v>11790898</v>
      </c>
      <c r="X416" s="1">
        <v>11666863</v>
      </c>
      <c r="Y416" s="1">
        <v>11397082</v>
      </c>
      <c r="Z416" s="1">
        <v>11200174</v>
      </c>
      <c r="AA416" s="1">
        <v>11003266</v>
      </c>
      <c r="AB416" s="1">
        <v>10894656</v>
      </c>
      <c r="AC416" s="1">
        <v>10786357</v>
      </c>
      <c r="AD416" s="1">
        <v>10668100</v>
      </c>
      <c r="AE416" s="1">
        <v>10561118</v>
      </c>
      <c r="AF416" s="1">
        <v>10468491</v>
      </c>
      <c r="AG416" s="1">
        <v>10392797</v>
      </c>
      <c r="AH416" s="1">
        <v>10340891</v>
      </c>
      <c r="AI416" s="1">
        <v>10295171</v>
      </c>
      <c r="AJ416" s="1">
        <v>10251859</v>
      </c>
      <c r="AK416" s="1">
        <v>10207748</v>
      </c>
      <c r="AL416" s="1">
        <v>10160954</v>
      </c>
      <c r="AM416" s="1">
        <v>10121285</v>
      </c>
      <c r="AO416" s="7">
        <f t="shared" si="510"/>
        <v>-2308170</v>
      </c>
      <c r="AP416" s="8">
        <f t="shared" si="511"/>
        <v>-0.17362214870318771</v>
      </c>
      <c r="AQ416" s="12">
        <f t="shared" si="512"/>
        <v>17222</v>
      </c>
      <c r="AR416" s="13">
        <f t="shared" si="513"/>
        <v>1.5676252525476109E-3</v>
      </c>
      <c r="AS416" s="17">
        <f t="shared" si="514"/>
        <v>-881981</v>
      </c>
      <c r="AT416" s="18">
        <f t="shared" si="515"/>
        <v>-8.0156291777368605E-2</v>
      </c>
    </row>
    <row r="417" spans="1:46" ht="14.25" hidden="1" customHeight="1">
      <c r="A417" t="s">
        <v>11</v>
      </c>
      <c r="B417" t="s">
        <v>12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O417" s="7"/>
      <c r="AP417" s="8"/>
      <c r="AQ417" s="12"/>
      <c r="AR417" s="13"/>
      <c r="AS417" s="17"/>
      <c r="AT417" s="18"/>
    </row>
    <row r="418" spans="1:46">
      <c r="A418" t="s">
        <v>337</v>
      </c>
      <c r="C418">
        <v>430647202</v>
      </c>
      <c r="D418" s="1">
        <v>425123154</v>
      </c>
      <c r="E418" s="1">
        <v>428917826</v>
      </c>
      <c r="F418" s="1">
        <v>422572517</v>
      </c>
      <c r="G418" s="1">
        <v>408066103</v>
      </c>
      <c r="H418" s="1">
        <v>403814331</v>
      </c>
      <c r="I418" s="1">
        <v>396348851</v>
      </c>
      <c r="J418" s="1">
        <v>393055856</v>
      </c>
      <c r="K418" s="1">
        <v>390974123</v>
      </c>
      <c r="L418" s="1">
        <v>385894408</v>
      </c>
      <c r="M418" s="1">
        <v>379874721</v>
      </c>
      <c r="N418" s="1">
        <v>376735087</v>
      </c>
      <c r="O418" s="1">
        <v>373654760</v>
      </c>
      <c r="P418" s="1">
        <v>377380640</v>
      </c>
      <c r="Q418" s="1">
        <v>382257284</v>
      </c>
      <c r="R418" s="1">
        <v>382572848</v>
      </c>
      <c r="S418" s="1">
        <v>376341470</v>
      </c>
      <c r="T418" s="1">
        <v>368442613</v>
      </c>
      <c r="U418" s="1">
        <v>364025144</v>
      </c>
      <c r="V418" s="1">
        <v>360752807</v>
      </c>
      <c r="W418" s="1">
        <v>358824716</v>
      </c>
      <c r="X418" s="1">
        <v>355050016</v>
      </c>
      <c r="Y418" s="1">
        <v>352380359</v>
      </c>
      <c r="Z418" s="1">
        <v>349575068</v>
      </c>
      <c r="AA418" s="1">
        <v>346797770</v>
      </c>
      <c r="AB418" s="1">
        <v>343377873</v>
      </c>
      <c r="AC418" s="1">
        <v>339964522</v>
      </c>
      <c r="AD418" s="1">
        <v>336237294</v>
      </c>
      <c r="AE418" s="1">
        <v>332865432</v>
      </c>
      <c r="AF418" s="1">
        <v>329946011</v>
      </c>
      <c r="AG418" s="1">
        <v>327560278</v>
      </c>
      <c r="AH418" s="1">
        <v>325924317</v>
      </c>
      <c r="AI418" s="1">
        <v>324483305</v>
      </c>
      <c r="AJ418" s="1">
        <v>323118185</v>
      </c>
      <c r="AK418" s="1">
        <v>321727908</v>
      </c>
      <c r="AL418" s="1">
        <v>320253043</v>
      </c>
      <c r="AM418" s="1">
        <v>319002773</v>
      </c>
      <c r="AO418" s="7">
        <f t="shared" ref="AO418" si="516">+O418-C418</f>
        <v>-56992442</v>
      </c>
      <c r="AP418" s="8">
        <f t="shared" ref="AP418" si="517">+(O418/C418)-1</f>
        <v>-0.13234137302022919</v>
      </c>
      <c r="AQ418" s="12">
        <f t="shared" ref="AQ418" si="518">+(AA418-O418)</f>
        <v>-26856990</v>
      </c>
      <c r="AR418" s="13">
        <f t="shared" ref="AR418" si="519">+(AA418/O418)-1</f>
        <v>-7.1876482986594326E-2</v>
      </c>
      <c r="AS418" s="17">
        <f t="shared" ref="AS418" si="520">+AM418-AA418</f>
        <v>-27794997</v>
      </c>
      <c r="AT418" s="18">
        <f t="shared" ref="AT418" si="521">+(AM418/AA418)-1</f>
        <v>-8.0147565539420818E-2</v>
      </c>
    </row>
    <row r="419" spans="1:46" ht="14.25" customHeight="1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O419" s="7"/>
      <c r="AP419" s="8"/>
      <c r="AQ419" s="12"/>
      <c r="AR419" s="13"/>
      <c r="AS419" s="17"/>
      <c r="AT419" s="18"/>
    </row>
    <row r="420" spans="1:46" ht="14.25" customHeight="1">
      <c r="A420" t="s">
        <v>338</v>
      </c>
      <c r="B420">
        <v>820105</v>
      </c>
      <c r="C420">
        <v>97813688</v>
      </c>
      <c r="D420" s="1">
        <v>95885176</v>
      </c>
      <c r="E420" s="1">
        <v>100164369</v>
      </c>
      <c r="F420" s="1">
        <v>99140457</v>
      </c>
      <c r="G420" s="1">
        <v>94551257</v>
      </c>
      <c r="H420" s="1">
        <v>94212193</v>
      </c>
      <c r="I420" s="1">
        <v>94166220</v>
      </c>
      <c r="J420" s="1">
        <v>92977470</v>
      </c>
      <c r="K420" s="1">
        <v>96467749</v>
      </c>
      <c r="L420" s="1">
        <v>94131535</v>
      </c>
      <c r="M420" s="1">
        <v>94590874</v>
      </c>
      <c r="N420" s="1">
        <v>92407137</v>
      </c>
      <c r="O420" s="1">
        <v>93187302</v>
      </c>
      <c r="P420" s="1">
        <v>95689107</v>
      </c>
      <c r="Q420" s="1">
        <v>95553319</v>
      </c>
      <c r="R420" s="1">
        <v>95022135</v>
      </c>
      <c r="S420" s="1">
        <v>91983092</v>
      </c>
      <c r="T420" s="1">
        <v>90106093</v>
      </c>
      <c r="U420" s="1">
        <v>88487999</v>
      </c>
      <c r="V420" s="1">
        <v>89750993</v>
      </c>
      <c r="W420" s="1">
        <v>89212491</v>
      </c>
      <c r="X420" s="1">
        <v>88898626</v>
      </c>
      <c r="Y420" s="1">
        <v>88949384</v>
      </c>
      <c r="Z420" s="1">
        <v>88870338</v>
      </c>
      <c r="AA420" s="1">
        <v>88726378</v>
      </c>
      <c r="AB420" s="1">
        <v>88493344</v>
      </c>
      <c r="AC420" s="1">
        <v>88167783</v>
      </c>
      <c r="AD420" s="1">
        <v>87750655</v>
      </c>
      <c r="AE420" s="1">
        <v>87307559</v>
      </c>
      <c r="AF420" s="1">
        <v>87107710</v>
      </c>
      <c r="AG420" s="1">
        <v>87088412</v>
      </c>
      <c r="AH420" s="1">
        <v>87292382</v>
      </c>
      <c r="AI420" s="1">
        <v>87506794</v>
      </c>
      <c r="AJ420" s="1">
        <v>87762878</v>
      </c>
      <c r="AK420" s="1">
        <v>87962828</v>
      </c>
      <c r="AL420" s="1">
        <v>88164702</v>
      </c>
      <c r="AM420" s="1">
        <v>88394720</v>
      </c>
      <c r="AO420" s="7">
        <f t="shared" ref="AO420:AO422" si="522">+O420-C420</f>
        <v>-4626386</v>
      </c>
      <c r="AP420" s="8">
        <f t="shared" ref="AP420:AP422" si="523">+(O420/C420)-1</f>
        <v>-4.7297940549997475E-2</v>
      </c>
      <c r="AQ420" s="12">
        <f t="shared" ref="AQ420:AQ422" si="524">+(AA420-O420)</f>
        <v>-4460924</v>
      </c>
      <c r="AR420" s="13">
        <f t="shared" ref="AR420:AR422" si="525">+(AA420/O420)-1</f>
        <v>-4.787051351695959E-2</v>
      </c>
      <c r="AS420" s="17">
        <f t="shared" ref="AS420:AS422" si="526">+AM420-AA420</f>
        <v>-331658</v>
      </c>
      <c r="AT420" s="18">
        <f t="shared" ref="AT420:AT422" si="527">+(AM420/AA420)-1</f>
        <v>-3.7379864644085936E-3</v>
      </c>
    </row>
    <row r="421" spans="1:46" ht="14.25" customHeight="1">
      <c r="A421" t="s">
        <v>339</v>
      </c>
      <c r="B421">
        <v>820110</v>
      </c>
      <c r="C421">
        <v>104280240</v>
      </c>
      <c r="D421" s="1">
        <v>102052260</v>
      </c>
      <c r="E421" s="1">
        <v>116936924</v>
      </c>
      <c r="F421" s="1">
        <v>110644012</v>
      </c>
      <c r="G421" s="1">
        <v>108752269</v>
      </c>
      <c r="H421" s="1">
        <v>109874384</v>
      </c>
      <c r="I421" s="1">
        <v>106834323</v>
      </c>
      <c r="J421" s="1">
        <v>104263943</v>
      </c>
      <c r="K421" s="1">
        <v>112361340</v>
      </c>
      <c r="L421" s="1">
        <v>109146732</v>
      </c>
      <c r="M421" s="1">
        <v>114680579</v>
      </c>
      <c r="N421" s="1">
        <v>111010912</v>
      </c>
      <c r="O421" s="1">
        <v>106919550</v>
      </c>
      <c r="P421" s="1">
        <v>116204398</v>
      </c>
      <c r="Q421" s="1">
        <v>120412912</v>
      </c>
      <c r="R421" s="1">
        <v>113266481</v>
      </c>
      <c r="S421" s="1">
        <v>112376947</v>
      </c>
      <c r="T421" s="1">
        <v>112302167</v>
      </c>
      <c r="U421" s="1">
        <v>110368978</v>
      </c>
      <c r="V421" s="1">
        <v>122465896</v>
      </c>
      <c r="W421" s="1">
        <v>115615705</v>
      </c>
      <c r="X421" s="1">
        <v>117238477</v>
      </c>
      <c r="Y421" s="1">
        <v>119467559</v>
      </c>
      <c r="Z421" s="1">
        <v>121602744</v>
      </c>
      <c r="AA421" s="1">
        <v>123729128</v>
      </c>
      <c r="AB421" s="1">
        <v>125811850</v>
      </c>
      <c r="AC421" s="1">
        <v>127843294</v>
      </c>
      <c r="AD421" s="1">
        <v>129821760</v>
      </c>
      <c r="AE421" s="1">
        <v>131843013</v>
      </c>
      <c r="AF421" s="1">
        <v>134324912</v>
      </c>
      <c r="AG421" s="1">
        <v>137198568</v>
      </c>
      <c r="AH421" s="1">
        <v>140558731</v>
      </c>
      <c r="AI421" s="1">
        <v>144087946</v>
      </c>
      <c r="AJ421" s="1">
        <v>147850548</v>
      </c>
      <c r="AK421" s="1">
        <v>151694440</v>
      </c>
      <c r="AL421" s="1">
        <v>155728082</v>
      </c>
      <c r="AM421" s="1">
        <v>160013077</v>
      </c>
      <c r="AO421" s="7">
        <f t="shared" si="522"/>
        <v>2639310</v>
      </c>
      <c r="AP421" s="8">
        <f t="shared" si="523"/>
        <v>2.5309780644923618E-2</v>
      </c>
      <c r="AQ421" s="12">
        <f t="shared" si="524"/>
        <v>16809578</v>
      </c>
      <c r="AR421" s="13">
        <f t="shared" si="525"/>
        <v>0.15721706647661726</v>
      </c>
      <c r="AS421" s="17">
        <f t="shared" si="526"/>
        <v>36283949</v>
      </c>
      <c r="AT421" s="18">
        <f t="shared" si="527"/>
        <v>0.29325308911899861</v>
      </c>
    </row>
    <row r="422" spans="1:46" ht="14.25" customHeight="1">
      <c r="A422" t="s">
        <v>340</v>
      </c>
      <c r="C422">
        <v>200871368</v>
      </c>
      <c r="D422" s="1">
        <v>195208048</v>
      </c>
      <c r="E422" s="1">
        <v>208251266</v>
      </c>
      <c r="F422" s="1">
        <v>206045339</v>
      </c>
      <c r="G422" s="1">
        <v>197628166</v>
      </c>
      <c r="H422" s="1">
        <v>192687252</v>
      </c>
      <c r="I422" s="1">
        <v>191962501</v>
      </c>
      <c r="J422" s="1">
        <v>193288454</v>
      </c>
      <c r="K422" s="1">
        <v>197860323</v>
      </c>
      <c r="L422" s="1">
        <v>198446745</v>
      </c>
      <c r="M422" s="1">
        <v>195464925</v>
      </c>
      <c r="N422" s="1">
        <v>194162272</v>
      </c>
      <c r="O422" s="1">
        <v>193328084</v>
      </c>
      <c r="P422" s="1">
        <v>198361705</v>
      </c>
      <c r="Q422" s="1">
        <v>205502965</v>
      </c>
      <c r="R422" s="1">
        <v>209360305</v>
      </c>
      <c r="S422" s="1">
        <v>201316629</v>
      </c>
      <c r="T422" s="1">
        <v>203197208</v>
      </c>
      <c r="U422" s="1">
        <v>200020090</v>
      </c>
      <c r="V422" s="1">
        <v>207727035</v>
      </c>
      <c r="W422" s="1">
        <v>205040624</v>
      </c>
      <c r="X422" s="1">
        <v>202138422</v>
      </c>
      <c r="Y422" s="1">
        <v>200091691</v>
      </c>
      <c r="Z422" s="1">
        <v>197672526</v>
      </c>
      <c r="AA422" s="1">
        <v>195028951</v>
      </c>
      <c r="AB422" s="1">
        <v>192109034</v>
      </c>
      <c r="AC422" s="1">
        <v>188907979</v>
      </c>
      <c r="AD422" s="1">
        <v>185430942</v>
      </c>
      <c r="AE422" s="1">
        <v>181817825</v>
      </c>
      <c r="AF422" s="1">
        <v>178617945</v>
      </c>
      <c r="AG422" s="1">
        <v>175674960</v>
      </c>
      <c r="AH422" s="1">
        <v>173047579</v>
      </c>
      <c r="AI422" s="1">
        <v>170288660</v>
      </c>
      <c r="AJ422" s="1">
        <v>167446064</v>
      </c>
      <c r="AK422" s="1">
        <v>164320513</v>
      </c>
      <c r="AL422" s="1">
        <v>161012124</v>
      </c>
      <c r="AM422" s="1">
        <v>157553489</v>
      </c>
      <c r="AO422" s="7">
        <f t="shared" si="522"/>
        <v>-7543284</v>
      </c>
      <c r="AP422" s="8">
        <f t="shared" si="523"/>
        <v>-3.7552808422154027E-2</v>
      </c>
      <c r="AQ422" s="12">
        <f t="shared" si="524"/>
        <v>1700867</v>
      </c>
      <c r="AR422" s="13">
        <f t="shared" si="525"/>
        <v>8.7978268072008703E-3</v>
      </c>
      <c r="AS422" s="17">
        <f t="shared" si="526"/>
        <v>-37475462</v>
      </c>
      <c r="AT422" s="18">
        <f t="shared" si="527"/>
        <v>-0.19215332804615248</v>
      </c>
    </row>
    <row r="423" spans="1:46" ht="14.25" customHeight="1">
      <c r="A423" t="s">
        <v>11</v>
      </c>
      <c r="B423" t="s">
        <v>12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46" ht="14.25" customHeight="1">
      <c r="A424" t="s">
        <v>341</v>
      </c>
      <c r="C424">
        <v>305151608</v>
      </c>
      <c r="D424" s="1">
        <v>297260308</v>
      </c>
      <c r="E424" s="1">
        <v>325188190</v>
      </c>
      <c r="F424" s="1">
        <v>316689351</v>
      </c>
      <c r="G424" s="1">
        <v>306380435</v>
      </c>
      <c r="H424" s="1">
        <v>302561636</v>
      </c>
      <c r="I424" s="1">
        <v>298796824</v>
      </c>
      <c r="J424" s="1">
        <v>297552397</v>
      </c>
      <c r="K424" s="1">
        <v>310221662</v>
      </c>
      <c r="L424" s="1">
        <v>307593477</v>
      </c>
      <c r="M424" s="1">
        <v>310145504</v>
      </c>
      <c r="N424" s="1">
        <v>305173184</v>
      </c>
      <c r="O424" s="1">
        <v>300247635</v>
      </c>
      <c r="P424" s="1">
        <v>314566103</v>
      </c>
      <c r="Q424" s="1">
        <v>325915877</v>
      </c>
      <c r="R424" s="1">
        <v>322626785</v>
      </c>
      <c r="S424" s="1">
        <v>313693576</v>
      </c>
      <c r="T424" s="1">
        <v>315499375</v>
      </c>
      <c r="U424" s="1">
        <v>310389067</v>
      </c>
      <c r="V424" s="1">
        <v>330192931</v>
      </c>
      <c r="W424" s="1">
        <v>320656328</v>
      </c>
      <c r="X424" s="1">
        <v>319376899</v>
      </c>
      <c r="Y424" s="1">
        <v>319559250</v>
      </c>
      <c r="Z424" s="1">
        <v>319275270</v>
      </c>
      <c r="AA424" s="1">
        <v>318758080</v>
      </c>
      <c r="AB424" s="1">
        <v>317920884</v>
      </c>
      <c r="AC424" s="1">
        <v>316751273</v>
      </c>
      <c r="AD424" s="1">
        <v>315252703</v>
      </c>
      <c r="AE424" s="1">
        <v>313660837</v>
      </c>
      <c r="AF424" s="1">
        <v>312942858</v>
      </c>
      <c r="AG424" s="1">
        <v>312873528</v>
      </c>
      <c r="AH424" s="1">
        <v>313606310</v>
      </c>
      <c r="AI424" s="1">
        <v>314376607</v>
      </c>
      <c r="AJ424" s="1">
        <v>315296612</v>
      </c>
      <c r="AK424" s="1">
        <v>316014953</v>
      </c>
      <c r="AL424" s="1">
        <v>316740206</v>
      </c>
      <c r="AM424" s="1">
        <v>317566566</v>
      </c>
      <c r="AO424" s="7">
        <f t="shared" ref="AO424" si="528">+O424-C424</f>
        <v>-4903973</v>
      </c>
      <c r="AP424" s="8">
        <f t="shared" ref="AP424" si="529">+(O424/C424)-1</f>
        <v>-1.6070611694105841E-2</v>
      </c>
      <c r="AQ424" s="12">
        <f t="shared" ref="AQ424" si="530">+(AA424-O424)</f>
        <v>18510445</v>
      </c>
      <c r="AR424" s="13">
        <f t="shared" ref="AR424" si="531">+(AA424/O424)-1</f>
        <v>6.1650593850639313E-2</v>
      </c>
      <c r="AS424" s="17">
        <f t="shared" ref="AS424" si="532">+AM424-AA424</f>
        <v>-1191514</v>
      </c>
      <c r="AT424" s="18">
        <f t="shared" ref="AT424" si="533">+(AM424/AA424)-1</f>
        <v>-3.7379883829140592E-3</v>
      </c>
    </row>
    <row r="425" spans="1:46" ht="14.25" customHeight="1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46" ht="14.25" customHeight="1">
      <c r="A426" t="s">
        <v>342</v>
      </c>
      <c r="B426">
        <v>820111</v>
      </c>
      <c r="C426">
        <v>674775</v>
      </c>
      <c r="D426" s="1">
        <v>554516</v>
      </c>
      <c r="E426" s="1">
        <v>694977</v>
      </c>
      <c r="F426" s="1">
        <v>626748</v>
      </c>
      <c r="G426" s="1">
        <v>584748</v>
      </c>
      <c r="H426" s="1">
        <v>593903</v>
      </c>
      <c r="I426" s="1">
        <v>544572</v>
      </c>
      <c r="J426" s="1">
        <v>544591</v>
      </c>
      <c r="K426" s="1">
        <v>617911</v>
      </c>
      <c r="L426" s="1">
        <v>550073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O426" s="7">
        <f t="shared" ref="AO426" si="534">+O426-C426</f>
        <v>-674775</v>
      </c>
      <c r="AP426" s="8">
        <f t="shared" ref="AP426" si="535">+(O426/C426)-1</f>
        <v>-1</v>
      </c>
      <c r="AQ426" s="12">
        <f t="shared" ref="AQ426" si="536">+(AA426-O426)</f>
        <v>0</v>
      </c>
      <c r="AR426" s="13" t="e">
        <f t="shared" ref="AR426" si="537">+(AA426/O426)-1</f>
        <v>#DIV/0!</v>
      </c>
      <c r="AS426" s="17">
        <f t="shared" ref="AS426" si="538">+AM426-AA426</f>
        <v>0</v>
      </c>
      <c r="AT426" s="18" t="e">
        <f t="shared" ref="AT426" si="539">+(AM426/AA426)-1</f>
        <v>#DIV/0!</v>
      </c>
    </row>
    <row r="427" spans="1:46" ht="14.25" customHeight="1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O427" s="7"/>
      <c r="AP427" s="8"/>
      <c r="AQ427" s="12"/>
      <c r="AR427" s="13"/>
      <c r="AS427" s="17"/>
      <c r="AT427" s="18"/>
    </row>
    <row r="428" spans="1:46" ht="14.25" customHeight="1">
      <c r="A428" t="s">
        <v>343</v>
      </c>
      <c r="B428">
        <v>820115</v>
      </c>
      <c r="C428">
        <v>30802722</v>
      </c>
      <c r="D428" s="1">
        <v>30114276</v>
      </c>
      <c r="E428" s="1">
        <v>26933624</v>
      </c>
      <c r="F428" s="1">
        <v>27722425</v>
      </c>
      <c r="G428" s="1">
        <v>26838613</v>
      </c>
      <c r="H428" s="1">
        <v>26925164</v>
      </c>
      <c r="I428" s="1">
        <v>29082758</v>
      </c>
      <c r="J428" s="1">
        <v>28911106</v>
      </c>
      <c r="K428" s="1">
        <v>29178316</v>
      </c>
      <c r="L428" s="1">
        <v>30148289</v>
      </c>
      <c r="M428" s="1">
        <v>30440405</v>
      </c>
      <c r="N428" s="1">
        <v>29212487</v>
      </c>
      <c r="O428" s="1">
        <v>27260085</v>
      </c>
      <c r="P428" s="1">
        <v>27259719</v>
      </c>
      <c r="Q428" s="1">
        <v>27279014</v>
      </c>
      <c r="R428" s="1">
        <v>28576389</v>
      </c>
      <c r="S428" s="1">
        <v>28380922</v>
      </c>
      <c r="T428" s="1">
        <v>29241188</v>
      </c>
      <c r="U428" s="1">
        <v>30041963</v>
      </c>
      <c r="V428" s="1">
        <v>31290251</v>
      </c>
      <c r="W428" s="1">
        <v>31448027</v>
      </c>
      <c r="X428" s="1">
        <v>32448667</v>
      </c>
      <c r="Y428" s="1">
        <v>32693557</v>
      </c>
      <c r="Z428" s="1">
        <v>32901790</v>
      </c>
      <c r="AA428" s="1">
        <v>33072676</v>
      </c>
      <c r="AB428" s="1">
        <v>33815786</v>
      </c>
      <c r="AC428" s="1">
        <v>34516173</v>
      </c>
      <c r="AD428" s="1">
        <v>35171070</v>
      </c>
      <c r="AE428" s="1">
        <v>36179168</v>
      </c>
      <c r="AF428" s="1">
        <v>37130816</v>
      </c>
      <c r="AG428" s="1">
        <v>38021864</v>
      </c>
      <c r="AH428" s="1">
        <v>38978807</v>
      </c>
      <c r="AI428" s="1">
        <v>39864119</v>
      </c>
      <c r="AJ428" s="1">
        <v>40673191</v>
      </c>
      <c r="AK428" s="1">
        <v>41275326</v>
      </c>
      <c r="AL428" s="1">
        <v>41671394</v>
      </c>
      <c r="AM428" s="1">
        <v>40522090</v>
      </c>
      <c r="AO428" s="7">
        <f t="shared" ref="AO428" si="540">+O428-C428</f>
        <v>-3542637</v>
      </c>
      <c r="AP428" s="8">
        <f t="shared" ref="AP428" si="541">+(O428/C428)-1</f>
        <v>-0.11501051757698555</v>
      </c>
      <c r="AQ428" s="12">
        <f t="shared" ref="AQ428" si="542">+(AA428-O428)</f>
        <v>5812591</v>
      </c>
      <c r="AR428" s="13">
        <f t="shared" ref="AR428" si="543">+(AA428/O428)-1</f>
        <v>0.21322717812508651</v>
      </c>
      <c r="AS428" s="17">
        <f t="shared" ref="AS428" si="544">+AM428-AA428</f>
        <v>7449414</v>
      </c>
      <c r="AT428" s="18">
        <f t="shared" ref="AT428" si="545">+(AM428/AA428)-1</f>
        <v>0.22524376315965489</v>
      </c>
    </row>
    <row r="429" spans="1:46" ht="14.25" customHeight="1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O429" s="7"/>
      <c r="AP429" s="8"/>
      <c r="AQ429" s="12"/>
      <c r="AR429" s="13"/>
      <c r="AS429" s="17"/>
      <c r="AT429" s="18"/>
    </row>
    <row r="430" spans="1:46" ht="14.25" customHeight="1">
      <c r="A430" t="s">
        <v>344</v>
      </c>
      <c r="B430">
        <v>820116</v>
      </c>
      <c r="C430">
        <v>30264</v>
      </c>
      <c r="D430" s="1">
        <v>22821</v>
      </c>
      <c r="E430" s="1">
        <v>18422</v>
      </c>
      <c r="F430" s="1">
        <v>24760</v>
      </c>
      <c r="G430" s="1">
        <v>26288</v>
      </c>
      <c r="H430" s="1">
        <v>25835</v>
      </c>
      <c r="I430" s="1">
        <v>25885</v>
      </c>
      <c r="J430" s="1">
        <v>26228</v>
      </c>
      <c r="K430" s="1">
        <v>27406</v>
      </c>
      <c r="L430" s="1">
        <v>26979</v>
      </c>
      <c r="M430" s="1">
        <v>22681</v>
      </c>
      <c r="N430" s="1">
        <v>23648</v>
      </c>
      <c r="O430" s="1">
        <v>25466</v>
      </c>
      <c r="P430" s="1">
        <v>21044</v>
      </c>
      <c r="Q430" s="1">
        <v>24248</v>
      </c>
      <c r="R430" s="1">
        <v>18301</v>
      </c>
      <c r="S430" s="1">
        <v>19699</v>
      </c>
      <c r="T430" s="1">
        <v>23268</v>
      </c>
      <c r="U430" s="1">
        <v>24538</v>
      </c>
      <c r="V430" s="1">
        <v>19453</v>
      </c>
      <c r="W430" s="1">
        <v>23487</v>
      </c>
      <c r="X430" s="1">
        <v>24926</v>
      </c>
      <c r="Y430" s="1">
        <v>27676</v>
      </c>
      <c r="Z430" s="1">
        <v>30677</v>
      </c>
      <c r="AA430" s="1">
        <v>33955</v>
      </c>
      <c r="AB430" s="1">
        <v>38226</v>
      </c>
      <c r="AC430" s="1">
        <v>42968</v>
      </c>
      <c r="AD430" s="1">
        <v>48234</v>
      </c>
      <c r="AE430" s="1">
        <v>54692</v>
      </c>
      <c r="AF430" s="1">
        <v>61922</v>
      </c>
      <c r="AG430" s="1">
        <v>70022</v>
      </c>
      <c r="AH430" s="1">
        <v>79371</v>
      </c>
      <c r="AI430" s="1">
        <v>89887</v>
      </c>
      <c r="AJ430" s="1">
        <v>101731</v>
      </c>
      <c r="AK430" s="1">
        <v>114746</v>
      </c>
      <c r="AL430" s="1">
        <v>129058</v>
      </c>
      <c r="AM430" s="1">
        <v>149194</v>
      </c>
      <c r="AO430" s="7">
        <f t="shared" ref="AO430:AO434" si="546">+O430-C430</f>
        <v>-4798</v>
      </c>
      <c r="AP430" s="8">
        <f t="shared" ref="AP430:AP434" si="547">+(O430/C430)-1</f>
        <v>-0.158538197197991</v>
      </c>
      <c r="AQ430" s="12">
        <f t="shared" ref="AQ430:AQ434" si="548">+(AA430-O430)</f>
        <v>8489</v>
      </c>
      <c r="AR430" s="13">
        <f t="shared" ref="AR430:AR434" si="549">+(AA430/O430)-1</f>
        <v>0.33334642268122194</v>
      </c>
      <c r="AS430" s="17">
        <f t="shared" ref="AS430:AS434" si="550">+AM430-AA430</f>
        <v>115239</v>
      </c>
      <c r="AT430" s="18">
        <f t="shared" ref="AT430:AT434" si="551">+(AM430/AA430)-1</f>
        <v>3.3938742453246942</v>
      </c>
    </row>
    <row r="431" spans="1:46" ht="14.25" customHeight="1">
      <c r="A431" t="s">
        <v>345</v>
      </c>
      <c r="C431">
        <v>640236</v>
      </c>
      <c r="D431" s="1">
        <v>557519</v>
      </c>
      <c r="E431" s="1">
        <v>586523</v>
      </c>
      <c r="F431" s="1">
        <v>551740</v>
      </c>
      <c r="G431" s="1">
        <v>582126</v>
      </c>
      <c r="H431" s="1">
        <v>554914</v>
      </c>
      <c r="I431" s="1">
        <v>427477</v>
      </c>
      <c r="J431" s="1">
        <v>518486</v>
      </c>
      <c r="K431" s="1">
        <v>500956</v>
      </c>
      <c r="L431" s="1">
        <v>488699</v>
      </c>
      <c r="M431" s="1">
        <v>587896</v>
      </c>
      <c r="N431" s="1">
        <v>478006</v>
      </c>
      <c r="O431" s="1">
        <v>520938</v>
      </c>
      <c r="P431" s="1">
        <v>576535</v>
      </c>
      <c r="Q431" s="1">
        <v>481638</v>
      </c>
      <c r="R431" s="1">
        <v>508999</v>
      </c>
      <c r="S431" s="1">
        <v>454864</v>
      </c>
      <c r="T431" s="1">
        <v>482723</v>
      </c>
      <c r="U431" s="1">
        <v>486248</v>
      </c>
      <c r="V431" s="1">
        <v>547864</v>
      </c>
      <c r="W431" s="1">
        <v>521052</v>
      </c>
      <c r="X431" s="1">
        <v>537608</v>
      </c>
      <c r="Y431" s="1">
        <v>579855</v>
      </c>
      <c r="Z431" s="1">
        <v>623821</v>
      </c>
      <c r="AA431" s="1">
        <v>669528</v>
      </c>
      <c r="AB431" s="1">
        <v>730176</v>
      </c>
      <c r="AC431" s="1">
        <v>794248</v>
      </c>
      <c r="AD431" s="1">
        <v>861834</v>
      </c>
      <c r="AE431" s="1">
        <v>943495</v>
      </c>
      <c r="AF431" s="1">
        <v>1030035</v>
      </c>
      <c r="AG431" s="1">
        <v>1121590</v>
      </c>
      <c r="AH431" s="1">
        <v>1222390</v>
      </c>
      <c r="AI431" s="1">
        <v>1328900</v>
      </c>
      <c r="AJ431" s="1">
        <v>1441266</v>
      </c>
      <c r="AK431" s="1">
        <v>1554887</v>
      </c>
      <c r="AL431" s="1">
        <v>1669225</v>
      </c>
      <c r="AM431" s="1">
        <v>1837648</v>
      </c>
      <c r="AO431" s="7">
        <f t="shared" si="546"/>
        <v>-119298</v>
      </c>
      <c r="AP431" s="8">
        <f t="shared" si="547"/>
        <v>-0.18633441418476937</v>
      </c>
      <c r="AQ431" s="12">
        <f t="shared" si="548"/>
        <v>148590</v>
      </c>
      <c r="AR431" s="13">
        <f t="shared" si="549"/>
        <v>0.28523547907812441</v>
      </c>
      <c r="AS431" s="17">
        <f t="shared" si="550"/>
        <v>1168120</v>
      </c>
      <c r="AT431" s="18">
        <f t="shared" si="551"/>
        <v>1.7446917828679309</v>
      </c>
    </row>
    <row r="432" spans="1:46" ht="14.25" customHeight="1">
      <c r="A432" t="s">
        <v>346</v>
      </c>
      <c r="C432">
        <v>1402916</v>
      </c>
      <c r="D432" s="1">
        <v>1407450</v>
      </c>
      <c r="E432" s="1">
        <v>1261973</v>
      </c>
      <c r="F432" s="1">
        <v>1210675</v>
      </c>
      <c r="G432" s="1">
        <v>1211346</v>
      </c>
      <c r="H432" s="1">
        <v>1307232</v>
      </c>
      <c r="I432" s="1">
        <v>1441734</v>
      </c>
      <c r="J432" s="1">
        <v>1325699</v>
      </c>
      <c r="K432" s="1">
        <v>1075420</v>
      </c>
      <c r="L432" s="1">
        <v>1245292</v>
      </c>
      <c r="M432" s="1">
        <v>1360761</v>
      </c>
      <c r="N432" s="1">
        <v>1263987</v>
      </c>
      <c r="O432" s="1">
        <v>1165259</v>
      </c>
      <c r="P432" s="1">
        <v>1310141</v>
      </c>
      <c r="Q432" s="1">
        <v>1309991</v>
      </c>
      <c r="R432" s="1">
        <v>1274829</v>
      </c>
      <c r="S432" s="1">
        <v>1382602</v>
      </c>
      <c r="T432" s="1">
        <v>1397695</v>
      </c>
      <c r="U432" s="1">
        <v>1231337</v>
      </c>
      <c r="V432" s="1">
        <v>1226919</v>
      </c>
      <c r="W432" s="1">
        <v>1248341</v>
      </c>
      <c r="X432" s="1">
        <v>1288006</v>
      </c>
      <c r="Y432" s="1">
        <v>1389222</v>
      </c>
      <c r="Z432" s="1">
        <v>1494556</v>
      </c>
      <c r="AA432" s="1">
        <v>1604062</v>
      </c>
      <c r="AB432" s="1">
        <v>1749362</v>
      </c>
      <c r="AC432" s="1">
        <v>1902865</v>
      </c>
      <c r="AD432" s="1">
        <v>2064789</v>
      </c>
      <c r="AE432" s="1">
        <v>2260433</v>
      </c>
      <c r="AF432" s="1">
        <v>2467767</v>
      </c>
      <c r="AG432" s="1">
        <v>2687114</v>
      </c>
      <c r="AH432" s="1">
        <v>2928614</v>
      </c>
      <c r="AI432" s="1">
        <v>3183789</v>
      </c>
      <c r="AJ432" s="1">
        <v>3452997</v>
      </c>
      <c r="AK432" s="1">
        <v>3725211</v>
      </c>
      <c r="AL432" s="1">
        <v>3999145</v>
      </c>
      <c r="AM432" s="1">
        <v>4402654</v>
      </c>
      <c r="AO432" s="7">
        <f t="shared" si="546"/>
        <v>-237657</v>
      </c>
      <c r="AP432" s="8">
        <f t="shared" si="547"/>
        <v>-0.16940215950206572</v>
      </c>
      <c r="AQ432" s="12">
        <f t="shared" si="548"/>
        <v>438803</v>
      </c>
      <c r="AR432" s="13">
        <f t="shared" si="549"/>
        <v>0.37657121721437026</v>
      </c>
      <c r="AS432" s="17">
        <f t="shared" si="550"/>
        <v>2798592</v>
      </c>
      <c r="AT432" s="18">
        <f t="shared" si="551"/>
        <v>1.7446906665702446</v>
      </c>
    </row>
    <row r="433" spans="1:46" ht="14.25" customHeight="1">
      <c r="A433" t="s">
        <v>347</v>
      </c>
      <c r="C433">
        <v>4697375</v>
      </c>
      <c r="D433" s="1">
        <v>4772323</v>
      </c>
      <c r="E433" s="1">
        <v>4745843</v>
      </c>
      <c r="F433" s="1">
        <v>4431326</v>
      </c>
      <c r="G433" s="1">
        <v>4392394</v>
      </c>
      <c r="H433" s="1">
        <v>4476731</v>
      </c>
      <c r="I433" s="1">
        <v>5087689</v>
      </c>
      <c r="J433" s="1">
        <v>4949753</v>
      </c>
      <c r="K433" s="1">
        <v>5320916</v>
      </c>
      <c r="L433" s="1">
        <v>5078295</v>
      </c>
      <c r="M433" s="1">
        <v>4803282</v>
      </c>
      <c r="N433" s="1">
        <v>5390530</v>
      </c>
      <c r="O433" s="1">
        <v>5043263</v>
      </c>
      <c r="P433" s="1">
        <v>4759673</v>
      </c>
      <c r="Q433" s="1">
        <v>4662585</v>
      </c>
      <c r="R433" s="1">
        <v>5127881</v>
      </c>
      <c r="S433" s="1">
        <v>5321563</v>
      </c>
      <c r="T433" s="1">
        <v>4818046</v>
      </c>
      <c r="U433" s="1">
        <v>5313572</v>
      </c>
      <c r="V433" s="1">
        <v>5091702</v>
      </c>
      <c r="W433" s="1">
        <v>5322972</v>
      </c>
      <c r="X433" s="1">
        <v>5492107</v>
      </c>
      <c r="Y433" s="1">
        <v>5923697</v>
      </c>
      <c r="Z433" s="1">
        <v>6372845</v>
      </c>
      <c r="AA433" s="1">
        <v>6839780</v>
      </c>
      <c r="AB433" s="1">
        <v>7459343</v>
      </c>
      <c r="AC433" s="1">
        <v>8113888</v>
      </c>
      <c r="AD433" s="1">
        <v>8804339</v>
      </c>
      <c r="AE433" s="1">
        <v>9638572</v>
      </c>
      <c r="AF433" s="1">
        <v>10522650</v>
      </c>
      <c r="AG433" s="1">
        <v>11457955</v>
      </c>
      <c r="AH433" s="1">
        <v>12487718</v>
      </c>
      <c r="AI433" s="1">
        <v>13575798</v>
      </c>
      <c r="AJ433" s="1">
        <v>14723710</v>
      </c>
      <c r="AK433" s="1">
        <v>15884440</v>
      </c>
      <c r="AL433" s="1">
        <v>17052504</v>
      </c>
      <c r="AM433" s="1">
        <v>18773081</v>
      </c>
      <c r="AO433" s="7">
        <f t="shared" si="546"/>
        <v>345888</v>
      </c>
      <c r="AP433" s="8">
        <f t="shared" si="547"/>
        <v>7.3634317038771657E-2</v>
      </c>
      <c r="AQ433" s="12">
        <f t="shared" si="548"/>
        <v>1796517</v>
      </c>
      <c r="AR433" s="13">
        <f t="shared" si="549"/>
        <v>0.35622116078419874</v>
      </c>
      <c r="AS433" s="17">
        <f t="shared" si="550"/>
        <v>11933301</v>
      </c>
      <c r="AT433" s="18">
        <f t="shared" si="551"/>
        <v>1.7446907649076433</v>
      </c>
    </row>
    <row r="434" spans="1:46" ht="14.25" customHeight="1">
      <c r="A434" t="s">
        <v>348</v>
      </c>
      <c r="C434">
        <v>10618369</v>
      </c>
      <c r="D434" s="1">
        <v>10915219</v>
      </c>
      <c r="E434" s="1">
        <v>10674238</v>
      </c>
      <c r="F434" s="1">
        <v>11734794</v>
      </c>
      <c r="G434" s="1">
        <v>11104553</v>
      </c>
      <c r="H434" s="1">
        <v>11470015</v>
      </c>
      <c r="I434" s="1">
        <v>8965878</v>
      </c>
      <c r="J434" s="1">
        <v>9139615</v>
      </c>
      <c r="K434" s="1">
        <v>8240000</v>
      </c>
      <c r="L434" s="1">
        <v>8369136</v>
      </c>
      <c r="M434" s="1">
        <v>8684604</v>
      </c>
      <c r="N434" s="1">
        <v>8093654</v>
      </c>
      <c r="O434" s="1">
        <v>7845075</v>
      </c>
      <c r="P434" s="1">
        <v>7344207</v>
      </c>
      <c r="Q434" s="1">
        <v>7529165</v>
      </c>
      <c r="R434" s="1">
        <v>9842055</v>
      </c>
      <c r="S434" s="1">
        <v>9624679</v>
      </c>
      <c r="T434" s="1">
        <v>9892269</v>
      </c>
      <c r="U434" s="1">
        <v>10100057</v>
      </c>
      <c r="V434" s="1">
        <v>8801556</v>
      </c>
      <c r="W434" s="1">
        <v>8514541</v>
      </c>
      <c r="X434" s="1">
        <v>8785086</v>
      </c>
      <c r="Y434" s="1">
        <v>9475450</v>
      </c>
      <c r="Z434" s="1">
        <v>10193901</v>
      </c>
      <c r="AA434" s="1">
        <v>10940802</v>
      </c>
      <c r="AB434" s="1">
        <v>11931846</v>
      </c>
      <c r="AC434" s="1">
        <v>12978846</v>
      </c>
      <c r="AD434" s="1">
        <v>14083280</v>
      </c>
      <c r="AE434" s="1">
        <v>15417706</v>
      </c>
      <c r="AF434" s="1">
        <v>16831863</v>
      </c>
      <c r="AG434" s="1">
        <v>18327962</v>
      </c>
      <c r="AH434" s="1">
        <v>19975154</v>
      </c>
      <c r="AI434" s="1">
        <v>21715629</v>
      </c>
      <c r="AJ434" s="1">
        <v>23551811</v>
      </c>
      <c r="AK434" s="1">
        <v>25408495</v>
      </c>
      <c r="AL434" s="1">
        <v>27276912</v>
      </c>
      <c r="AM434" s="1">
        <v>30029120</v>
      </c>
      <c r="AO434" s="7">
        <f t="shared" si="546"/>
        <v>-2773294</v>
      </c>
      <c r="AP434" s="8">
        <f t="shared" si="547"/>
        <v>-0.26117890610130423</v>
      </c>
      <c r="AQ434" s="12">
        <f t="shared" si="548"/>
        <v>3095727</v>
      </c>
      <c r="AR434" s="13">
        <f t="shared" si="549"/>
        <v>0.39460769973518417</v>
      </c>
      <c r="AS434" s="17">
        <f t="shared" si="550"/>
        <v>19088318</v>
      </c>
      <c r="AT434" s="18">
        <f t="shared" si="551"/>
        <v>1.7446909285078003</v>
      </c>
    </row>
    <row r="435" spans="1:46" ht="14.25" customHeight="1">
      <c r="A435" t="s">
        <v>11</v>
      </c>
      <c r="B435" t="s">
        <v>12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O435" s="7"/>
      <c r="AP435" s="8"/>
      <c r="AQ435" s="12"/>
      <c r="AR435" s="13"/>
      <c r="AS435" s="17"/>
      <c r="AT435" s="18"/>
    </row>
    <row r="436" spans="1:46" ht="14.25" customHeight="1">
      <c r="A436" t="s">
        <v>349</v>
      </c>
      <c r="C436">
        <v>17389160</v>
      </c>
      <c r="D436" s="1">
        <v>17675332</v>
      </c>
      <c r="E436" s="1">
        <v>17286998</v>
      </c>
      <c r="F436" s="1">
        <v>17953296</v>
      </c>
      <c r="G436" s="1">
        <v>17316707</v>
      </c>
      <c r="H436" s="1">
        <v>17834729</v>
      </c>
      <c r="I436" s="1">
        <v>15948663</v>
      </c>
      <c r="J436" s="1">
        <v>15959780</v>
      </c>
      <c r="K436" s="1">
        <v>15164699</v>
      </c>
      <c r="L436" s="1">
        <v>15208401</v>
      </c>
      <c r="M436" s="1">
        <v>15459224</v>
      </c>
      <c r="N436" s="1">
        <v>15249824</v>
      </c>
      <c r="O436" s="1">
        <v>14600001</v>
      </c>
      <c r="P436" s="1">
        <v>14011600</v>
      </c>
      <c r="Q436" s="1">
        <v>14007628</v>
      </c>
      <c r="R436" s="1">
        <v>16772065</v>
      </c>
      <c r="S436" s="1">
        <v>16803405</v>
      </c>
      <c r="T436" s="1">
        <v>16614000</v>
      </c>
      <c r="U436" s="1">
        <v>17155752</v>
      </c>
      <c r="V436" s="1">
        <v>15687495</v>
      </c>
      <c r="W436" s="1">
        <v>15630392</v>
      </c>
      <c r="X436" s="1">
        <v>16127733</v>
      </c>
      <c r="Y436" s="1">
        <v>17395901</v>
      </c>
      <c r="Z436" s="1">
        <v>18715802</v>
      </c>
      <c r="AA436" s="1">
        <v>20088127</v>
      </c>
      <c r="AB436" s="1">
        <v>21908953</v>
      </c>
      <c r="AC436" s="1">
        <v>23832814</v>
      </c>
      <c r="AD436" s="1">
        <v>25862476</v>
      </c>
      <c r="AE436" s="1">
        <v>28314898</v>
      </c>
      <c r="AF436" s="1">
        <v>30914237</v>
      </c>
      <c r="AG436" s="1">
        <v>33664643</v>
      </c>
      <c r="AH436" s="1">
        <v>36693248</v>
      </c>
      <c r="AI436" s="1">
        <v>39894002</v>
      </c>
      <c r="AJ436" s="1">
        <v>43271515</v>
      </c>
      <c r="AK436" s="1">
        <v>46687778</v>
      </c>
      <c r="AL436" s="1">
        <v>50126844</v>
      </c>
      <c r="AM436" s="1">
        <v>55191696</v>
      </c>
      <c r="AO436" s="7">
        <f t="shared" ref="AO436:AO443" si="552">+O436-C436</f>
        <v>-2789159</v>
      </c>
      <c r="AP436" s="8">
        <f t="shared" ref="AP436:AP443" si="553">+(O436/C436)-1</f>
        <v>-0.16039641937850935</v>
      </c>
      <c r="AQ436" s="12">
        <f t="shared" ref="AQ436:AQ443" si="554">+(AA436-O436)</f>
        <v>5488126</v>
      </c>
      <c r="AR436" s="13">
        <f t="shared" ref="AR436:AR443" si="555">+(AA436/O436)-1</f>
        <v>0.37589901534938241</v>
      </c>
      <c r="AS436" s="17">
        <f t="shared" ref="AS436:AS443" si="556">+AM436-AA436</f>
        <v>35103569</v>
      </c>
      <c r="AT436" s="18">
        <f t="shared" ref="AT436:AT443" si="557">+(AM436/AA436)-1</f>
        <v>1.7474784483391606</v>
      </c>
    </row>
    <row r="437" spans="1:46" ht="14.25" customHeight="1">
      <c r="A437" t="s">
        <v>350</v>
      </c>
      <c r="B437">
        <v>820117</v>
      </c>
      <c r="C437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O437" s="7">
        <f t="shared" si="552"/>
        <v>0</v>
      </c>
      <c r="AP437" s="8" t="e">
        <f t="shared" si="553"/>
        <v>#DIV/0!</v>
      </c>
      <c r="AQ437" s="12">
        <f t="shared" si="554"/>
        <v>0</v>
      </c>
      <c r="AR437" s="13" t="e">
        <f t="shared" si="555"/>
        <v>#DIV/0!</v>
      </c>
      <c r="AS437" s="17">
        <f t="shared" si="556"/>
        <v>0</v>
      </c>
      <c r="AT437" s="18" t="e">
        <f t="shared" si="557"/>
        <v>#DIV/0!</v>
      </c>
    </row>
    <row r="438" spans="1:46" ht="14.25" customHeight="1">
      <c r="A438" t="s">
        <v>351</v>
      </c>
      <c r="C438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O438" s="7">
        <f t="shared" si="552"/>
        <v>0</v>
      </c>
      <c r="AP438" s="8" t="e">
        <f t="shared" si="553"/>
        <v>#DIV/0!</v>
      </c>
      <c r="AQ438" s="12">
        <f t="shared" si="554"/>
        <v>0</v>
      </c>
      <c r="AR438" s="13" t="e">
        <f t="shared" si="555"/>
        <v>#DIV/0!</v>
      </c>
      <c r="AS438" s="17">
        <f t="shared" si="556"/>
        <v>0</v>
      </c>
      <c r="AT438" s="18" t="e">
        <f t="shared" si="557"/>
        <v>#DIV/0!</v>
      </c>
    </row>
    <row r="439" spans="1:46" ht="14.25" customHeight="1">
      <c r="A439" t="s">
        <v>352</v>
      </c>
      <c r="C439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O439" s="7">
        <f t="shared" si="552"/>
        <v>0</v>
      </c>
      <c r="AP439" s="8" t="e">
        <f t="shared" si="553"/>
        <v>#DIV/0!</v>
      </c>
      <c r="AQ439" s="12">
        <f t="shared" si="554"/>
        <v>0</v>
      </c>
      <c r="AR439" s="13" t="e">
        <f t="shared" si="555"/>
        <v>#DIV/0!</v>
      </c>
      <c r="AS439" s="17">
        <f t="shared" si="556"/>
        <v>0</v>
      </c>
      <c r="AT439" s="18" t="e">
        <f t="shared" si="557"/>
        <v>#DIV/0!</v>
      </c>
    </row>
    <row r="440" spans="1:46" ht="14.25" customHeight="1">
      <c r="A440" t="s">
        <v>353</v>
      </c>
      <c r="C440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O440" s="7">
        <f t="shared" si="552"/>
        <v>0</v>
      </c>
      <c r="AP440" s="8" t="e">
        <f t="shared" si="553"/>
        <v>#DIV/0!</v>
      </c>
      <c r="AQ440" s="12">
        <f t="shared" si="554"/>
        <v>0</v>
      </c>
      <c r="AR440" s="13" t="e">
        <f t="shared" si="555"/>
        <v>#DIV/0!</v>
      </c>
      <c r="AS440" s="17">
        <f t="shared" si="556"/>
        <v>0</v>
      </c>
      <c r="AT440" s="18" t="e">
        <f t="shared" si="557"/>
        <v>#DIV/0!</v>
      </c>
    </row>
    <row r="441" spans="1:46" ht="14.25" customHeight="1">
      <c r="A441" t="s">
        <v>354</v>
      </c>
      <c r="C44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O441" s="7">
        <f t="shared" si="552"/>
        <v>0</v>
      </c>
      <c r="AP441" s="8" t="e">
        <f t="shared" si="553"/>
        <v>#DIV/0!</v>
      </c>
      <c r="AQ441" s="12">
        <f t="shared" si="554"/>
        <v>0</v>
      </c>
      <c r="AR441" s="13" t="e">
        <f t="shared" si="555"/>
        <v>#DIV/0!</v>
      </c>
      <c r="AS441" s="17">
        <f t="shared" si="556"/>
        <v>0</v>
      </c>
      <c r="AT441" s="18" t="e">
        <f t="shared" si="557"/>
        <v>#DIV/0!</v>
      </c>
    </row>
    <row r="442" spans="1:46" ht="14.25" customHeight="1">
      <c r="A442" t="s">
        <v>355</v>
      </c>
      <c r="C442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O442" s="7">
        <f t="shared" si="552"/>
        <v>0</v>
      </c>
      <c r="AP442" s="8" t="e">
        <f t="shared" si="553"/>
        <v>#DIV/0!</v>
      </c>
      <c r="AQ442" s="12">
        <f t="shared" si="554"/>
        <v>0</v>
      </c>
      <c r="AR442" s="13" t="e">
        <f t="shared" si="555"/>
        <v>#DIV/0!</v>
      </c>
      <c r="AS442" s="17">
        <f t="shared" si="556"/>
        <v>0</v>
      </c>
      <c r="AT442" s="18" t="e">
        <f t="shared" si="557"/>
        <v>#DIV/0!</v>
      </c>
    </row>
    <row r="443" spans="1:46" ht="14.25" customHeight="1">
      <c r="A443" t="s">
        <v>356</v>
      </c>
      <c r="C443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O443" s="7">
        <f t="shared" si="552"/>
        <v>0</v>
      </c>
      <c r="AP443" s="8" t="e">
        <f t="shared" si="553"/>
        <v>#DIV/0!</v>
      </c>
      <c r="AQ443" s="12">
        <f t="shared" si="554"/>
        <v>0</v>
      </c>
      <c r="AR443" s="13" t="e">
        <f t="shared" si="555"/>
        <v>#DIV/0!</v>
      </c>
      <c r="AS443" s="17">
        <f t="shared" si="556"/>
        <v>0</v>
      </c>
      <c r="AT443" s="18" t="e">
        <f t="shared" si="557"/>
        <v>#DIV/0!</v>
      </c>
    </row>
    <row r="444" spans="1:46" ht="14.25" customHeight="1">
      <c r="A444" t="s">
        <v>11</v>
      </c>
      <c r="B444" t="s">
        <v>12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O444" s="7"/>
      <c r="AP444" s="8"/>
      <c r="AQ444" s="12"/>
      <c r="AR444" s="13"/>
      <c r="AS444" s="17"/>
      <c r="AT444" s="18"/>
    </row>
    <row r="445" spans="1:46" ht="14.25" customHeight="1">
      <c r="A445" t="s">
        <v>357</v>
      </c>
      <c r="C445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O445" s="7">
        <f t="shared" ref="AO445:AO448" si="558">+O445-C445</f>
        <v>0</v>
      </c>
      <c r="AP445" s="8" t="e">
        <f t="shared" ref="AP445:AP448" si="559">+(O445/C445)-1</f>
        <v>#DIV/0!</v>
      </c>
      <c r="AQ445" s="12">
        <f t="shared" ref="AQ445:AQ448" si="560">+(AA445-O445)</f>
        <v>0</v>
      </c>
      <c r="AR445" s="13" t="e">
        <f t="shared" ref="AR445:AR448" si="561">+(AA445/O445)-1</f>
        <v>#DIV/0!</v>
      </c>
      <c r="AS445" s="17">
        <f t="shared" ref="AS445:AS448" si="562">+AM445-AA445</f>
        <v>0</v>
      </c>
      <c r="AT445" s="18" t="e">
        <f t="shared" ref="AT445:AT448" si="563">+(AM445/AA445)-1</f>
        <v>#DIV/0!</v>
      </c>
    </row>
    <row r="446" spans="1:46" ht="14.25" customHeight="1">
      <c r="A446" t="s">
        <v>358</v>
      </c>
      <c r="B446">
        <v>820120</v>
      </c>
      <c r="C446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O446" s="7">
        <f t="shared" si="558"/>
        <v>0</v>
      </c>
      <c r="AP446" s="8" t="e">
        <f t="shared" si="559"/>
        <v>#DIV/0!</v>
      </c>
      <c r="AQ446" s="12">
        <f t="shared" si="560"/>
        <v>0</v>
      </c>
      <c r="AR446" s="13" t="e">
        <f t="shared" si="561"/>
        <v>#DIV/0!</v>
      </c>
      <c r="AS446" s="17">
        <f t="shared" si="562"/>
        <v>0</v>
      </c>
      <c r="AT446" s="18" t="e">
        <f t="shared" si="563"/>
        <v>#DIV/0!</v>
      </c>
    </row>
    <row r="447" spans="1:46" ht="14.25" customHeight="1">
      <c r="A447" t="s">
        <v>359</v>
      </c>
      <c r="B447">
        <v>820125</v>
      </c>
      <c r="C447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O447" s="7">
        <f t="shared" si="558"/>
        <v>0</v>
      </c>
      <c r="AP447" s="8" t="e">
        <f t="shared" si="559"/>
        <v>#DIV/0!</v>
      </c>
      <c r="AQ447" s="12">
        <f t="shared" si="560"/>
        <v>0</v>
      </c>
      <c r="AR447" s="13" t="e">
        <f t="shared" si="561"/>
        <v>#DIV/0!</v>
      </c>
      <c r="AS447" s="17">
        <f t="shared" si="562"/>
        <v>0</v>
      </c>
      <c r="AT447" s="18" t="e">
        <f t="shared" si="563"/>
        <v>#DIV/0!</v>
      </c>
    </row>
    <row r="448" spans="1:46" ht="14.25" customHeight="1">
      <c r="A448" t="s">
        <v>360</v>
      </c>
      <c r="C448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O448" s="7">
        <f t="shared" si="558"/>
        <v>0</v>
      </c>
      <c r="AP448" s="8" t="e">
        <f t="shared" si="559"/>
        <v>#DIV/0!</v>
      </c>
      <c r="AQ448" s="12">
        <f t="shared" si="560"/>
        <v>0</v>
      </c>
      <c r="AR448" s="13" t="e">
        <f t="shared" si="561"/>
        <v>#DIV/0!</v>
      </c>
      <c r="AS448" s="17">
        <f t="shared" si="562"/>
        <v>0</v>
      </c>
      <c r="AT448" s="18" t="e">
        <f t="shared" si="563"/>
        <v>#DIV/0!</v>
      </c>
    </row>
    <row r="449" spans="1:46" ht="14.25" customHeight="1">
      <c r="A449" t="s">
        <v>11</v>
      </c>
      <c r="B449" t="s">
        <v>12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46">
      <c r="A450" t="s">
        <v>361</v>
      </c>
      <c r="C450">
        <v>451831953</v>
      </c>
      <c r="D450" s="1">
        <v>441489608</v>
      </c>
      <c r="E450" s="1">
        <v>470268158</v>
      </c>
      <c r="F450" s="1">
        <v>462132278</v>
      </c>
      <c r="G450" s="1">
        <v>445671760</v>
      </c>
      <c r="H450" s="1">
        <v>442127624</v>
      </c>
      <c r="I450" s="1">
        <v>438539036</v>
      </c>
      <c r="J450" s="1">
        <v>435945345</v>
      </c>
      <c r="K450" s="1">
        <v>451650337</v>
      </c>
      <c r="L450" s="1">
        <v>447631776</v>
      </c>
      <c r="M450" s="1">
        <v>450636007</v>
      </c>
      <c r="N450" s="1">
        <v>442042633</v>
      </c>
      <c r="O450" s="1">
        <v>435295023</v>
      </c>
      <c r="P450" s="1">
        <v>451526529</v>
      </c>
      <c r="Q450" s="1">
        <v>462755837</v>
      </c>
      <c r="R450" s="1">
        <v>462997374</v>
      </c>
      <c r="S450" s="1">
        <v>450860995</v>
      </c>
      <c r="T450" s="1">
        <v>451460657</v>
      </c>
      <c r="U450" s="1">
        <v>446074781</v>
      </c>
      <c r="V450" s="1">
        <v>466921669</v>
      </c>
      <c r="W450" s="1">
        <v>456947239</v>
      </c>
      <c r="X450" s="1">
        <v>456851925</v>
      </c>
      <c r="Y450" s="1">
        <v>458598091</v>
      </c>
      <c r="Z450" s="1">
        <v>459763199</v>
      </c>
      <c r="AA450" s="1">
        <v>460645260</v>
      </c>
      <c r="AB450" s="1">
        <v>462138968</v>
      </c>
      <c r="AC450" s="1">
        <v>463268043</v>
      </c>
      <c r="AD450" s="1">
        <v>464036904</v>
      </c>
      <c r="AE450" s="1">
        <v>465462463</v>
      </c>
      <c r="AF450" s="1">
        <v>468095620</v>
      </c>
      <c r="AG450" s="1">
        <v>471648446</v>
      </c>
      <c r="AH450" s="1">
        <v>476570746</v>
      </c>
      <c r="AI450" s="1">
        <v>481641522</v>
      </c>
      <c r="AJ450" s="1">
        <v>487004196</v>
      </c>
      <c r="AK450" s="1">
        <v>491940886</v>
      </c>
      <c r="AL450" s="1">
        <v>496703146</v>
      </c>
      <c r="AM450" s="1">
        <v>501675072</v>
      </c>
      <c r="AO450" s="7">
        <f t="shared" ref="AO450" si="564">+O450-C450</f>
        <v>-16536930</v>
      </c>
      <c r="AP450" s="8">
        <f t="shared" ref="AP450" si="565">+(O450/C450)-1</f>
        <v>-3.6599735565846503E-2</v>
      </c>
      <c r="AQ450" s="12">
        <f t="shared" ref="AQ450" si="566">+(AA450-O450)</f>
        <v>25350237</v>
      </c>
      <c r="AR450" s="13">
        <f t="shared" ref="AR450" si="567">+(AA450/O450)-1</f>
        <v>5.8236909821043348E-2</v>
      </c>
      <c r="AS450" s="17">
        <f t="shared" ref="AS450" si="568">+AM450-AA450</f>
        <v>41029812</v>
      </c>
      <c r="AT450" s="18">
        <f t="shared" ref="AT450" si="569">+(AM450/AA450)-1</f>
        <v>8.9070301081574099E-2</v>
      </c>
    </row>
    <row r="451" spans="1:46" ht="14.25" hidden="1" customHeight="1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46" ht="14.25" hidden="1" customHeight="1">
      <c r="A452" t="s">
        <v>362</v>
      </c>
      <c r="B452">
        <v>820205</v>
      </c>
      <c r="C452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O452" s="7">
        <f t="shared" ref="AO452:AO454" si="570">+O452-C452</f>
        <v>0</v>
      </c>
      <c r="AP452" s="8" t="e">
        <f t="shared" ref="AP452:AP454" si="571">+(O452/C452)-1</f>
        <v>#DIV/0!</v>
      </c>
      <c r="AQ452" s="12">
        <f t="shared" ref="AQ452:AQ454" si="572">+(AA452-O452)</f>
        <v>0</v>
      </c>
      <c r="AR452" s="13" t="e">
        <f t="shared" ref="AR452:AR454" si="573">+(AA452/O452)-1</f>
        <v>#DIV/0!</v>
      </c>
      <c r="AS452" s="17">
        <f t="shared" ref="AS452:AS454" si="574">+AM452-AA452</f>
        <v>0</v>
      </c>
      <c r="AT452" s="18" t="e">
        <f t="shared" ref="AT452:AT454" si="575">+(AM452/AA452)-1</f>
        <v>#DIV/0!</v>
      </c>
    </row>
    <row r="453" spans="1:46" ht="14.25" hidden="1" customHeight="1">
      <c r="A453" t="s">
        <v>363</v>
      </c>
      <c r="B453">
        <v>820206</v>
      </c>
      <c r="C453">
        <v>67137</v>
      </c>
      <c r="D453" s="1">
        <v>86280</v>
      </c>
      <c r="E453" s="1">
        <v>107279</v>
      </c>
      <c r="F453" s="1">
        <v>126853</v>
      </c>
      <c r="G453" s="1">
        <v>37850</v>
      </c>
      <c r="H453" s="1">
        <v>34640</v>
      </c>
      <c r="I453" s="1">
        <v>54566</v>
      </c>
      <c r="J453" s="1">
        <v>71854</v>
      </c>
      <c r="K453" s="1">
        <v>93022</v>
      </c>
      <c r="L453" s="1">
        <v>111350</v>
      </c>
      <c r="M453" s="1">
        <v>27293</v>
      </c>
      <c r="N453" s="1">
        <v>47042</v>
      </c>
      <c r="O453" s="1">
        <v>66354</v>
      </c>
      <c r="P453" s="1">
        <v>83071</v>
      </c>
      <c r="Q453" s="1">
        <v>103050</v>
      </c>
      <c r="R453" s="1">
        <v>119001</v>
      </c>
      <c r="S453" s="1">
        <v>27469</v>
      </c>
      <c r="T453" s="1">
        <v>29247</v>
      </c>
      <c r="U453" s="1">
        <v>51355</v>
      </c>
      <c r="V453" s="1">
        <v>65276</v>
      </c>
      <c r="W453" s="1">
        <v>91794</v>
      </c>
      <c r="X453" s="1">
        <v>84204</v>
      </c>
      <c r="Y453" s="1">
        <v>83571</v>
      </c>
      <c r="Z453" s="1">
        <v>82906</v>
      </c>
      <c r="AA453" s="1">
        <v>82247</v>
      </c>
      <c r="AB453" s="1">
        <v>81436</v>
      </c>
      <c r="AC453" s="1">
        <v>80627</v>
      </c>
      <c r="AD453" s="1">
        <v>79743</v>
      </c>
      <c r="AE453" s="1">
        <v>78943</v>
      </c>
      <c r="AF453" s="1">
        <v>78251</v>
      </c>
      <c r="AG453" s="1">
        <v>77685</v>
      </c>
      <c r="AH453" s="1">
        <v>77297</v>
      </c>
      <c r="AI453" s="1">
        <v>76955</v>
      </c>
      <c r="AJ453" s="1">
        <v>76631</v>
      </c>
      <c r="AK453" s="1">
        <v>76302</v>
      </c>
      <c r="AL453" s="1">
        <v>75952</v>
      </c>
      <c r="AM453" s="1">
        <v>75655</v>
      </c>
      <c r="AO453" s="7">
        <f t="shared" si="570"/>
        <v>-783</v>
      </c>
      <c r="AP453" s="8">
        <f t="shared" si="571"/>
        <v>-1.1662719513829911E-2</v>
      </c>
      <c r="AQ453" s="12">
        <f t="shared" si="572"/>
        <v>15893</v>
      </c>
      <c r="AR453" s="13">
        <f t="shared" si="573"/>
        <v>0.23951834101938085</v>
      </c>
      <c r="AS453" s="17">
        <f t="shared" si="574"/>
        <v>-6592</v>
      </c>
      <c r="AT453" s="18">
        <f t="shared" si="575"/>
        <v>-8.0148820017751365E-2</v>
      </c>
    </row>
    <row r="454" spans="1:46" ht="14.25" hidden="1" customHeight="1">
      <c r="A454" t="s">
        <v>364</v>
      </c>
      <c r="B454">
        <v>820215</v>
      </c>
      <c r="C454">
        <v>240646</v>
      </c>
      <c r="D454" s="1">
        <v>240646</v>
      </c>
      <c r="E454" s="1">
        <v>240646</v>
      </c>
      <c r="F454" s="1">
        <v>240646</v>
      </c>
      <c r="G454" s="1">
        <v>240646</v>
      </c>
      <c r="H454" s="1">
        <v>240646</v>
      </c>
      <c r="I454" s="1">
        <v>240646</v>
      </c>
      <c r="J454" s="1">
        <v>240646</v>
      </c>
      <c r="K454" s="1">
        <v>240646</v>
      </c>
      <c r="L454" s="1">
        <v>240646</v>
      </c>
      <c r="M454" s="1">
        <v>240646</v>
      </c>
      <c r="N454" s="1">
        <v>240646</v>
      </c>
      <c r="O454" s="1">
        <v>240646</v>
      </c>
      <c r="P454" s="1">
        <v>240646</v>
      </c>
      <c r="Q454" s="1">
        <v>240646</v>
      </c>
      <c r="R454" s="1">
        <v>240646</v>
      </c>
      <c r="S454" s="1">
        <v>240646</v>
      </c>
      <c r="T454" s="1">
        <v>240646</v>
      </c>
      <c r="U454" s="1">
        <v>240646</v>
      </c>
      <c r="V454" s="1">
        <v>240646</v>
      </c>
      <c r="W454" s="1">
        <v>240646</v>
      </c>
      <c r="X454" s="1">
        <v>220750</v>
      </c>
      <c r="Y454" s="1">
        <v>219090</v>
      </c>
      <c r="Z454" s="1">
        <v>217346</v>
      </c>
      <c r="AA454" s="1">
        <v>215619</v>
      </c>
      <c r="AB454" s="1">
        <v>213493</v>
      </c>
      <c r="AC454" s="1">
        <v>211371</v>
      </c>
      <c r="AD454" s="1">
        <v>209053</v>
      </c>
      <c r="AE454" s="1">
        <v>206957</v>
      </c>
      <c r="AF454" s="1">
        <v>205142</v>
      </c>
      <c r="AG454" s="1">
        <v>203658</v>
      </c>
      <c r="AH454" s="1">
        <v>202641</v>
      </c>
      <c r="AI454" s="1">
        <v>201745</v>
      </c>
      <c r="AJ454" s="1">
        <v>200896</v>
      </c>
      <c r="AK454" s="1">
        <v>200032</v>
      </c>
      <c r="AL454" s="1">
        <v>199115</v>
      </c>
      <c r="AM454" s="1">
        <v>198338</v>
      </c>
      <c r="AO454" s="7">
        <f t="shared" si="570"/>
        <v>0</v>
      </c>
      <c r="AP454" s="8">
        <f t="shared" si="571"/>
        <v>0</v>
      </c>
      <c r="AQ454" s="12">
        <f t="shared" si="572"/>
        <v>-25027</v>
      </c>
      <c r="AR454" s="13">
        <f t="shared" si="573"/>
        <v>-0.10399923539140477</v>
      </c>
      <c r="AS454" s="17">
        <f t="shared" si="574"/>
        <v>-17281</v>
      </c>
      <c r="AT454" s="18">
        <f t="shared" si="575"/>
        <v>-8.0145998265458984E-2</v>
      </c>
    </row>
    <row r="455" spans="1:46" ht="14.25" hidden="1" customHeight="1">
      <c r="A455" t="s">
        <v>11</v>
      </c>
      <c r="B455" t="s">
        <v>12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46">
      <c r="A456" t="s">
        <v>363</v>
      </c>
      <c r="C456">
        <v>307783</v>
      </c>
      <c r="D456" s="1">
        <v>326926</v>
      </c>
      <c r="E456" s="1">
        <v>347925</v>
      </c>
      <c r="F456" s="1">
        <v>367499</v>
      </c>
      <c r="G456" s="1">
        <v>278496</v>
      </c>
      <c r="H456" s="1">
        <v>275286</v>
      </c>
      <c r="I456" s="1">
        <v>295212</v>
      </c>
      <c r="J456" s="1">
        <v>312500</v>
      </c>
      <c r="K456" s="1">
        <v>333667</v>
      </c>
      <c r="L456" s="1">
        <v>351995</v>
      </c>
      <c r="M456" s="1">
        <v>267939</v>
      </c>
      <c r="N456" s="1">
        <v>287688</v>
      </c>
      <c r="O456" s="1">
        <v>307000</v>
      </c>
      <c r="P456" s="1">
        <v>323717</v>
      </c>
      <c r="Q456" s="1">
        <v>343695</v>
      </c>
      <c r="R456" s="1">
        <v>359646</v>
      </c>
      <c r="S456" s="1">
        <v>268114</v>
      </c>
      <c r="T456" s="1">
        <v>269893</v>
      </c>
      <c r="U456" s="1">
        <v>292000</v>
      </c>
      <c r="V456" s="1">
        <v>305922</v>
      </c>
      <c r="W456" s="1">
        <v>332440</v>
      </c>
      <c r="X456" s="1">
        <v>304954</v>
      </c>
      <c r="Y456" s="1">
        <v>302661</v>
      </c>
      <c r="Z456" s="1">
        <v>300252</v>
      </c>
      <c r="AA456" s="1">
        <v>297866</v>
      </c>
      <c r="AB456" s="1">
        <v>294929</v>
      </c>
      <c r="AC456" s="1">
        <v>291997</v>
      </c>
      <c r="AD456" s="1">
        <v>288796</v>
      </c>
      <c r="AE456" s="1">
        <v>285900</v>
      </c>
      <c r="AF456" s="1">
        <v>283392</v>
      </c>
      <c r="AG456" s="1">
        <v>281343</v>
      </c>
      <c r="AH456" s="1">
        <v>279938</v>
      </c>
      <c r="AI456" s="1">
        <v>278700</v>
      </c>
      <c r="AJ456" s="1">
        <v>277528</v>
      </c>
      <c r="AK456" s="1">
        <v>276334</v>
      </c>
      <c r="AL456" s="1">
        <v>275067</v>
      </c>
      <c r="AM456" s="1">
        <v>273993</v>
      </c>
      <c r="AO456" s="7">
        <f t="shared" ref="AO456" si="576">+O456-C456</f>
        <v>-783</v>
      </c>
      <c r="AP456" s="8">
        <f t="shared" ref="AP456" si="577">+(O456/C456)-1</f>
        <v>-2.5440001559540182E-3</v>
      </c>
      <c r="AQ456" s="12">
        <f t="shared" ref="AQ456" si="578">+(AA456-O456)</f>
        <v>-9134</v>
      </c>
      <c r="AR456" s="13">
        <f t="shared" ref="AR456" si="579">+(AA456/O456)-1</f>
        <v>-2.9752442996742623E-2</v>
      </c>
      <c r="AS456" s="17">
        <f t="shared" ref="AS456" si="580">+AM456-AA456</f>
        <v>-23873</v>
      </c>
      <c r="AT456" s="18">
        <f t="shared" ref="AT456" si="581">+(AM456/AA456)-1</f>
        <v>-8.0146777409976333E-2</v>
      </c>
    </row>
    <row r="457" spans="1:46" ht="14.25" hidden="1" customHeight="1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46" ht="14.25" hidden="1" customHeight="1">
      <c r="A458" t="s">
        <v>365</v>
      </c>
      <c r="B458">
        <v>820305</v>
      </c>
      <c r="C458">
        <v>21401198</v>
      </c>
      <c r="D458" s="1">
        <v>20979917</v>
      </c>
      <c r="E458" s="1">
        <v>20754972</v>
      </c>
      <c r="F458" s="1">
        <v>20314343</v>
      </c>
      <c r="G458" s="1">
        <v>20308126</v>
      </c>
      <c r="H458" s="1">
        <v>19897535</v>
      </c>
      <c r="I458" s="1">
        <v>19515882</v>
      </c>
      <c r="J458" s="1">
        <v>19266122</v>
      </c>
      <c r="K458" s="1">
        <v>18911606</v>
      </c>
      <c r="L458" s="1">
        <v>18384711</v>
      </c>
      <c r="M458" s="1">
        <v>18491829</v>
      </c>
      <c r="N458" s="1">
        <v>18306906</v>
      </c>
      <c r="O458" s="1">
        <v>17890641</v>
      </c>
      <c r="P458" s="1">
        <v>17816706</v>
      </c>
      <c r="Q458" s="1">
        <v>18320795</v>
      </c>
      <c r="R458" s="1">
        <v>18390888</v>
      </c>
      <c r="S458" s="1">
        <v>18652178</v>
      </c>
      <c r="T458" s="1">
        <v>18351324</v>
      </c>
      <c r="U458" s="1">
        <v>18136969</v>
      </c>
      <c r="V458" s="1">
        <v>17503080</v>
      </c>
      <c r="W458" s="1">
        <v>17238764</v>
      </c>
      <c r="X458" s="1">
        <v>17324356</v>
      </c>
      <c r="Y458" s="1">
        <v>17194092</v>
      </c>
      <c r="Z458" s="1">
        <v>17057210</v>
      </c>
      <c r="AA458" s="1">
        <v>16921695</v>
      </c>
      <c r="AB458" s="1">
        <v>16754824</v>
      </c>
      <c r="AC458" s="1">
        <v>16588272</v>
      </c>
      <c r="AD458" s="1">
        <v>16406406</v>
      </c>
      <c r="AE458" s="1">
        <v>16241879</v>
      </c>
      <c r="AF458" s="1">
        <v>16099428</v>
      </c>
      <c r="AG458" s="1">
        <v>15983018</v>
      </c>
      <c r="AH458" s="1">
        <v>15903193</v>
      </c>
      <c r="AI458" s="1">
        <v>15832880</v>
      </c>
      <c r="AJ458" s="1">
        <v>15766270</v>
      </c>
      <c r="AK458" s="1">
        <v>15698433</v>
      </c>
      <c r="AL458" s="1">
        <v>15626468</v>
      </c>
      <c r="AM458" s="1">
        <v>15565462</v>
      </c>
      <c r="AO458" s="7">
        <f t="shared" ref="AO458" si="582">+O458-C458</f>
        <v>-3510557</v>
      </c>
      <c r="AP458" s="8">
        <f t="shared" ref="AP458" si="583">+(O458/C458)-1</f>
        <v>-0.16403553670219773</v>
      </c>
      <c r="AQ458" s="12">
        <f t="shared" ref="AQ458" si="584">+(AA458-O458)</f>
        <v>-968946</v>
      </c>
      <c r="AR458" s="13">
        <f t="shared" ref="AR458" si="585">+(AA458/O458)-1</f>
        <v>-5.4159378638250044E-2</v>
      </c>
      <c r="AS458" s="17">
        <f t="shared" ref="AS458" si="586">+AM458-AA458</f>
        <v>-1356233</v>
      </c>
      <c r="AT458" s="18">
        <f t="shared" ref="AT458" si="587">+(AM458/AA458)-1</f>
        <v>-8.0147585688076783E-2</v>
      </c>
    </row>
    <row r="459" spans="1:46" ht="14.25" hidden="1" customHeight="1">
      <c r="A459" t="s">
        <v>11</v>
      </c>
      <c r="B459" t="s">
        <v>12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46" ht="14.25" hidden="1" customHeight="1">
      <c r="A460" t="s">
        <v>11</v>
      </c>
      <c r="B460" t="s">
        <v>12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46">
      <c r="A461" t="s">
        <v>366</v>
      </c>
      <c r="C461">
        <v>21401198</v>
      </c>
      <c r="D461" s="1">
        <v>20979917</v>
      </c>
      <c r="E461" s="1">
        <v>20754972</v>
      </c>
      <c r="F461" s="1">
        <v>20314343</v>
      </c>
      <c r="G461" s="1">
        <v>20308126</v>
      </c>
      <c r="H461" s="1">
        <v>19897535</v>
      </c>
      <c r="I461" s="1">
        <v>19515882</v>
      </c>
      <c r="J461" s="1">
        <v>19266122</v>
      </c>
      <c r="K461" s="1">
        <v>18911606</v>
      </c>
      <c r="L461" s="1">
        <v>18384711</v>
      </c>
      <c r="M461" s="1">
        <v>18491829</v>
      </c>
      <c r="N461" s="1">
        <v>18306906</v>
      </c>
      <c r="O461" s="1">
        <v>17890641</v>
      </c>
      <c r="P461" s="1">
        <v>17816706</v>
      </c>
      <c r="Q461" s="1">
        <v>18320795</v>
      </c>
      <c r="R461" s="1">
        <v>18390888</v>
      </c>
      <c r="S461" s="1">
        <v>18652178</v>
      </c>
      <c r="T461" s="1">
        <v>18351324</v>
      </c>
      <c r="U461" s="1">
        <v>18136969</v>
      </c>
      <c r="V461" s="1">
        <v>17503080</v>
      </c>
      <c r="W461" s="1">
        <v>17238764</v>
      </c>
      <c r="X461" s="1">
        <v>17324356</v>
      </c>
      <c r="Y461" s="1">
        <v>17194092</v>
      </c>
      <c r="Z461" s="1">
        <v>17057210</v>
      </c>
      <c r="AA461" s="1">
        <v>16921695</v>
      </c>
      <c r="AB461" s="1">
        <v>16754824</v>
      </c>
      <c r="AC461" s="1">
        <v>16588272</v>
      </c>
      <c r="AD461" s="1">
        <v>16406406</v>
      </c>
      <c r="AE461" s="1">
        <v>16241879</v>
      </c>
      <c r="AF461" s="1">
        <v>16099428</v>
      </c>
      <c r="AG461" s="1">
        <v>15983018</v>
      </c>
      <c r="AH461" s="1">
        <v>15903193</v>
      </c>
      <c r="AI461" s="1">
        <v>15832880</v>
      </c>
      <c r="AJ461" s="1">
        <v>15766270</v>
      </c>
      <c r="AK461" s="1">
        <v>15698433</v>
      </c>
      <c r="AL461" s="1">
        <v>15626468</v>
      </c>
      <c r="AM461" s="1">
        <v>15565462</v>
      </c>
      <c r="AO461" s="7">
        <f t="shared" ref="AO461" si="588">+O461-C461</f>
        <v>-3510557</v>
      </c>
      <c r="AP461" s="8">
        <f t="shared" ref="AP461" si="589">+(O461/C461)-1</f>
        <v>-0.16403553670219773</v>
      </c>
      <c r="AQ461" s="12">
        <f t="shared" ref="AQ461" si="590">+(AA461-O461)</f>
        <v>-968946</v>
      </c>
      <c r="AR461" s="13">
        <f t="shared" ref="AR461" si="591">+(AA461/O461)-1</f>
        <v>-5.4159378638250044E-2</v>
      </c>
      <c r="AS461" s="17">
        <f t="shared" ref="AS461" si="592">+AM461-AA461</f>
        <v>-1356233</v>
      </c>
      <c r="AT461" s="18">
        <f t="shared" ref="AT461" si="593">+(AM461/AA461)-1</f>
        <v>-8.0147585688076783E-2</v>
      </c>
    </row>
    <row r="462" spans="1:46" ht="14.25" hidden="1" customHeight="1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46" ht="14.25" hidden="1" customHeight="1">
      <c r="A463" t="s">
        <v>367</v>
      </c>
      <c r="B463">
        <v>820400</v>
      </c>
      <c r="C463">
        <v>6253569</v>
      </c>
      <c r="D463" s="1">
        <v>4659654</v>
      </c>
      <c r="E463" s="1">
        <v>4813981</v>
      </c>
      <c r="F463" s="1">
        <v>4555402</v>
      </c>
      <c r="G463" s="1">
        <v>3852055</v>
      </c>
      <c r="H463" s="1">
        <v>3240678</v>
      </c>
      <c r="I463" s="1">
        <v>3080192</v>
      </c>
      <c r="J463" s="1">
        <v>2913327</v>
      </c>
      <c r="K463" s="1">
        <v>3036079</v>
      </c>
      <c r="L463" s="1">
        <v>3557733</v>
      </c>
      <c r="M463" s="1">
        <v>3106049</v>
      </c>
      <c r="N463" s="1">
        <v>3087843</v>
      </c>
      <c r="O463" s="1">
        <v>2891770</v>
      </c>
      <c r="P463" s="1">
        <v>2968422</v>
      </c>
      <c r="Q463" s="1">
        <v>2837495</v>
      </c>
      <c r="R463" s="1">
        <v>2472087</v>
      </c>
      <c r="S463" s="1">
        <v>2675887</v>
      </c>
      <c r="T463" s="1">
        <v>2488933</v>
      </c>
      <c r="U463" s="1">
        <v>2353217</v>
      </c>
      <c r="V463" s="1">
        <v>2047286</v>
      </c>
      <c r="W463" s="1">
        <v>2186425</v>
      </c>
      <c r="X463" s="1">
        <v>934278</v>
      </c>
      <c r="Y463" s="1">
        <v>402514</v>
      </c>
      <c r="Z463" s="1">
        <v>46808</v>
      </c>
      <c r="AA463" s="1">
        <v>38678</v>
      </c>
      <c r="AB463" s="1">
        <v>38767</v>
      </c>
      <c r="AC463" s="1">
        <v>38926</v>
      </c>
      <c r="AD463" s="1">
        <v>39164</v>
      </c>
      <c r="AE463" s="1">
        <v>39542</v>
      </c>
      <c r="AF463" s="1">
        <v>39909</v>
      </c>
      <c r="AG463" s="1">
        <v>40241</v>
      </c>
      <c r="AH463" s="1">
        <v>40558</v>
      </c>
      <c r="AI463" s="1">
        <v>40867</v>
      </c>
      <c r="AJ463" s="1">
        <v>41189</v>
      </c>
      <c r="AK463" s="1">
        <v>41499</v>
      </c>
      <c r="AL463" s="1">
        <v>41748</v>
      </c>
      <c r="AM463" s="1">
        <v>41934</v>
      </c>
      <c r="AO463" s="7">
        <f t="shared" ref="AO463:AO526" si="594">+O463-C463</f>
        <v>-3361799</v>
      </c>
      <c r="AP463" s="8">
        <f t="shared" ref="AP463:AP526" si="595">+(O463/C463)-1</f>
        <v>-0.53758085982580506</v>
      </c>
      <c r="AQ463" s="12">
        <f t="shared" ref="AQ463:AQ526" si="596">+(AA463-O463)</f>
        <v>-2853092</v>
      </c>
      <c r="AR463" s="13">
        <f t="shared" ref="AR463:AR526" si="597">+(AA463/O463)-1</f>
        <v>-0.98662480072758207</v>
      </c>
      <c r="AS463" s="17">
        <f t="shared" ref="AS463:AS526" si="598">+AM463-AA463</f>
        <v>3256</v>
      </c>
      <c r="AT463" s="18">
        <f t="shared" ref="AT463:AT526" si="599">+(AM463/AA463)-1</f>
        <v>8.4182222452039879E-2</v>
      </c>
    </row>
    <row r="464" spans="1:46" ht="14.25" hidden="1" customHeight="1">
      <c r="A464" t="s">
        <v>368</v>
      </c>
      <c r="B464">
        <v>820401</v>
      </c>
      <c r="C464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O464" s="7">
        <f t="shared" si="594"/>
        <v>0</v>
      </c>
      <c r="AP464" s="8" t="e">
        <f t="shared" si="595"/>
        <v>#DIV/0!</v>
      </c>
      <c r="AQ464" s="12">
        <f t="shared" si="596"/>
        <v>0</v>
      </c>
      <c r="AR464" s="13" t="e">
        <f t="shared" si="597"/>
        <v>#DIV/0!</v>
      </c>
      <c r="AS464" s="17">
        <f t="shared" si="598"/>
        <v>0</v>
      </c>
      <c r="AT464" s="18" t="e">
        <f t="shared" si="599"/>
        <v>#DIV/0!</v>
      </c>
    </row>
    <row r="465" spans="1:46" ht="14.25" hidden="1" customHeight="1">
      <c r="A465" t="s">
        <v>369</v>
      </c>
      <c r="B465">
        <v>820402</v>
      </c>
      <c r="C465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O465" s="7">
        <f t="shared" si="594"/>
        <v>0</v>
      </c>
      <c r="AP465" s="8" t="e">
        <f t="shared" si="595"/>
        <v>#DIV/0!</v>
      </c>
      <c r="AQ465" s="12">
        <f t="shared" si="596"/>
        <v>0</v>
      </c>
      <c r="AR465" s="13" t="e">
        <f t="shared" si="597"/>
        <v>#DIV/0!</v>
      </c>
      <c r="AS465" s="17">
        <f t="shared" si="598"/>
        <v>0</v>
      </c>
      <c r="AT465" s="18" t="e">
        <f t="shared" si="599"/>
        <v>#DIV/0!</v>
      </c>
    </row>
    <row r="466" spans="1:46" ht="14.25" hidden="1" customHeight="1">
      <c r="A466" t="s">
        <v>370</v>
      </c>
      <c r="B466">
        <v>820405</v>
      </c>
      <c r="C466">
        <v>222690801</v>
      </c>
      <c r="D466" s="1">
        <v>250337520</v>
      </c>
      <c r="E466" s="1">
        <v>269116493</v>
      </c>
      <c r="F466" s="1">
        <v>264847119</v>
      </c>
      <c r="G466" s="1">
        <v>257310187</v>
      </c>
      <c r="H466" s="1">
        <v>251626466</v>
      </c>
      <c r="I466" s="1">
        <v>246917646</v>
      </c>
      <c r="J466" s="1">
        <v>209386425</v>
      </c>
      <c r="K466" s="1">
        <v>221824853</v>
      </c>
      <c r="L466" s="1">
        <v>264219582</v>
      </c>
      <c r="M466" s="1">
        <v>284687556</v>
      </c>
      <c r="N466" s="1">
        <v>308094575</v>
      </c>
      <c r="O466" s="1">
        <v>327622939</v>
      </c>
      <c r="P466" s="1">
        <v>341117166</v>
      </c>
      <c r="Q466" s="1">
        <v>370314773</v>
      </c>
      <c r="R466" s="1">
        <v>356013204</v>
      </c>
      <c r="S466" s="1">
        <v>339195299</v>
      </c>
      <c r="T466" s="1">
        <v>324722590</v>
      </c>
      <c r="U466" s="1">
        <v>312829831</v>
      </c>
      <c r="V466" s="1">
        <v>272103122</v>
      </c>
      <c r="W466" s="1">
        <v>211263355</v>
      </c>
      <c r="X466" s="1">
        <v>213146413</v>
      </c>
      <c r="Y466" s="1">
        <v>214844780</v>
      </c>
      <c r="Z466" s="1">
        <v>223878085</v>
      </c>
      <c r="AA466" s="1">
        <v>232022425</v>
      </c>
      <c r="AB466" s="1">
        <v>232558636</v>
      </c>
      <c r="AC466" s="1">
        <v>233512233</v>
      </c>
      <c r="AD466" s="1">
        <v>234938985</v>
      </c>
      <c r="AE466" s="1">
        <v>237206146</v>
      </c>
      <c r="AF466" s="1">
        <v>239409537</v>
      </c>
      <c r="AG466" s="1">
        <v>241401730</v>
      </c>
      <c r="AH466" s="1">
        <v>243301619</v>
      </c>
      <c r="AI466" s="1">
        <v>245155083</v>
      </c>
      <c r="AJ466" s="1">
        <v>247086601</v>
      </c>
      <c r="AK466" s="1">
        <v>248948391</v>
      </c>
      <c r="AL466" s="1">
        <v>250438141</v>
      </c>
      <c r="AM466" s="1">
        <v>251559471</v>
      </c>
      <c r="AO466" s="7">
        <f t="shared" si="594"/>
        <v>104932138</v>
      </c>
      <c r="AP466" s="8">
        <f t="shared" si="595"/>
        <v>0.47120104435746324</v>
      </c>
      <c r="AQ466" s="12">
        <f t="shared" si="596"/>
        <v>-95600514</v>
      </c>
      <c r="AR466" s="13">
        <f t="shared" si="597"/>
        <v>-0.29180042854081101</v>
      </c>
      <c r="AS466" s="17">
        <f t="shared" si="598"/>
        <v>19537046</v>
      </c>
      <c r="AT466" s="18">
        <f t="shared" si="599"/>
        <v>8.4203266128263232E-2</v>
      </c>
    </row>
    <row r="467" spans="1:46" ht="14.25" hidden="1" customHeight="1">
      <c r="A467" t="s">
        <v>371</v>
      </c>
      <c r="B467">
        <v>820406</v>
      </c>
      <c r="C467">
        <v>0</v>
      </c>
      <c r="D467" s="1">
        <v>0</v>
      </c>
      <c r="E467" s="1">
        <v>0</v>
      </c>
      <c r="F467" s="1">
        <v>15976201</v>
      </c>
      <c r="G467" s="1">
        <v>42972887</v>
      </c>
      <c r="H467" s="1">
        <v>63496161</v>
      </c>
      <c r="I467" s="1">
        <v>79321958</v>
      </c>
      <c r="J467" s="1">
        <v>140754099</v>
      </c>
      <c r="K467" s="1">
        <v>152258044</v>
      </c>
      <c r="L467" s="1">
        <v>152436001</v>
      </c>
      <c r="M467" s="1">
        <v>136404128</v>
      </c>
      <c r="N467" s="1">
        <v>110116319</v>
      </c>
      <c r="O467" s="1">
        <v>89275172</v>
      </c>
      <c r="P467" s="1">
        <v>72552024</v>
      </c>
      <c r="Q467" s="1">
        <v>11478759</v>
      </c>
      <c r="R467" s="1">
        <v>1018525</v>
      </c>
      <c r="S467" s="1">
        <v>19604973</v>
      </c>
      <c r="T467" s="1">
        <v>38213855</v>
      </c>
      <c r="U467" s="1">
        <v>51502014</v>
      </c>
      <c r="V467" s="1">
        <v>51245222</v>
      </c>
      <c r="W467" s="1">
        <v>51333769</v>
      </c>
      <c r="X467" s="1">
        <v>51630496</v>
      </c>
      <c r="Y467" s="1">
        <v>52039260</v>
      </c>
      <c r="Z467" s="1">
        <v>33190320</v>
      </c>
      <c r="AA467" s="1">
        <v>15276686</v>
      </c>
      <c r="AB467" s="1">
        <v>15311991</v>
      </c>
      <c r="AC467" s="1">
        <v>15374777</v>
      </c>
      <c r="AD467" s="1">
        <v>15468717</v>
      </c>
      <c r="AE467" s="1">
        <v>15617990</v>
      </c>
      <c r="AF467" s="1">
        <v>15763064</v>
      </c>
      <c r="AG467" s="1">
        <v>15894233</v>
      </c>
      <c r="AH467" s="1">
        <v>16019324</v>
      </c>
      <c r="AI467" s="1">
        <v>16141359</v>
      </c>
      <c r="AJ467" s="1">
        <v>16268533</v>
      </c>
      <c r="AK467" s="1">
        <v>16391116</v>
      </c>
      <c r="AL467" s="1">
        <v>16489203</v>
      </c>
      <c r="AM467" s="1">
        <v>16563033</v>
      </c>
      <c r="AO467" s="7">
        <f t="shared" si="594"/>
        <v>89275172</v>
      </c>
      <c r="AP467" s="8" t="e">
        <f t="shared" si="595"/>
        <v>#DIV/0!</v>
      </c>
      <c r="AQ467" s="12">
        <f t="shared" si="596"/>
        <v>-73998486</v>
      </c>
      <c r="AR467" s="13">
        <f t="shared" si="597"/>
        <v>-0.8288809121532692</v>
      </c>
      <c r="AS467" s="17">
        <f t="shared" si="598"/>
        <v>1286347</v>
      </c>
      <c r="AT467" s="18">
        <f t="shared" si="599"/>
        <v>8.4203275500982278E-2</v>
      </c>
    </row>
    <row r="468" spans="1:46" ht="14.25" hidden="1" customHeight="1">
      <c r="A468" t="s">
        <v>372</v>
      </c>
      <c r="B468">
        <v>820407</v>
      </c>
      <c r="C468">
        <v>20438804</v>
      </c>
      <c r="D468" s="1">
        <v>3881823</v>
      </c>
      <c r="E468" s="1">
        <v>0</v>
      </c>
      <c r="F468" s="1">
        <v>7616675</v>
      </c>
      <c r="G468" s="1">
        <v>13167988</v>
      </c>
      <c r="H468" s="1">
        <v>15035957</v>
      </c>
      <c r="I468" s="1">
        <v>15098322</v>
      </c>
      <c r="J468" s="1">
        <v>15163007</v>
      </c>
      <c r="K468" s="1">
        <v>15224827</v>
      </c>
      <c r="L468" s="1">
        <v>15286960</v>
      </c>
      <c r="M468" s="1">
        <v>15351410</v>
      </c>
      <c r="N468" s="1">
        <v>7666028</v>
      </c>
      <c r="O468" s="1">
        <v>2130386</v>
      </c>
      <c r="P468" s="1">
        <v>171400</v>
      </c>
      <c r="Q468" s="1">
        <v>172028</v>
      </c>
      <c r="R468" s="1">
        <v>167373</v>
      </c>
      <c r="S468" s="1">
        <v>168039</v>
      </c>
      <c r="T468" s="1">
        <v>168730</v>
      </c>
      <c r="U468" s="1">
        <v>158433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O468" s="7">
        <f t="shared" si="594"/>
        <v>-18308418</v>
      </c>
      <c r="AP468" s="8">
        <f t="shared" si="595"/>
        <v>-0.89576758013825075</v>
      </c>
      <c r="AQ468" s="12">
        <f t="shared" si="596"/>
        <v>-2130386</v>
      </c>
      <c r="AR468" s="13">
        <f t="shared" si="597"/>
        <v>-1</v>
      </c>
      <c r="AS468" s="17">
        <f t="shared" si="598"/>
        <v>0</v>
      </c>
      <c r="AT468" s="18" t="e">
        <f t="shared" si="599"/>
        <v>#DIV/0!</v>
      </c>
    </row>
    <row r="469" spans="1:46" ht="14.25" hidden="1" customHeight="1">
      <c r="A469" t="s">
        <v>373</v>
      </c>
      <c r="B469">
        <v>820408</v>
      </c>
      <c r="C469">
        <v>172307868</v>
      </c>
      <c r="D469" s="1">
        <v>172747256</v>
      </c>
      <c r="E469" s="1">
        <v>173184618</v>
      </c>
      <c r="F469" s="1">
        <v>173451696</v>
      </c>
      <c r="G469" s="1">
        <v>172923494</v>
      </c>
      <c r="H469" s="1">
        <v>172590094</v>
      </c>
      <c r="I469" s="1">
        <v>172525931</v>
      </c>
      <c r="J469" s="1">
        <v>123545809</v>
      </c>
      <c r="K469" s="1">
        <v>70172494</v>
      </c>
      <c r="L469" s="1">
        <v>119279</v>
      </c>
      <c r="M469" s="1">
        <v>119751</v>
      </c>
      <c r="N469" s="1">
        <v>120211</v>
      </c>
      <c r="O469" s="1">
        <v>120688</v>
      </c>
      <c r="P469" s="1">
        <v>121166</v>
      </c>
      <c r="Q469" s="1">
        <v>100142</v>
      </c>
      <c r="R469" s="1">
        <v>88351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O469" s="7">
        <f t="shared" si="594"/>
        <v>-172187180</v>
      </c>
      <c r="AP469" s="8">
        <f t="shared" si="595"/>
        <v>-0.99929957928560753</v>
      </c>
      <c r="AQ469" s="12">
        <f t="shared" si="596"/>
        <v>-120688</v>
      </c>
      <c r="AR469" s="13">
        <f t="shared" si="597"/>
        <v>-1</v>
      </c>
      <c r="AS469" s="17">
        <f t="shared" si="598"/>
        <v>0</v>
      </c>
      <c r="AT469" s="18" t="e">
        <f t="shared" si="599"/>
        <v>#DIV/0!</v>
      </c>
    </row>
    <row r="470" spans="1:46" ht="14.25" hidden="1" customHeight="1">
      <c r="A470" t="s">
        <v>374</v>
      </c>
      <c r="B470">
        <v>820409</v>
      </c>
      <c r="C470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61179291</v>
      </c>
      <c r="W470" s="1">
        <v>135538110</v>
      </c>
      <c r="X470" s="1">
        <v>136746205</v>
      </c>
      <c r="Y470" s="1">
        <v>137835809</v>
      </c>
      <c r="Z470" s="1">
        <v>143631216</v>
      </c>
      <c r="AA470" s="1">
        <v>148852914</v>
      </c>
      <c r="AB470" s="1">
        <v>149196917</v>
      </c>
      <c r="AC470" s="1">
        <v>149808693</v>
      </c>
      <c r="AD470" s="1">
        <v>150724019</v>
      </c>
      <c r="AE470" s="1">
        <v>152178506</v>
      </c>
      <c r="AF470" s="1">
        <v>153592081</v>
      </c>
      <c r="AG470" s="1">
        <v>154870163</v>
      </c>
      <c r="AH470" s="1">
        <v>156089028</v>
      </c>
      <c r="AI470" s="1">
        <v>157278109</v>
      </c>
      <c r="AJ470" s="1">
        <v>158517266</v>
      </c>
      <c r="AK470" s="1">
        <v>159711689</v>
      </c>
      <c r="AL470" s="1">
        <v>160667431</v>
      </c>
      <c r="AM470" s="1">
        <v>161386814</v>
      </c>
      <c r="AO470" s="7">
        <f t="shared" si="594"/>
        <v>0</v>
      </c>
      <c r="AP470" s="8" t="e">
        <f t="shared" si="595"/>
        <v>#DIV/0!</v>
      </c>
      <c r="AQ470" s="12">
        <f t="shared" si="596"/>
        <v>148852914</v>
      </c>
      <c r="AR470" s="13" t="e">
        <f t="shared" si="597"/>
        <v>#DIV/0!</v>
      </c>
      <c r="AS470" s="17">
        <f t="shared" si="598"/>
        <v>12533900</v>
      </c>
      <c r="AT470" s="18">
        <f t="shared" si="599"/>
        <v>8.4203255839519597E-2</v>
      </c>
    </row>
    <row r="471" spans="1:46" ht="14.25" hidden="1" customHeight="1">
      <c r="A471" t="s">
        <v>375</v>
      </c>
      <c r="B471">
        <v>820414</v>
      </c>
      <c r="C47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O471" s="7">
        <f t="shared" si="594"/>
        <v>0</v>
      </c>
      <c r="AP471" s="8" t="e">
        <f t="shared" si="595"/>
        <v>#DIV/0!</v>
      </c>
      <c r="AQ471" s="12">
        <f t="shared" si="596"/>
        <v>0</v>
      </c>
      <c r="AR471" s="13" t="e">
        <f t="shared" si="597"/>
        <v>#DIV/0!</v>
      </c>
      <c r="AS471" s="17">
        <f t="shared" si="598"/>
        <v>0</v>
      </c>
      <c r="AT471" s="18" t="e">
        <f t="shared" si="599"/>
        <v>#DIV/0!</v>
      </c>
    </row>
    <row r="472" spans="1:46" ht="14.25" hidden="1" customHeight="1">
      <c r="A472" t="s">
        <v>376</v>
      </c>
      <c r="B472">
        <v>820410</v>
      </c>
      <c r="C472">
        <v>12333900</v>
      </c>
      <c r="D472" s="1">
        <v>12914034</v>
      </c>
      <c r="E472" s="1">
        <v>15474862</v>
      </c>
      <c r="F472" s="1">
        <v>13917582</v>
      </c>
      <c r="G472" s="1">
        <v>13114198</v>
      </c>
      <c r="H472" s="1">
        <v>12758157</v>
      </c>
      <c r="I472" s="1">
        <v>14438033</v>
      </c>
      <c r="J472" s="1">
        <v>23055099</v>
      </c>
      <c r="K472" s="1">
        <v>27551417</v>
      </c>
      <c r="L472" s="1">
        <v>35037313</v>
      </c>
      <c r="M472" s="1">
        <v>38642433</v>
      </c>
      <c r="N472" s="1">
        <v>44478433</v>
      </c>
      <c r="O472" s="1">
        <v>53347658</v>
      </c>
      <c r="P472" s="1">
        <v>79925812</v>
      </c>
      <c r="Q472" s="1">
        <v>102803354</v>
      </c>
      <c r="R472" s="1">
        <v>118752355</v>
      </c>
      <c r="S472" s="1">
        <v>120776801</v>
      </c>
      <c r="T472" s="1">
        <v>121215231</v>
      </c>
      <c r="U472" s="1">
        <v>119907883</v>
      </c>
      <c r="V472" s="1">
        <v>112959551</v>
      </c>
      <c r="W472" s="1">
        <v>108734977</v>
      </c>
      <c r="X472" s="1">
        <v>109704167</v>
      </c>
      <c r="Y472" s="1">
        <v>110578298</v>
      </c>
      <c r="Z472" s="1">
        <v>115227643</v>
      </c>
      <c r="AA472" s="1">
        <v>119419447</v>
      </c>
      <c r="AB472" s="1">
        <v>119695429</v>
      </c>
      <c r="AC472" s="1">
        <v>120186235</v>
      </c>
      <c r="AD472" s="1">
        <v>120920569</v>
      </c>
      <c r="AE472" s="1">
        <v>122087453</v>
      </c>
      <c r="AF472" s="1">
        <v>123221514</v>
      </c>
      <c r="AG472" s="1">
        <v>124246874</v>
      </c>
      <c r="AH472" s="1">
        <v>125224727</v>
      </c>
      <c r="AI472" s="1">
        <v>126178685</v>
      </c>
      <c r="AJ472" s="1">
        <v>127172816</v>
      </c>
      <c r="AK472" s="1">
        <v>128131060</v>
      </c>
      <c r="AL472" s="1">
        <v>128897818</v>
      </c>
      <c r="AM472" s="1">
        <v>129474954</v>
      </c>
      <c r="AO472" s="7">
        <f t="shared" si="594"/>
        <v>41013758</v>
      </c>
      <c r="AP472" s="8">
        <f t="shared" si="595"/>
        <v>3.3252870543785829</v>
      </c>
      <c r="AQ472" s="12">
        <f t="shared" si="596"/>
        <v>66071789</v>
      </c>
      <c r="AR472" s="13">
        <f t="shared" si="597"/>
        <v>1.2385133945336455</v>
      </c>
      <c r="AS472" s="17">
        <f t="shared" si="598"/>
        <v>10055507</v>
      </c>
      <c r="AT472" s="18">
        <f t="shared" si="599"/>
        <v>8.4203262137028556E-2</v>
      </c>
    </row>
    <row r="473" spans="1:46" ht="14.25" hidden="1" customHeight="1">
      <c r="A473" t="s">
        <v>377</v>
      </c>
      <c r="B473">
        <v>820411</v>
      </c>
      <c r="C473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O473" s="7">
        <f t="shared" si="594"/>
        <v>0</v>
      </c>
      <c r="AP473" s="8" t="e">
        <f t="shared" si="595"/>
        <v>#DIV/0!</v>
      </c>
      <c r="AQ473" s="12">
        <f t="shared" si="596"/>
        <v>0</v>
      </c>
      <c r="AR473" s="13" t="e">
        <f t="shared" si="597"/>
        <v>#DIV/0!</v>
      </c>
      <c r="AS473" s="17">
        <f t="shared" si="598"/>
        <v>0</v>
      </c>
      <c r="AT473" s="18" t="e">
        <f t="shared" si="599"/>
        <v>#DIV/0!</v>
      </c>
    </row>
    <row r="474" spans="1:46" ht="14.25" hidden="1" customHeight="1">
      <c r="A474" t="s">
        <v>378</v>
      </c>
      <c r="B474">
        <v>820413</v>
      </c>
      <c r="C474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O474" s="7">
        <f t="shared" si="594"/>
        <v>0</v>
      </c>
      <c r="AP474" s="8" t="e">
        <f t="shared" si="595"/>
        <v>#DIV/0!</v>
      </c>
      <c r="AQ474" s="12">
        <f t="shared" si="596"/>
        <v>0</v>
      </c>
      <c r="AR474" s="13" t="e">
        <f t="shared" si="597"/>
        <v>#DIV/0!</v>
      </c>
      <c r="AS474" s="17">
        <f t="shared" si="598"/>
        <v>0</v>
      </c>
      <c r="AT474" s="18" t="e">
        <f t="shared" si="599"/>
        <v>#DIV/0!</v>
      </c>
    </row>
    <row r="475" spans="1:46" ht="14.25" hidden="1" customHeight="1">
      <c r="A475" t="s">
        <v>379</v>
      </c>
      <c r="B475">
        <v>820415</v>
      </c>
      <c r="C475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O475" s="7">
        <f t="shared" si="594"/>
        <v>0</v>
      </c>
      <c r="AP475" s="8" t="e">
        <f t="shared" si="595"/>
        <v>#DIV/0!</v>
      </c>
      <c r="AQ475" s="12">
        <f t="shared" si="596"/>
        <v>0</v>
      </c>
      <c r="AR475" s="13" t="e">
        <f t="shared" si="597"/>
        <v>#DIV/0!</v>
      </c>
      <c r="AS475" s="17">
        <f t="shared" si="598"/>
        <v>0</v>
      </c>
      <c r="AT475" s="18" t="e">
        <f t="shared" si="599"/>
        <v>#DIV/0!</v>
      </c>
    </row>
    <row r="476" spans="1:46" ht="14.25" hidden="1" customHeight="1">
      <c r="A476" t="s">
        <v>380</v>
      </c>
      <c r="B476">
        <v>820416</v>
      </c>
      <c r="C476">
        <v>19121519</v>
      </c>
      <c r="D476" s="1">
        <v>14563278</v>
      </c>
      <c r="E476" s="1">
        <v>1907597</v>
      </c>
      <c r="F476" s="1">
        <v>497026</v>
      </c>
      <c r="G476" s="1">
        <v>187363</v>
      </c>
      <c r="H476" s="1">
        <v>167041</v>
      </c>
      <c r="I476" s="1">
        <v>15437</v>
      </c>
      <c r="J476" s="1">
        <v>5144</v>
      </c>
      <c r="K476" s="1">
        <v>5154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O476" s="7">
        <f t="shared" si="594"/>
        <v>-19121519</v>
      </c>
      <c r="AP476" s="8">
        <f t="shared" si="595"/>
        <v>-1</v>
      </c>
      <c r="AQ476" s="12">
        <f t="shared" si="596"/>
        <v>0</v>
      </c>
      <c r="AR476" s="13" t="e">
        <f t="shared" si="597"/>
        <v>#DIV/0!</v>
      </c>
      <c r="AS476" s="17">
        <f t="shared" si="598"/>
        <v>0</v>
      </c>
      <c r="AT476" s="18" t="e">
        <f t="shared" si="599"/>
        <v>#DIV/0!</v>
      </c>
    </row>
    <row r="477" spans="1:46" ht="14.25" hidden="1" customHeight="1">
      <c r="A477" t="s">
        <v>381</v>
      </c>
      <c r="B477">
        <v>820418</v>
      </c>
      <c r="C477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48914</v>
      </c>
      <c r="U477" s="1">
        <v>113671</v>
      </c>
      <c r="V477" s="1">
        <v>480087</v>
      </c>
      <c r="W477" s="1">
        <v>419120</v>
      </c>
      <c r="X477" s="1">
        <v>422855</v>
      </c>
      <c r="Y477" s="1">
        <v>426225</v>
      </c>
      <c r="Z477" s="1">
        <v>444146</v>
      </c>
      <c r="AA477" s="1">
        <v>460303</v>
      </c>
      <c r="AB477" s="1">
        <v>461367</v>
      </c>
      <c r="AC477" s="1">
        <v>463259</v>
      </c>
      <c r="AD477" s="1">
        <v>466089</v>
      </c>
      <c r="AE477" s="1">
        <v>470587</v>
      </c>
      <c r="AF477" s="1">
        <v>474958</v>
      </c>
      <c r="AG477" s="1">
        <v>478910</v>
      </c>
      <c r="AH477" s="1">
        <v>482679</v>
      </c>
      <c r="AI477" s="1">
        <v>486356</v>
      </c>
      <c r="AJ477" s="1">
        <v>490188</v>
      </c>
      <c r="AK477" s="1">
        <v>493882</v>
      </c>
      <c r="AL477" s="1">
        <v>496837</v>
      </c>
      <c r="AM477" s="1">
        <v>499062</v>
      </c>
      <c r="AO477" s="7">
        <f t="shared" si="594"/>
        <v>0</v>
      </c>
      <c r="AP477" s="8" t="e">
        <f t="shared" si="595"/>
        <v>#DIV/0!</v>
      </c>
      <c r="AQ477" s="12">
        <f t="shared" si="596"/>
        <v>460303</v>
      </c>
      <c r="AR477" s="13" t="e">
        <f t="shared" si="597"/>
        <v>#DIV/0!</v>
      </c>
      <c r="AS477" s="17">
        <f t="shared" si="598"/>
        <v>38759</v>
      </c>
      <c r="AT477" s="18">
        <f t="shared" si="599"/>
        <v>8.4203231349784913E-2</v>
      </c>
    </row>
    <row r="478" spans="1:46" ht="14.25" hidden="1" customHeight="1">
      <c r="A478" t="s">
        <v>382</v>
      </c>
      <c r="B478">
        <v>820419</v>
      </c>
      <c r="C478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O478" s="7">
        <f t="shared" si="594"/>
        <v>0</v>
      </c>
      <c r="AP478" s="8" t="e">
        <f t="shared" si="595"/>
        <v>#DIV/0!</v>
      </c>
      <c r="AQ478" s="12">
        <f t="shared" si="596"/>
        <v>0</v>
      </c>
      <c r="AR478" s="13" t="e">
        <f t="shared" si="597"/>
        <v>#DIV/0!</v>
      </c>
      <c r="AS478" s="17">
        <f t="shared" si="598"/>
        <v>0</v>
      </c>
      <c r="AT478" s="18" t="e">
        <f t="shared" si="599"/>
        <v>#DIV/0!</v>
      </c>
    </row>
    <row r="479" spans="1:46" ht="14.25" hidden="1" customHeight="1">
      <c r="A479" t="s">
        <v>383</v>
      </c>
      <c r="B479">
        <v>820420</v>
      </c>
      <c r="C479">
        <v>2314008</v>
      </c>
      <c r="D479" s="1">
        <v>2258611</v>
      </c>
      <c r="E479" s="1">
        <v>2184624</v>
      </c>
      <c r="F479" s="1">
        <v>2184515</v>
      </c>
      <c r="G479" s="1">
        <v>2200268</v>
      </c>
      <c r="H479" s="1">
        <v>2233894</v>
      </c>
      <c r="I479" s="1">
        <v>2246733</v>
      </c>
      <c r="J479" s="1">
        <v>2150005</v>
      </c>
      <c r="K479" s="1">
        <v>2120306</v>
      </c>
      <c r="L479" s="1">
        <v>1997908</v>
      </c>
      <c r="M479" s="1">
        <v>1878787</v>
      </c>
      <c r="N479" s="1">
        <v>1878057</v>
      </c>
      <c r="O479" s="1">
        <v>1873261</v>
      </c>
      <c r="P479" s="1">
        <v>2722745</v>
      </c>
      <c r="Q479" s="1">
        <v>2724098</v>
      </c>
      <c r="R479" s="1">
        <v>2732162</v>
      </c>
      <c r="S479" s="1">
        <v>2741241</v>
      </c>
      <c r="T479" s="1">
        <v>2690703</v>
      </c>
      <c r="U479" s="1">
        <v>2633589</v>
      </c>
      <c r="V479" s="1">
        <v>2217532</v>
      </c>
      <c r="W479" s="1">
        <v>2010943</v>
      </c>
      <c r="X479" s="1">
        <v>2028867</v>
      </c>
      <c r="Y479" s="1">
        <v>2045033</v>
      </c>
      <c r="Z479" s="1">
        <v>2131018</v>
      </c>
      <c r="AA479" s="1">
        <v>2208542</v>
      </c>
      <c r="AB479" s="1">
        <v>2213646</v>
      </c>
      <c r="AC479" s="1">
        <v>2222722</v>
      </c>
      <c r="AD479" s="1">
        <v>2236303</v>
      </c>
      <c r="AE479" s="1">
        <v>2257884</v>
      </c>
      <c r="AF479" s="1">
        <v>2278857</v>
      </c>
      <c r="AG479" s="1">
        <v>2297820</v>
      </c>
      <c r="AH479" s="1">
        <v>2315904</v>
      </c>
      <c r="AI479" s="1">
        <v>2333547</v>
      </c>
      <c r="AJ479" s="1">
        <v>2351932</v>
      </c>
      <c r="AK479" s="1">
        <v>2369654</v>
      </c>
      <c r="AL479" s="1">
        <v>2383834</v>
      </c>
      <c r="AM479" s="1">
        <v>2394508</v>
      </c>
      <c r="AO479" s="7">
        <f t="shared" si="594"/>
        <v>-440747</v>
      </c>
      <c r="AP479" s="8">
        <f t="shared" si="595"/>
        <v>-0.19046909085880426</v>
      </c>
      <c r="AQ479" s="12">
        <f t="shared" si="596"/>
        <v>335281</v>
      </c>
      <c r="AR479" s="13">
        <f t="shared" si="597"/>
        <v>0.17898253366722527</v>
      </c>
      <c r="AS479" s="17">
        <f t="shared" si="598"/>
        <v>185966</v>
      </c>
      <c r="AT479" s="18">
        <f t="shared" si="599"/>
        <v>8.4203062472889334E-2</v>
      </c>
    </row>
    <row r="480" spans="1:46" ht="14.25" hidden="1" customHeight="1">
      <c r="A480" t="s">
        <v>384</v>
      </c>
      <c r="B480">
        <v>820425</v>
      </c>
      <c r="C480">
        <v>7951971</v>
      </c>
      <c r="D480" s="1">
        <v>7796343</v>
      </c>
      <c r="E480" s="1">
        <v>6729865</v>
      </c>
      <c r="F480" s="1">
        <v>5284530</v>
      </c>
      <c r="G480" s="1">
        <v>5051617</v>
      </c>
      <c r="H480" s="1">
        <v>4903123</v>
      </c>
      <c r="I480" s="1">
        <v>4771334</v>
      </c>
      <c r="J480" s="1">
        <v>4733945</v>
      </c>
      <c r="K480" s="1">
        <v>4500447</v>
      </c>
      <c r="L480" s="1">
        <v>4390461</v>
      </c>
      <c r="M480" s="1">
        <v>4242970</v>
      </c>
      <c r="N480" s="1">
        <v>4068415</v>
      </c>
      <c r="O480" s="1">
        <v>4053369</v>
      </c>
      <c r="P480" s="1">
        <v>10347652</v>
      </c>
      <c r="Q480" s="1">
        <v>12289069</v>
      </c>
      <c r="R480" s="1">
        <v>15152011</v>
      </c>
      <c r="S480" s="1">
        <v>16893951</v>
      </c>
      <c r="T480" s="1">
        <v>18154389</v>
      </c>
      <c r="U480" s="1">
        <v>19577882</v>
      </c>
      <c r="V480" s="1">
        <v>20090626</v>
      </c>
      <c r="W480" s="1">
        <v>20291599</v>
      </c>
      <c r="X480" s="1">
        <v>20472464</v>
      </c>
      <c r="Y480" s="1">
        <v>20635591</v>
      </c>
      <c r="Z480" s="1">
        <v>21503229</v>
      </c>
      <c r="AA480" s="1">
        <v>22285483</v>
      </c>
      <c r="AB480" s="1">
        <v>22336986</v>
      </c>
      <c r="AC480" s="1">
        <v>22428578</v>
      </c>
      <c r="AD480" s="1">
        <v>22565616</v>
      </c>
      <c r="AE480" s="1">
        <v>22783374</v>
      </c>
      <c r="AF480" s="1">
        <v>22995007</v>
      </c>
      <c r="AG480" s="1">
        <v>23186355</v>
      </c>
      <c r="AH480" s="1">
        <v>23368837</v>
      </c>
      <c r="AI480" s="1">
        <v>23546860</v>
      </c>
      <c r="AJ480" s="1">
        <v>23732380</v>
      </c>
      <c r="AK480" s="1">
        <v>23911203</v>
      </c>
      <c r="AL480" s="1">
        <v>24054291</v>
      </c>
      <c r="AM480" s="1">
        <v>24161994</v>
      </c>
      <c r="AO480" s="7">
        <f t="shared" si="594"/>
        <v>-3898602</v>
      </c>
      <c r="AP480" s="8">
        <f t="shared" si="595"/>
        <v>-0.49026863905816553</v>
      </c>
      <c r="AQ480" s="12">
        <f t="shared" si="596"/>
        <v>18232114</v>
      </c>
      <c r="AR480" s="13">
        <f t="shared" si="597"/>
        <v>4.4980148612179152</v>
      </c>
      <c r="AS480" s="17">
        <f t="shared" si="598"/>
        <v>1876511</v>
      </c>
      <c r="AT480" s="18">
        <f t="shared" si="599"/>
        <v>8.4203290545688425E-2</v>
      </c>
    </row>
    <row r="481" spans="1:46" ht="14.25" hidden="1" customHeight="1">
      <c r="A481" t="s">
        <v>385</v>
      </c>
      <c r="B481">
        <v>820426</v>
      </c>
      <c r="C481">
        <v>89811667</v>
      </c>
      <c r="D481" s="1">
        <v>89708762</v>
      </c>
      <c r="E481" s="1">
        <v>89583060</v>
      </c>
      <c r="F481" s="1">
        <v>89291525</v>
      </c>
      <c r="G481" s="1">
        <v>88260576</v>
      </c>
      <c r="H481" s="1">
        <v>88478240</v>
      </c>
      <c r="I481" s="1">
        <v>87770684</v>
      </c>
      <c r="J481" s="1">
        <v>87680646</v>
      </c>
      <c r="K481" s="1">
        <v>87303040</v>
      </c>
      <c r="L481" s="1">
        <v>87004051</v>
      </c>
      <c r="M481" s="1">
        <v>87168181</v>
      </c>
      <c r="N481" s="1">
        <v>87395752</v>
      </c>
      <c r="O481" s="1">
        <v>87477362</v>
      </c>
      <c r="P481" s="1">
        <v>47702694</v>
      </c>
      <c r="Q481" s="1">
        <v>32227294</v>
      </c>
      <c r="R481" s="1">
        <v>23505527</v>
      </c>
      <c r="S481" s="1">
        <v>15562414</v>
      </c>
      <c r="T481" s="1">
        <v>10254361</v>
      </c>
      <c r="U481" s="1">
        <v>4912051</v>
      </c>
      <c r="V481" s="1">
        <v>2226772</v>
      </c>
      <c r="W481" s="1">
        <v>313056</v>
      </c>
      <c r="X481" s="1">
        <v>315846</v>
      </c>
      <c r="Y481" s="1">
        <v>318363</v>
      </c>
      <c r="Z481" s="1">
        <v>331748</v>
      </c>
      <c r="AA481" s="1">
        <v>343817</v>
      </c>
      <c r="AB481" s="1">
        <v>344611</v>
      </c>
      <c r="AC481" s="1">
        <v>346024</v>
      </c>
      <c r="AD481" s="1">
        <v>348139</v>
      </c>
      <c r="AE481" s="1">
        <v>351498</v>
      </c>
      <c r="AF481" s="1">
        <v>354763</v>
      </c>
      <c r="AG481" s="1">
        <v>357715</v>
      </c>
      <c r="AH481" s="1">
        <v>360531</v>
      </c>
      <c r="AI481" s="1">
        <v>363277</v>
      </c>
      <c r="AJ481" s="1">
        <v>366139</v>
      </c>
      <c r="AK481" s="1">
        <v>368898</v>
      </c>
      <c r="AL481" s="1">
        <v>371106</v>
      </c>
      <c r="AM481" s="1">
        <v>372767</v>
      </c>
      <c r="AO481" s="7">
        <f t="shared" si="594"/>
        <v>-2334305</v>
      </c>
      <c r="AP481" s="8">
        <f t="shared" si="595"/>
        <v>-2.5991110932168771E-2</v>
      </c>
      <c r="AQ481" s="12">
        <f t="shared" si="596"/>
        <v>-87133545</v>
      </c>
      <c r="AR481" s="13">
        <f t="shared" si="597"/>
        <v>-0.99606964599595493</v>
      </c>
      <c r="AS481" s="17">
        <f t="shared" si="598"/>
        <v>28950</v>
      </c>
      <c r="AT481" s="18">
        <f t="shared" si="599"/>
        <v>8.4201770127713349E-2</v>
      </c>
    </row>
    <row r="482" spans="1:46" ht="14.25" hidden="1" customHeight="1">
      <c r="A482" t="s">
        <v>386</v>
      </c>
      <c r="B482">
        <v>820430</v>
      </c>
      <c r="C482">
        <v>4411124</v>
      </c>
      <c r="D482" s="1">
        <v>4162824</v>
      </c>
      <c r="E482" s="1">
        <v>4148122</v>
      </c>
      <c r="F482" s="1">
        <v>3855326</v>
      </c>
      <c r="G482" s="1">
        <v>3654971</v>
      </c>
      <c r="H482" s="1">
        <v>3533939</v>
      </c>
      <c r="I482" s="1">
        <v>3479465</v>
      </c>
      <c r="J482" s="1">
        <v>3479251</v>
      </c>
      <c r="K482" s="1">
        <v>3247016</v>
      </c>
      <c r="L482" s="1">
        <v>3007412</v>
      </c>
      <c r="M482" s="1">
        <v>2917870</v>
      </c>
      <c r="N482" s="1">
        <v>2856479</v>
      </c>
      <c r="O482" s="1">
        <v>2821379</v>
      </c>
      <c r="P482" s="1">
        <v>2513358</v>
      </c>
      <c r="Q482" s="1">
        <v>2492563</v>
      </c>
      <c r="R482" s="1">
        <v>2319498</v>
      </c>
      <c r="S482" s="1">
        <v>2074008</v>
      </c>
      <c r="T482" s="1">
        <v>2074917</v>
      </c>
      <c r="U482" s="1">
        <v>2077788</v>
      </c>
      <c r="V482" s="1">
        <v>1961732</v>
      </c>
      <c r="W482" s="1">
        <v>1915141</v>
      </c>
      <c r="X482" s="1">
        <v>1932211</v>
      </c>
      <c r="Y482" s="1">
        <v>1947607</v>
      </c>
      <c r="Z482" s="1">
        <v>2029496</v>
      </c>
      <c r="AA482" s="1">
        <v>2103326</v>
      </c>
      <c r="AB482" s="1">
        <v>2108187</v>
      </c>
      <c r="AC482" s="1">
        <v>2116831</v>
      </c>
      <c r="AD482" s="1">
        <v>2129765</v>
      </c>
      <c r="AE482" s="1">
        <v>2150317</v>
      </c>
      <c r="AF482" s="1">
        <v>2170291</v>
      </c>
      <c r="AG482" s="1">
        <v>2188351</v>
      </c>
      <c r="AH482" s="1">
        <v>2205574</v>
      </c>
      <c r="AI482" s="1">
        <v>2222376</v>
      </c>
      <c r="AJ482" s="1">
        <v>2239885</v>
      </c>
      <c r="AK482" s="1">
        <v>2256763</v>
      </c>
      <c r="AL482" s="1">
        <v>2270268</v>
      </c>
      <c r="AM482" s="1">
        <v>2280433</v>
      </c>
      <c r="AO482" s="7">
        <f t="shared" si="594"/>
        <v>-1589745</v>
      </c>
      <c r="AP482" s="8">
        <f t="shared" si="595"/>
        <v>-0.36039453889756901</v>
      </c>
      <c r="AQ482" s="12">
        <f t="shared" si="596"/>
        <v>-718053</v>
      </c>
      <c r="AR482" s="13">
        <f t="shared" si="597"/>
        <v>-0.25450426901171375</v>
      </c>
      <c r="AS482" s="17">
        <f t="shared" si="598"/>
        <v>177107</v>
      </c>
      <c r="AT482" s="18">
        <f t="shared" si="599"/>
        <v>8.4203304670792845E-2</v>
      </c>
    </row>
    <row r="483" spans="1:46" ht="14.25" hidden="1" customHeight="1">
      <c r="A483" t="s">
        <v>387</v>
      </c>
      <c r="B483">
        <v>820434</v>
      </c>
      <c r="C483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O483" s="7">
        <f t="shared" si="594"/>
        <v>0</v>
      </c>
      <c r="AP483" s="8" t="e">
        <f t="shared" si="595"/>
        <v>#DIV/0!</v>
      </c>
      <c r="AQ483" s="12">
        <f t="shared" si="596"/>
        <v>0</v>
      </c>
      <c r="AR483" s="13" t="e">
        <f t="shared" si="597"/>
        <v>#DIV/0!</v>
      </c>
      <c r="AS483" s="17">
        <f t="shared" si="598"/>
        <v>0</v>
      </c>
      <c r="AT483" s="18" t="e">
        <f t="shared" si="599"/>
        <v>#DIV/0!</v>
      </c>
    </row>
    <row r="484" spans="1:46" ht="14.25" hidden="1" customHeight="1">
      <c r="A484" t="s">
        <v>388</v>
      </c>
      <c r="B484">
        <v>820435</v>
      </c>
      <c r="C484">
        <v>1082647</v>
      </c>
      <c r="D484" s="1">
        <v>1035127</v>
      </c>
      <c r="E484" s="1">
        <v>993947</v>
      </c>
      <c r="F484" s="1">
        <v>932967</v>
      </c>
      <c r="G484" s="1">
        <v>894283</v>
      </c>
      <c r="H484" s="1">
        <v>871915</v>
      </c>
      <c r="I484" s="1">
        <v>765473</v>
      </c>
      <c r="J484" s="1">
        <v>766127</v>
      </c>
      <c r="K484" s="1">
        <v>761716</v>
      </c>
      <c r="L484" s="1">
        <v>598312</v>
      </c>
      <c r="M484" s="1">
        <v>543872</v>
      </c>
      <c r="N484" s="1">
        <v>544409</v>
      </c>
      <c r="O484" s="1">
        <v>542915</v>
      </c>
      <c r="P484" s="1">
        <v>416670</v>
      </c>
      <c r="Q484" s="1">
        <v>412023</v>
      </c>
      <c r="R484" s="1">
        <v>396812</v>
      </c>
      <c r="S484" s="1">
        <v>408266</v>
      </c>
      <c r="T484" s="1">
        <v>408857</v>
      </c>
      <c r="U484" s="1">
        <v>517177</v>
      </c>
      <c r="V484" s="1">
        <v>513949</v>
      </c>
      <c r="W484" s="1">
        <v>526692</v>
      </c>
      <c r="X484" s="1">
        <v>531386</v>
      </c>
      <c r="Y484" s="1">
        <v>535621</v>
      </c>
      <c r="Z484" s="1">
        <v>558141</v>
      </c>
      <c r="AA484" s="1">
        <v>578445</v>
      </c>
      <c r="AB484" s="1">
        <v>579782</v>
      </c>
      <c r="AC484" s="1">
        <v>582160</v>
      </c>
      <c r="AD484" s="1">
        <v>585717</v>
      </c>
      <c r="AE484" s="1">
        <v>591369</v>
      </c>
      <c r="AF484" s="1">
        <v>596862</v>
      </c>
      <c r="AG484" s="1">
        <v>601829</v>
      </c>
      <c r="AH484" s="1">
        <v>606565</v>
      </c>
      <c r="AI484" s="1">
        <v>611186</v>
      </c>
      <c r="AJ484" s="1">
        <v>616001</v>
      </c>
      <c r="AK484" s="1">
        <v>620643</v>
      </c>
      <c r="AL484" s="1">
        <v>624357</v>
      </c>
      <c r="AM484" s="1">
        <v>627152</v>
      </c>
      <c r="AO484" s="7">
        <f t="shared" si="594"/>
        <v>-539732</v>
      </c>
      <c r="AP484" s="8">
        <f t="shared" si="595"/>
        <v>-0.49852999177017066</v>
      </c>
      <c r="AQ484" s="12">
        <f t="shared" si="596"/>
        <v>35530</v>
      </c>
      <c r="AR484" s="13">
        <f t="shared" si="597"/>
        <v>6.5443025151266765E-2</v>
      </c>
      <c r="AS484" s="17">
        <f t="shared" si="598"/>
        <v>48707</v>
      </c>
      <c r="AT484" s="18">
        <f t="shared" si="599"/>
        <v>8.4203338260335991E-2</v>
      </c>
    </row>
    <row r="485" spans="1:46" ht="14.25" hidden="1" customHeight="1">
      <c r="A485" t="s">
        <v>389</v>
      </c>
      <c r="B485">
        <v>820440</v>
      </c>
      <c r="C485">
        <v>8705344</v>
      </c>
      <c r="D485" s="1">
        <v>8233703</v>
      </c>
      <c r="E485" s="1">
        <v>8081097</v>
      </c>
      <c r="F485" s="1">
        <v>7418081</v>
      </c>
      <c r="G485" s="1">
        <v>6496350</v>
      </c>
      <c r="H485" s="1">
        <v>6181639</v>
      </c>
      <c r="I485" s="1">
        <v>5995472</v>
      </c>
      <c r="J485" s="1">
        <v>5975634</v>
      </c>
      <c r="K485" s="1">
        <v>5908203</v>
      </c>
      <c r="L485" s="1">
        <v>5843694</v>
      </c>
      <c r="M485" s="1">
        <v>5784737</v>
      </c>
      <c r="N485" s="1">
        <v>5705632</v>
      </c>
      <c r="O485" s="1">
        <v>5570418</v>
      </c>
      <c r="P485" s="1">
        <v>5573328</v>
      </c>
      <c r="Q485" s="1">
        <v>5172860</v>
      </c>
      <c r="R485" s="1">
        <v>4873200</v>
      </c>
      <c r="S485" s="1">
        <v>4777999</v>
      </c>
      <c r="T485" s="1">
        <v>4685881</v>
      </c>
      <c r="U485" s="1">
        <v>4660386</v>
      </c>
      <c r="V485" s="1">
        <v>4621838</v>
      </c>
      <c r="W485" s="1">
        <v>4646089</v>
      </c>
      <c r="X485" s="1">
        <v>4687501</v>
      </c>
      <c r="Y485" s="1">
        <v>4724852</v>
      </c>
      <c r="Z485" s="1">
        <v>4923512</v>
      </c>
      <c r="AA485" s="1">
        <v>5102621</v>
      </c>
      <c r="AB485" s="1">
        <v>5114414</v>
      </c>
      <c r="AC485" s="1">
        <v>5135385</v>
      </c>
      <c r="AD485" s="1">
        <v>5166762</v>
      </c>
      <c r="AE485" s="1">
        <v>5216621</v>
      </c>
      <c r="AF485" s="1">
        <v>5265078</v>
      </c>
      <c r="AG485" s="1">
        <v>5308890</v>
      </c>
      <c r="AH485" s="1">
        <v>5350673</v>
      </c>
      <c r="AI485" s="1">
        <v>5391434</v>
      </c>
      <c r="AJ485" s="1">
        <v>5433912</v>
      </c>
      <c r="AK485" s="1">
        <v>5474856</v>
      </c>
      <c r="AL485" s="1">
        <v>5507619</v>
      </c>
      <c r="AM485" s="1">
        <v>5532279</v>
      </c>
      <c r="AO485" s="7">
        <f t="shared" si="594"/>
        <v>-3134926</v>
      </c>
      <c r="AP485" s="8">
        <f t="shared" si="595"/>
        <v>-0.36011512009175051</v>
      </c>
      <c r="AQ485" s="12">
        <f t="shared" si="596"/>
        <v>-467797</v>
      </c>
      <c r="AR485" s="13">
        <f t="shared" si="597"/>
        <v>-8.3978796564279423E-2</v>
      </c>
      <c r="AS485" s="17">
        <f t="shared" si="598"/>
        <v>429658</v>
      </c>
      <c r="AT485" s="18">
        <f t="shared" si="599"/>
        <v>8.4203392726992732E-2</v>
      </c>
    </row>
    <row r="486" spans="1:46" ht="14.25" hidden="1" customHeight="1">
      <c r="A486" t="s">
        <v>390</v>
      </c>
      <c r="B486">
        <v>820445</v>
      </c>
      <c r="C486">
        <v>7716258</v>
      </c>
      <c r="D486" s="1">
        <v>7736787</v>
      </c>
      <c r="E486" s="1">
        <v>7598316</v>
      </c>
      <c r="F486" s="1">
        <v>7723764</v>
      </c>
      <c r="G486" s="1">
        <v>7582831</v>
      </c>
      <c r="H486" s="1">
        <v>7475080</v>
      </c>
      <c r="I486" s="1">
        <v>6799232</v>
      </c>
      <c r="J486" s="1">
        <v>6163263</v>
      </c>
      <c r="K486" s="1">
        <v>6240657</v>
      </c>
      <c r="L486" s="1">
        <v>6897924</v>
      </c>
      <c r="M486" s="1">
        <v>6918106</v>
      </c>
      <c r="N486" s="1">
        <v>6877386</v>
      </c>
      <c r="O486" s="1">
        <v>6637681</v>
      </c>
      <c r="P486" s="1">
        <v>6744087</v>
      </c>
      <c r="Q486" s="1">
        <v>7078148</v>
      </c>
      <c r="R486" s="1">
        <v>6755393</v>
      </c>
      <c r="S486" s="1">
        <v>6369664</v>
      </c>
      <c r="T486" s="1">
        <v>6425303</v>
      </c>
      <c r="U486" s="1">
        <v>6487053</v>
      </c>
      <c r="V486" s="1">
        <v>6449036</v>
      </c>
      <c r="W486" s="1">
        <v>6430263</v>
      </c>
      <c r="X486" s="1">
        <v>6487578</v>
      </c>
      <c r="Y486" s="1">
        <v>6539271</v>
      </c>
      <c r="Z486" s="1">
        <v>6814220</v>
      </c>
      <c r="AA486" s="1">
        <v>7062110</v>
      </c>
      <c r="AB486" s="1">
        <v>7078431</v>
      </c>
      <c r="AC486" s="1">
        <v>7107456</v>
      </c>
      <c r="AD486" s="1">
        <v>7150882</v>
      </c>
      <c r="AE486" s="1">
        <v>7219888</v>
      </c>
      <c r="AF486" s="1">
        <v>7286953</v>
      </c>
      <c r="AG486" s="1">
        <v>7347590</v>
      </c>
      <c r="AH486" s="1">
        <v>7405417</v>
      </c>
      <c r="AI486" s="1">
        <v>7461832</v>
      </c>
      <c r="AJ486" s="1">
        <v>7520622</v>
      </c>
      <c r="AK486" s="1">
        <v>7577289</v>
      </c>
      <c r="AL486" s="1">
        <v>7622633</v>
      </c>
      <c r="AM486" s="1">
        <v>7656763</v>
      </c>
      <c r="AO486" s="7">
        <f t="shared" si="594"/>
        <v>-1078577</v>
      </c>
      <c r="AP486" s="8">
        <f t="shared" si="595"/>
        <v>-0.13977980000150336</v>
      </c>
      <c r="AQ486" s="12">
        <f t="shared" si="596"/>
        <v>424429</v>
      </c>
      <c r="AR486" s="13">
        <f t="shared" si="597"/>
        <v>6.3942361797742375E-2</v>
      </c>
      <c r="AS486" s="17">
        <f t="shared" si="598"/>
        <v>594653</v>
      </c>
      <c r="AT486" s="18">
        <f t="shared" si="599"/>
        <v>8.4203304678063695E-2</v>
      </c>
    </row>
    <row r="487" spans="1:46" ht="14.25" hidden="1" customHeight="1">
      <c r="A487" t="s">
        <v>391</v>
      </c>
      <c r="B487">
        <v>820450</v>
      </c>
      <c r="C487">
        <v>5476408</v>
      </c>
      <c r="D487" s="1">
        <v>5186741</v>
      </c>
      <c r="E487" s="1">
        <v>4936536</v>
      </c>
      <c r="F487" s="1">
        <v>4621942</v>
      </c>
      <c r="G487" s="1">
        <v>4631217</v>
      </c>
      <c r="H487" s="1">
        <v>4488708</v>
      </c>
      <c r="I487" s="1">
        <v>4406332</v>
      </c>
      <c r="J487" s="1">
        <v>4744975</v>
      </c>
      <c r="K487" s="1">
        <v>4755923</v>
      </c>
      <c r="L487" s="1">
        <v>4069838</v>
      </c>
      <c r="M487" s="1">
        <v>4081913</v>
      </c>
      <c r="N487" s="1">
        <v>4093895</v>
      </c>
      <c r="O487" s="1">
        <v>4106413</v>
      </c>
      <c r="P487" s="1">
        <v>3893140</v>
      </c>
      <c r="Q487" s="1">
        <v>3904230</v>
      </c>
      <c r="R487" s="1">
        <v>4222824</v>
      </c>
      <c r="S487" s="1">
        <v>5272563</v>
      </c>
      <c r="T487" s="1">
        <v>5300336</v>
      </c>
      <c r="U487" s="1">
        <v>5418366</v>
      </c>
      <c r="V487" s="1">
        <v>4995809</v>
      </c>
      <c r="W487" s="1">
        <v>4893582</v>
      </c>
      <c r="X487" s="1">
        <v>4937200</v>
      </c>
      <c r="Y487" s="1">
        <v>4976540</v>
      </c>
      <c r="Z487" s="1">
        <v>5185783</v>
      </c>
      <c r="AA487" s="1">
        <v>5374434</v>
      </c>
      <c r="AB487" s="1">
        <v>5386854</v>
      </c>
      <c r="AC487" s="1">
        <v>5408943</v>
      </c>
      <c r="AD487" s="1">
        <v>5441991</v>
      </c>
      <c r="AE487" s="1">
        <v>5494506</v>
      </c>
      <c r="AF487" s="1">
        <v>5545544</v>
      </c>
      <c r="AG487" s="1">
        <v>5591690</v>
      </c>
      <c r="AH487" s="1">
        <v>5635698</v>
      </c>
      <c r="AI487" s="1">
        <v>5678631</v>
      </c>
      <c r="AJ487" s="1">
        <v>5723371</v>
      </c>
      <c r="AK487" s="1">
        <v>5766497</v>
      </c>
      <c r="AL487" s="1">
        <v>5801005</v>
      </c>
      <c r="AM487" s="1">
        <v>5826978</v>
      </c>
      <c r="AO487" s="7">
        <f t="shared" si="594"/>
        <v>-1369995</v>
      </c>
      <c r="AP487" s="8">
        <f t="shared" si="595"/>
        <v>-0.25016306308806791</v>
      </c>
      <c r="AQ487" s="12">
        <f t="shared" si="596"/>
        <v>1268021</v>
      </c>
      <c r="AR487" s="13">
        <f t="shared" si="597"/>
        <v>0.30879042122650602</v>
      </c>
      <c r="AS487" s="17">
        <f t="shared" si="598"/>
        <v>452544</v>
      </c>
      <c r="AT487" s="18">
        <f t="shared" si="599"/>
        <v>8.420309934032133E-2</v>
      </c>
    </row>
    <row r="488" spans="1:46" ht="14.25" hidden="1" customHeight="1">
      <c r="A488" t="s">
        <v>392</v>
      </c>
      <c r="B488">
        <v>820451</v>
      </c>
      <c r="C488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O488" s="7">
        <f t="shared" si="594"/>
        <v>0</v>
      </c>
      <c r="AP488" s="8" t="e">
        <f t="shared" si="595"/>
        <v>#DIV/0!</v>
      </c>
      <c r="AQ488" s="12">
        <f t="shared" si="596"/>
        <v>0</v>
      </c>
      <c r="AR488" s="13" t="e">
        <f t="shared" si="597"/>
        <v>#DIV/0!</v>
      </c>
      <c r="AS488" s="17">
        <f t="shared" si="598"/>
        <v>0</v>
      </c>
      <c r="AT488" s="18" t="e">
        <f t="shared" si="599"/>
        <v>#DIV/0!</v>
      </c>
    </row>
    <row r="489" spans="1:46" ht="14.25" hidden="1" customHeight="1">
      <c r="A489" t="s">
        <v>393</v>
      </c>
      <c r="B489">
        <v>820455</v>
      </c>
      <c r="C489">
        <v>1738391</v>
      </c>
      <c r="D489" s="1">
        <v>1796338</v>
      </c>
      <c r="E489" s="1">
        <v>1936028</v>
      </c>
      <c r="F489" s="1">
        <v>2147817</v>
      </c>
      <c r="G489" s="1">
        <v>2239193</v>
      </c>
      <c r="H489" s="1">
        <v>2299897</v>
      </c>
      <c r="I489" s="1">
        <v>2371288</v>
      </c>
      <c r="J489" s="1">
        <v>2459230</v>
      </c>
      <c r="K489" s="1">
        <v>2646932</v>
      </c>
      <c r="L489" s="1">
        <v>2878368</v>
      </c>
      <c r="M489" s="1">
        <v>2935924</v>
      </c>
      <c r="N489" s="1">
        <v>2987153</v>
      </c>
      <c r="O489" s="1">
        <v>3057775</v>
      </c>
      <c r="P489" s="1">
        <v>3187091</v>
      </c>
      <c r="Q489" s="1">
        <v>3211128</v>
      </c>
      <c r="R489" s="1">
        <v>3115338</v>
      </c>
      <c r="S489" s="1">
        <v>3079959</v>
      </c>
      <c r="T489" s="1">
        <v>3142973</v>
      </c>
      <c r="U489" s="1">
        <v>3245514</v>
      </c>
      <c r="V489" s="1">
        <v>3256666</v>
      </c>
      <c r="W489" s="1">
        <v>3279552</v>
      </c>
      <c r="X489" s="1">
        <v>3308784</v>
      </c>
      <c r="Y489" s="1">
        <v>3335149</v>
      </c>
      <c r="Z489" s="1">
        <v>3475377</v>
      </c>
      <c r="AA489" s="1">
        <v>3601806</v>
      </c>
      <c r="AB489" s="1">
        <v>3610130</v>
      </c>
      <c r="AC489" s="1">
        <v>3624933</v>
      </c>
      <c r="AD489" s="1">
        <v>3647082</v>
      </c>
      <c r="AE489" s="1">
        <v>3682276</v>
      </c>
      <c r="AF489" s="1">
        <v>3716480</v>
      </c>
      <c r="AG489" s="1">
        <v>3747406</v>
      </c>
      <c r="AH489" s="1">
        <v>3776899</v>
      </c>
      <c r="AI489" s="1">
        <v>3805671</v>
      </c>
      <c r="AJ489" s="1">
        <v>3835655</v>
      </c>
      <c r="AK489" s="1">
        <v>3864557</v>
      </c>
      <c r="AL489" s="1">
        <v>3887683</v>
      </c>
      <c r="AM489" s="1">
        <v>3905090</v>
      </c>
      <c r="AO489" s="7">
        <f t="shared" si="594"/>
        <v>1319384</v>
      </c>
      <c r="AP489" s="8">
        <f t="shared" si="595"/>
        <v>0.75896849442961911</v>
      </c>
      <c r="AQ489" s="12">
        <f t="shared" si="596"/>
        <v>544031</v>
      </c>
      <c r="AR489" s="13">
        <f t="shared" si="597"/>
        <v>0.17791727645101418</v>
      </c>
      <c r="AS489" s="17">
        <f t="shared" si="598"/>
        <v>303284</v>
      </c>
      <c r="AT489" s="18">
        <f t="shared" si="599"/>
        <v>8.4203313559919613E-2</v>
      </c>
    </row>
    <row r="490" spans="1:46" ht="14.25" hidden="1" customHeight="1">
      <c r="A490" t="s">
        <v>394</v>
      </c>
      <c r="B490">
        <v>820460</v>
      </c>
      <c r="C490">
        <v>3569370</v>
      </c>
      <c r="D490" s="1">
        <v>3625753</v>
      </c>
      <c r="E490" s="1">
        <v>3598769</v>
      </c>
      <c r="F490" s="1">
        <v>3441783</v>
      </c>
      <c r="G490" s="1">
        <v>3350784</v>
      </c>
      <c r="H490" s="1">
        <v>3349831</v>
      </c>
      <c r="I490" s="1">
        <v>3323205</v>
      </c>
      <c r="J490" s="1">
        <v>3347831</v>
      </c>
      <c r="K490" s="1">
        <v>3359563</v>
      </c>
      <c r="L490" s="1">
        <v>3400279</v>
      </c>
      <c r="M490" s="1">
        <v>3461207</v>
      </c>
      <c r="N490" s="1">
        <v>3512746</v>
      </c>
      <c r="O490" s="1">
        <v>3597256</v>
      </c>
      <c r="P490" s="1">
        <v>3791094</v>
      </c>
      <c r="Q490" s="1">
        <v>3811178</v>
      </c>
      <c r="R490" s="1">
        <v>3961677</v>
      </c>
      <c r="S490" s="1">
        <v>4157880</v>
      </c>
      <c r="T490" s="1">
        <v>4277908</v>
      </c>
      <c r="U490" s="1">
        <v>4193143</v>
      </c>
      <c r="V490" s="1">
        <v>4151795</v>
      </c>
      <c r="W490" s="1">
        <v>4130169</v>
      </c>
      <c r="X490" s="1">
        <v>4166983</v>
      </c>
      <c r="Y490" s="1">
        <v>4200185</v>
      </c>
      <c r="Z490" s="1">
        <v>4376785</v>
      </c>
      <c r="AA490" s="1">
        <v>4536006</v>
      </c>
      <c r="AB490" s="1">
        <v>4546489</v>
      </c>
      <c r="AC490" s="1">
        <v>4565132</v>
      </c>
      <c r="AD490" s="1">
        <v>4593024</v>
      </c>
      <c r="AE490" s="1">
        <v>4637347</v>
      </c>
      <c r="AF490" s="1">
        <v>4680423</v>
      </c>
      <c r="AG490" s="1">
        <v>4719370</v>
      </c>
      <c r="AH490" s="1">
        <v>4756513</v>
      </c>
      <c r="AI490" s="1">
        <v>4792748</v>
      </c>
      <c r="AJ490" s="1">
        <v>4830509</v>
      </c>
      <c r="AK490" s="1">
        <v>4866906</v>
      </c>
      <c r="AL490" s="1">
        <v>4896031</v>
      </c>
      <c r="AM490" s="1">
        <v>4917953</v>
      </c>
      <c r="AO490" s="7">
        <f t="shared" si="594"/>
        <v>27886</v>
      </c>
      <c r="AP490" s="8">
        <f t="shared" si="595"/>
        <v>7.8125831729409789E-3</v>
      </c>
      <c r="AQ490" s="12">
        <f t="shared" si="596"/>
        <v>938750</v>
      </c>
      <c r="AR490" s="13">
        <f t="shared" si="597"/>
        <v>0.26096280053462984</v>
      </c>
      <c r="AS490" s="17">
        <f t="shared" si="598"/>
        <v>381947</v>
      </c>
      <c r="AT490" s="18">
        <f t="shared" si="599"/>
        <v>8.4203371865028354E-2</v>
      </c>
    </row>
    <row r="491" spans="1:46" ht="14.25" hidden="1" customHeight="1">
      <c r="A491" t="s">
        <v>395</v>
      </c>
      <c r="B491">
        <v>820465</v>
      </c>
      <c r="C491">
        <v>677090</v>
      </c>
      <c r="D491" s="1">
        <v>675771</v>
      </c>
      <c r="E491" s="1">
        <v>697972</v>
      </c>
      <c r="F491" s="1">
        <v>678702</v>
      </c>
      <c r="G491" s="1">
        <v>540178</v>
      </c>
      <c r="H491" s="1">
        <v>482636</v>
      </c>
      <c r="I491" s="1">
        <v>478172</v>
      </c>
      <c r="J491" s="1">
        <v>479329</v>
      </c>
      <c r="K491" s="1">
        <v>292500</v>
      </c>
      <c r="L491" s="1">
        <v>293212</v>
      </c>
      <c r="M491" s="1">
        <v>265123</v>
      </c>
      <c r="N491" s="1">
        <v>225275</v>
      </c>
      <c r="O491" s="1">
        <v>224287</v>
      </c>
      <c r="P491" s="1">
        <v>224851</v>
      </c>
      <c r="Q491" s="1">
        <v>225361</v>
      </c>
      <c r="R491" s="1">
        <v>226928</v>
      </c>
      <c r="S491" s="1">
        <v>722362</v>
      </c>
      <c r="T491" s="1">
        <v>726888</v>
      </c>
      <c r="U491" s="1">
        <v>795034</v>
      </c>
      <c r="V491" s="1">
        <v>1096976</v>
      </c>
      <c r="W491" s="1">
        <v>1119221</v>
      </c>
      <c r="X491" s="1">
        <v>1129197</v>
      </c>
      <c r="Y491" s="1">
        <v>1138194</v>
      </c>
      <c r="Z491" s="1">
        <v>1186050</v>
      </c>
      <c r="AA491" s="1">
        <v>1229197</v>
      </c>
      <c r="AB491" s="1">
        <v>1232038</v>
      </c>
      <c r="AC491" s="1">
        <v>1237090</v>
      </c>
      <c r="AD491" s="1">
        <v>1244648</v>
      </c>
      <c r="AE491" s="1">
        <v>1256659</v>
      </c>
      <c r="AF491" s="1">
        <v>1268332</v>
      </c>
      <c r="AG491" s="1">
        <v>1278886</v>
      </c>
      <c r="AH491" s="1">
        <v>1288951</v>
      </c>
      <c r="AI491" s="1">
        <v>1298771</v>
      </c>
      <c r="AJ491" s="1">
        <v>1309003</v>
      </c>
      <c r="AK491" s="1">
        <v>1318867</v>
      </c>
      <c r="AL491" s="1">
        <v>1326759</v>
      </c>
      <c r="AM491" s="1">
        <v>1332700</v>
      </c>
      <c r="AO491" s="7">
        <f t="shared" si="594"/>
        <v>-452803</v>
      </c>
      <c r="AP491" s="8">
        <f t="shared" si="595"/>
        <v>-0.66874861539824837</v>
      </c>
      <c r="AQ491" s="12">
        <f t="shared" si="596"/>
        <v>1004910</v>
      </c>
      <c r="AR491" s="13">
        <f t="shared" si="597"/>
        <v>4.4804647616669717</v>
      </c>
      <c r="AS491" s="17">
        <f t="shared" si="598"/>
        <v>103503</v>
      </c>
      <c r="AT491" s="18">
        <f t="shared" si="599"/>
        <v>8.4203752531123888E-2</v>
      </c>
    </row>
    <row r="492" spans="1:46" ht="14.25" hidden="1" customHeight="1">
      <c r="A492" t="s">
        <v>396</v>
      </c>
      <c r="B492">
        <v>820470</v>
      </c>
      <c r="C492">
        <v>715807</v>
      </c>
      <c r="D492" s="1">
        <v>712873</v>
      </c>
      <c r="E492" s="1">
        <v>713663</v>
      </c>
      <c r="F492" s="1">
        <v>713515</v>
      </c>
      <c r="G492" s="1">
        <v>668622</v>
      </c>
      <c r="H492" s="1">
        <v>674478</v>
      </c>
      <c r="I492" s="1">
        <v>675312</v>
      </c>
      <c r="J492" s="1">
        <v>676193</v>
      </c>
      <c r="K492" s="1">
        <v>677172</v>
      </c>
      <c r="L492" s="1">
        <v>676904</v>
      </c>
      <c r="M492" s="1">
        <v>677887</v>
      </c>
      <c r="N492" s="1">
        <v>678843</v>
      </c>
      <c r="O492" s="1">
        <v>678819</v>
      </c>
      <c r="P492" s="1">
        <v>792579</v>
      </c>
      <c r="Q492" s="1">
        <v>793712</v>
      </c>
      <c r="R492" s="1">
        <v>800759</v>
      </c>
      <c r="S492" s="1">
        <v>795897</v>
      </c>
      <c r="T492" s="1">
        <v>782031</v>
      </c>
      <c r="U492" s="1">
        <v>759094</v>
      </c>
      <c r="V492" s="1">
        <v>760499</v>
      </c>
      <c r="W492" s="1">
        <v>686952</v>
      </c>
      <c r="X492" s="1">
        <v>693075</v>
      </c>
      <c r="Y492" s="1">
        <v>698597</v>
      </c>
      <c r="Z492" s="1">
        <v>727970</v>
      </c>
      <c r="AA492" s="1">
        <v>754453</v>
      </c>
      <c r="AB492" s="1">
        <v>756196</v>
      </c>
      <c r="AC492" s="1">
        <v>759297</v>
      </c>
      <c r="AD492" s="1">
        <v>763936</v>
      </c>
      <c r="AE492" s="1">
        <v>771308</v>
      </c>
      <c r="AF492" s="1">
        <v>778473</v>
      </c>
      <c r="AG492" s="1">
        <v>784951</v>
      </c>
      <c r="AH492" s="1">
        <v>791129</v>
      </c>
      <c r="AI492" s="1">
        <v>797155</v>
      </c>
      <c r="AJ492" s="1">
        <v>803436</v>
      </c>
      <c r="AK492" s="1">
        <v>809490</v>
      </c>
      <c r="AL492" s="1">
        <v>814334</v>
      </c>
      <c r="AM492" s="1">
        <v>817980</v>
      </c>
      <c r="AO492" s="7">
        <f t="shared" si="594"/>
        <v>-36988</v>
      </c>
      <c r="AP492" s="8">
        <f t="shared" si="595"/>
        <v>-5.1673146532515091E-2</v>
      </c>
      <c r="AQ492" s="12">
        <f t="shared" si="596"/>
        <v>75634</v>
      </c>
      <c r="AR492" s="13">
        <f t="shared" si="597"/>
        <v>0.1114199808785552</v>
      </c>
      <c r="AS492" s="17">
        <f t="shared" si="598"/>
        <v>63527</v>
      </c>
      <c r="AT492" s="18">
        <f t="shared" si="599"/>
        <v>8.4202727008839462E-2</v>
      </c>
    </row>
    <row r="493" spans="1:46" ht="14.25" hidden="1" customHeight="1">
      <c r="A493" t="s">
        <v>397</v>
      </c>
      <c r="B493">
        <v>820475</v>
      </c>
      <c r="C493">
        <v>772266</v>
      </c>
      <c r="D493" s="1">
        <v>773326</v>
      </c>
      <c r="E493" s="1">
        <v>757818</v>
      </c>
      <c r="F493" s="1">
        <v>759123</v>
      </c>
      <c r="G493" s="1">
        <v>753691</v>
      </c>
      <c r="H493" s="1">
        <v>692792</v>
      </c>
      <c r="I493" s="1">
        <v>694029</v>
      </c>
      <c r="J493" s="1">
        <v>695311</v>
      </c>
      <c r="K493" s="1">
        <v>706635</v>
      </c>
      <c r="L493" s="1">
        <v>694626</v>
      </c>
      <c r="M493" s="1">
        <v>695974</v>
      </c>
      <c r="N493" s="1">
        <v>697288</v>
      </c>
      <c r="O493" s="1">
        <v>698650</v>
      </c>
      <c r="P493" s="1">
        <v>698212</v>
      </c>
      <c r="Q493" s="1">
        <v>663096</v>
      </c>
      <c r="R493" s="1">
        <v>664455</v>
      </c>
      <c r="S493" s="1">
        <v>665801</v>
      </c>
      <c r="T493" s="1">
        <v>661767</v>
      </c>
      <c r="U493" s="1">
        <v>663109</v>
      </c>
      <c r="V493" s="1">
        <v>664498</v>
      </c>
      <c r="W493" s="1">
        <v>665890</v>
      </c>
      <c r="X493" s="1">
        <v>671825</v>
      </c>
      <c r="Y493" s="1">
        <v>677178</v>
      </c>
      <c r="Z493" s="1">
        <v>705651</v>
      </c>
      <c r="AA493" s="1">
        <v>731321</v>
      </c>
      <c r="AB493" s="1">
        <v>733012</v>
      </c>
      <c r="AC493" s="1">
        <v>736017</v>
      </c>
      <c r="AD493" s="1">
        <v>740514</v>
      </c>
      <c r="AE493" s="1">
        <v>747660</v>
      </c>
      <c r="AF493" s="1">
        <v>754605</v>
      </c>
      <c r="AG493" s="1">
        <v>760884</v>
      </c>
      <c r="AH493" s="1">
        <v>766873</v>
      </c>
      <c r="AI493" s="1">
        <v>772715</v>
      </c>
      <c r="AJ493" s="1">
        <v>778803</v>
      </c>
      <c r="AK493" s="1">
        <v>784671</v>
      </c>
      <c r="AL493" s="1">
        <v>789367</v>
      </c>
      <c r="AM493" s="1">
        <v>792901</v>
      </c>
      <c r="AO493" s="7">
        <f t="shared" si="594"/>
        <v>-73616</v>
      </c>
      <c r="AP493" s="8">
        <f t="shared" si="595"/>
        <v>-9.5324667925300366E-2</v>
      </c>
      <c r="AQ493" s="12">
        <f t="shared" si="596"/>
        <v>32671</v>
      </c>
      <c r="AR493" s="13">
        <f t="shared" si="597"/>
        <v>4.6763043011522232E-2</v>
      </c>
      <c r="AS493" s="17">
        <f t="shared" si="598"/>
        <v>61580</v>
      </c>
      <c r="AT493" s="18">
        <f t="shared" si="599"/>
        <v>8.4203790127727718E-2</v>
      </c>
    </row>
    <row r="494" spans="1:46" ht="14.25" hidden="1" customHeight="1">
      <c r="A494" t="s">
        <v>398</v>
      </c>
      <c r="B494">
        <v>820480</v>
      </c>
      <c r="C494">
        <v>150818</v>
      </c>
      <c r="D494" s="1">
        <v>150885</v>
      </c>
      <c r="E494" s="1">
        <v>150948</v>
      </c>
      <c r="F494" s="1">
        <v>151016</v>
      </c>
      <c r="G494" s="1">
        <v>151081</v>
      </c>
      <c r="H494" s="1">
        <v>156154</v>
      </c>
      <c r="I494" s="1">
        <v>156230</v>
      </c>
      <c r="J494" s="1">
        <v>156308</v>
      </c>
      <c r="K494" s="1">
        <v>156386</v>
      </c>
      <c r="L494" s="1">
        <v>156461</v>
      </c>
      <c r="M494" s="1">
        <v>156539</v>
      </c>
      <c r="N494" s="1">
        <v>150155</v>
      </c>
      <c r="O494" s="1">
        <v>150219</v>
      </c>
      <c r="P494" s="1">
        <v>150284</v>
      </c>
      <c r="Q494" s="1">
        <v>150343</v>
      </c>
      <c r="R494" s="1">
        <v>150408</v>
      </c>
      <c r="S494" s="1">
        <v>150471</v>
      </c>
      <c r="T494" s="1">
        <v>144913</v>
      </c>
      <c r="U494" s="1">
        <v>37271</v>
      </c>
      <c r="V494" s="1">
        <v>37293</v>
      </c>
      <c r="W494" s="1">
        <v>25427</v>
      </c>
      <c r="X494" s="1">
        <v>25653</v>
      </c>
      <c r="Y494" s="1">
        <v>25858</v>
      </c>
      <c r="Z494" s="1">
        <v>26945</v>
      </c>
      <c r="AA494" s="1">
        <v>27925</v>
      </c>
      <c r="AB494" s="1">
        <v>27990</v>
      </c>
      <c r="AC494" s="1">
        <v>28104</v>
      </c>
      <c r="AD494" s="1">
        <v>28276</v>
      </c>
      <c r="AE494" s="1">
        <v>28549</v>
      </c>
      <c r="AF494" s="1">
        <v>28814</v>
      </c>
      <c r="AG494" s="1">
        <v>29054</v>
      </c>
      <c r="AH494" s="1">
        <v>29283</v>
      </c>
      <c r="AI494" s="1">
        <v>29506</v>
      </c>
      <c r="AJ494" s="1">
        <v>29738</v>
      </c>
      <c r="AK494" s="1">
        <v>29962</v>
      </c>
      <c r="AL494" s="1">
        <v>30142</v>
      </c>
      <c r="AM494" s="1">
        <v>30277</v>
      </c>
      <c r="AO494" s="7">
        <f t="shared" si="594"/>
        <v>-599</v>
      </c>
      <c r="AP494" s="8">
        <f t="shared" si="595"/>
        <v>-3.9716744685647232E-3</v>
      </c>
      <c r="AQ494" s="12">
        <f t="shared" si="596"/>
        <v>-122294</v>
      </c>
      <c r="AR494" s="13">
        <f t="shared" si="597"/>
        <v>-0.81410474041233138</v>
      </c>
      <c r="AS494" s="17">
        <f t="shared" si="598"/>
        <v>2352</v>
      </c>
      <c r="AT494" s="18">
        <f t="shared" si="599"/>
        <v>8.4225604297224699E-2</v>
      </c>
    </row>
    <row r="495" spans="1:46" ht="14.25" hidden="1" customHeight="1">
      <c r="A495" t="s">
        <v>399</v>
      </c>
      <c r="B495">
        <v>820485</v>
      </c>
      <c r="C495">
        <v>1592238</v>
      </c>
      <c r="D495" s="1">
        <v>1594279</v>
      </c>
      <c r="E495" s="1">
        <v>1487390</v>
      </c>
      <c r="F495" s="1">
        <v>1374245</v>
      </c>
      <c r="G495" s="1">
        <v>1144935</v>
      </c>
      <c r="H495" s="1">
        <v>1151295</v>
      </c>
      <c r="I495" s="1">
        <v>1148428</v>
      </c>
      <c r="J495" s="1">
        <v>1149788</v>
      </c>
      <c r="K495" s="1">
        <v>1151150</v>
      </c>
      <c r="L495" s="1">
        <v>1151838</v>
      </c>
      <c r="M495" s="1">
        <v>1119154</v>
      </c>
      <c r="N495" s="1">
        <v>1120425</v>
      </c>
      <c r="O495" s="1">
        <v>1118185</v>
      </c>
      <c r="P495" s="1">
        <v>1117568</v>
      </c>
      <c r="Q495" s="1">
        <v>1118185</v>
      </c>
      <c r="R495" s="1">
        <v>1119502</v>
      </c>
      <c r="S495" s="1">
        <v>1120777</v>
      </c>
      <c r="T495" s="1">
        <v>1111586</v>
      </c>
      <c r="U495" s="1">
        <v>1112851</v>
      </c>
      <c r="V495" s="1">
        <v>1109260</v>
      </c>
      <c r="W495" s="1">
        <v>865862</v>
      </c>
      <c r="X495" s="1">
        <v>873579</v>
      </c>
      <c r="Y495" s="1">
        <v>880540</v>
      </c>
      <c r="Z495" s="1">
        <v>917563</v>
      </c>
      <c r="AA495" s="1">
        <v>950943</v>
      </c>
      <c r="AB495" s="1">
        <v>953140</v>
      </c>
      <c r="AC495" s="1">
        <v>957049</v>
      </c>
      <c r="AD495" s="1">
        <v>962896</v>
      </c>
      <c r="AE495" s="1">
        <v>972188</v>
      </c>
      <c r="AF495" s="1">
        <v>981219</v>
      </c>
      <c r="AG495" s="1">
        <v>989384</v>
      </c>
      <c r="AH495" s="1">
        <v>997170</v>
      </c>
      <c r="AI495" s="1">
        <v>1004767</v>
      </c>
      <c r="AJ495" s="1">
        <v>1012683</v>
      </c>
      <c r="AK495" s="1">
        <v>1020314</v>
      </c>
      <c r="AL495" s="1">
        <v>1026419</v>
      </c>
      <c r="AM495" s="1">
        <v>1031015</v>
      </c>
      <c r="AO495" s="7">
        <f t="shared" si="594"/>
        <v>-474053</v>
      </c>
      <c r="AP495" s="8">
        <f t="shared" si="595"/>
        <v>-0.29772747541510758</v>
      </c>
      <c r="AQ495" s="12">
        <f t="shared" si="596"/>
        <v>-167242</v>
      </c>
      <c r="AR495" s="13">
        <f t="shared" si="597"/>
        <v>-0.14956559066701847</v>
      </c>
      <c r="AS495" s="17">
        <f t="shared" si="598"/>
        <v>80072</v>
      </c>
      <c r="AT495" s="18">
        <f t="shared" si="599"/>
        <v>8.4202733497170668E-2</v>
      </c>
    </row>
    <row r="496" spans="1:46" ht="14.25" hidden="1" customHeight="1">
      <c r="A496" t="s">
        <v>400</v>
      </c>
      <c r="B496">
        <v>820490</v>
      </c>
      <c r="C496">
        <v>2383343</v>
      </c>
      <c r="D496" s="1">
        <v>2353641</v>
      </c>
      <c r="E496" s="1">
        <v>2221725</v>
      </c>
      <c r="F496" s="1">
        <v>2119672</v>
      </c>
      <c r="G496" s="1">
        <v>2148639</v>
      </c>
      <c r="H496" s="1">
        <v>2116429</v>
      </c>
      <c r="I496" s="1">
        <v>2130022</v>
      </c>
      <c r="J496" s="1">
        <v>2103250</v>
      </c>
      <c r="K496" s="1">
        <v>2196676</v>
      </c>
      <c r="L496" s="1">
        <v>2189281</v>
      </c>
      <c r="M496" s="1">
        <v>2232804</v>
      </c>
      <c r="N496" s="1">
        <v>2252493</v>
      </c>
      <c r="O496" s="1">
        <v>2287255</v>
      </c>
      <c r="P496" s="1">
        <v>2241482</v>
      </c>
      <c r="Q496" s="1">
        <v>2321564</v>
      </c>
      <c r="R496" s="1">
        <v>2437449</v>
      </c>
      <c r="S496" s="1">
        <v>2495588</v>
      </c>
      <c r="T496" s="1">
        <v>2449811</v>
      </c>
      <c r="U496" s="1">
        <v>2430609</v>
      </c>
      <c r="V496" s="1">
        <v>2067575</v>
      </c>
      <c r="W496" s="1">
        <v>1819223</v>
      </c>
      <c r="X496" s="1">
        <v>1835438</v>
      </c>
      <c r="Y496" s="1">
        <v>1850063</v>
      </c>
      <c r="Z496" s="1">
        <v>1927850</v>
      </c>
      <c r="AA496" s="1">
        <v>1997982</v>
      </c>
      <c r="AB496" s="1">
        <v>2002600</v>
      </c>
      <c r="AC496" s="1">
        <v>2010811</v>
      </c>
      <c r="AD496" s="1">
        <v>2023097</v>
      </c>
      <c r="AE496" s="1">
        <v>2042620</v>
      </c>
      <c r="AF496" s="1">
        <v>2061594</v>
      </c>
      <c r="AG496" s="1">
        <v>2078749</v>
      </c>
      <c r="AH496" s="1">
        <v>2095109</v>
      </c>
      <c r="AI496" s="1">
        <v>2111070</v>
      </c>
      <c r="AJ496" s="1">
        <v>2127702</v>
      </c>
      <c r="AK496" s="1">
        <v>2143734</v>
      </c>
      <c r="AL496" s="1">
        <v>2156563</v>
      </c>
      <c r="AM496" s="1">
        <v>2166219</v>
      </c>
      <c r="AO496" s="7">
        <f t="shared" si="594"/>
        <v>-96088</v>
      </c>
      <c r="AP496" s="8">
        <f t="shared" si="595"/>
        <v>-4.0316479835256658E-2</v>
      </c>
      <c r="AQ496" s="12">
        <f t="shared" si="596"/>
        <v>-289273</v>
      </c>
      <c r="AR496" s="13">
        <f t="shared" si="597"/>
        <v>-0.12647168767802452</v>
      </c>
      <c r="AS496" s="17">
        <f t="shared" si="598"/>
        <v>168237</v>
      </c>
      <c r="AT496" s="18">
        <f t="shared" si="599"/>
        <v>8.4203461292444048E-2</v>
      </c>
    </row>
    <row r="497" spans="1:46" ht="14.25" hidden="1" customHeight="1">
      <c r="A497" t="s">
        <v>401</v>
      </c>
      <c r="B497">
        <v>820495</v>
      </c>
      <c r="C497">
        <v>1789866</v>
      </c>
      <c r="D497" s="1">
        <v>1716557</v>
      </c>
      <c r="E497" s="1">
        <v>1686610</v>
      </c>
      <c r="F497" s="1">
        <v>1711271</v>
      </c>
      <c r="G497" s="1">
        <v>1705537</v>
      </c>
      <c r="H497" s="1">
        <v>1699221</v>
      </c>
      <c r="I497" s="1">
        <v>1765579</v>
      </c>
      <c r="J497" s="1">
        <v>1754276</v>
      </c>
      <c r="K497" s="1">
        <v>1775075</v>
      </c>
      <c r="L497" s="1">
        <v>1777415</v>
      </c>
      <c r="M497" s="1">
        <v>1698619</v>
      </c>
      <c r="N497" s="1">
        <v>1571759</v>
      </c>
      <c r="O497" s="1">
        <v>1460050</v>
      </c>
      <c r="P497" s="1">
        <v>1564870</v>
      </c>
      <c r="Q497" s="1">
        <v>1561341</v>
      </c>
      <c r="R497" s="1">
        <v>1464703</v>
      </c>
      <c r="S497" s="1">
        <v>1479703</v>
      </c>
      <c r="T497" s="1">
        <v>1485359</v>
      </c>
      <c r="U497" s="1">
        <v>1499270</v>
      </c>
      <c r="V497" s="1">
        <v>1516507</v>
      </c>
      <c r="W497" s="1">
        <v>1531443</v>
      </c>
      <c r="X497" s="1">
        <v>1545094</v>
      </c>
      <c r="Y497" s="1">
        <v>1557405</v>
      </c>
      <c r="Z497" s="1">
        <v>1622887</v>
      </c>
      <c r="AA497" s="1">
        <v>1681925</v>
      </c>
      <c r="AB497" s="1">
        <v>1685812</v>
      </c>
      <c r="AC497" s="1">
        <v>1692725</v>
      </c>
      <c r="AD497" s="1">
        <v>1703068</v>
      </c>
      <c r="AE497" s="1">
        <v>1719502</v>
      </c>
      <c r="AF497" s="1">
        <v>1735474</v>
      </c>
      <c r="AG497" s="1">
        <v>1749916</v>
      </c>
      <c r="AH497" s="1">
        <v>1763688</v>
      </c>
      <c r="AI497" s="1">
        <v>1777124</v>
      </c>
      <c r="AJ497" s="1">
        <v>1791125</v>
      </c>
      <c r="AK497" s="1">
        <v>1804621</v>
      </c>
      <c r="AL497" s="1">
        <v>1815421</v>
      </c>
      <c r="AM497" s="1">
        <v>1823549</v>
      </c>
      <c r="AO497" s="7">
        <f t="shared" si="594"/>
        <v>-329816</v>
      </c>
      <c r="AP497" s="8">
        <f t="shared" si="595"/>
        <v>-0.18426854300824758</v>
      </c>
      <c r="AQ497" s="12">
        <f t="shared" si="596"/>
        <v>221875</v>
      </c>
      <c r="AR497" s="13">
        <f t="shared" si="597"/>
        <v>0.15196397383651239</v>
      </c>
      <c r="AS497" s="17">
        <f t="shared" si="598"/>
        <v>141624</v>
      </c>
      <c r="AT497" s="18">
        <f t="shared" si="599"/>
        <v>8.4203516803662559E-2</v>
      </c>
    </row>
    <row r="498" spans="1:46" ht="14.25" hidden="1" customHeight="1">
      <c r="A498" t="s">
        <v>402</v>
      </c>
      <c r="B498">
        <v>820501</v>
      </c>
      <c r="C498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O498" s="7">
        <f t="shared" si="594"/>
        <v>0</v>
      </c>
      <c r="AP498" s="8" t="e">
        <f t="shared" si="595"/>
        <v>#DIV/0!</v>
      </c>
      <c r="AQ498" s="12">
        <f t="shared" si="596"/>
        <v>0</v>
      </c>
      <c r="AR498" s="13" t="e">
        <f t="shared" si="597"/>
        <v>#DIV/0!</v>
      </c>
      <c r="AS498" s="17">
        <f t="shared" si="598"/>
        <v>0</v>
      </c>
      <c r="AT498" s="18" t="e">
        <f t="shared" si="599"/>
        <v>#DIV/0!</v>
      </c>
    </row>
    <row r="499" spans="1:46" ht="14.25" hidden="1" customHeight="1">
      <c r="A499" t="s">
        <v>369</v>
      </c>
      <c r="B499">
        <v>820502</v>
      </c>
      <c r="C499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O499" s="7">
        <f t="shared" si="594"/>
        <v>0</v>
      </c>
      <c r="AP499" s="8" t="e">
        <f t="shared" si="595"/>
        <v>#DIV/0!</v>
      </c>
      <c r="AQ499" s="12">
        <f t="shared" si="596"/>
        <v>0</v>
      </c>
      <c r="AR499" s="13" t="e">
        <f t="shared" si="597"/>
        <v>#DIV/0!</v>
      </c>
      <c r="AS499" s="17">
        <f t="shared" si="598"/>
        <v>0</v>
      </c>
      <c r="AT499" s="18" t="e">
        <f t="shared" si="599"/>
        <v>#DIV/0!</v>
      </c>
    </row>
    <row r="500" spans="1:46" ht="14.25" hidden="1" customHeight="1">
      <c r="A500" t="s">
        <v>375</v>
      </c>
      <c r="B500">
        <v>820503</v>
      </c>
      <c r="C500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O500" s="7">
        <f t="shared" si="594"/>
        <v>0</v>
      </c>
      <c r="AP500" s="8" t="e">
        <f t="shared" si="595"/>
        <v>#DIV/0!</v>
      </c>
      <c r="AQ500" s="12">
        <f t="shared" si="596"/>
        <v>0</v>
      </c>
      <c r="AR500" s="13" t="e">
        <f t="shared" si="597"/>
        <v>#DIV/0!</v>
      </c>
      <c r="AS500" s="17">
        <f t="shared" si="598"/>
        <v>0</v>
      </c>
      <c r="AT500" s="18" t="e">
        <f t="shared" si="599"/>
        <v>#DIV/0!</v>
      </c>
    </row>
    <row r="501" spans="1:46" ht="14.25" hidden="1" customHeight="1">
      <c r="A501" t="s">
        <v>403</v>
      </c>
      <c r="B501">
        <v>820504</v>
      </c>
      <c r="C50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O501" s="7">
        <f t="shared" si="594"/>
        <v>0</v>
      </c>
      <c r="AP501" s="8" t="e">
        <f t="shared" si="595"/>
        <v>#DIV/0!</v>
      </c>
      <c r="AQ501" s="12">
        <f t="shared" si="596"/>
        <v>0</v>
      </c>
      <c r="AR501" s="13" t="e">
        <f t="shared" si="597"/>
        <v>#DIV/0!</v>
      </c>
      <c r="AS501" s="17">
        <f t="shared" si="598"/>
        <v>0</v>
      </c>
      <c r="AT501" s="18" t="e">
        <f t="shared" si="599"/>
        <v>#DIV/0!</v>
      </c>
    </row>
    <row r="502" spans="1:46" ht="14.25" hidden="1" customHeight="1">
      <c r="A502" t="s">
        <v>404</v>
      </c>
      <c r="B502">
        <v>820505</v>
      </c>
      <c r="C502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O502" s="7">
        <f t="shared" si="594"/>
        <v>0</v>
      </c>
      <c r="AP502" s="8" t="e">
        <f t="shared" si="595"/>
        <v>#DIV/0!</v>
      </c>
      <c r="AQ502" s="12">
        <f t="shared" si="596"/>
        <v>0</v>
      </c>
      <c r="AR502" s="13" t="e">
        <f t="shared" si="597"/>
        <v>#DIV/0!</v>
      </c>
      <c r="AS502" s="17">
        <f t="shared" si="598"/>
        <v>0</v>
      </c>
      <c r="AT502" s="18" t="e">
        <f t="shared" si="599"/>
        <v>#DIV/0!</v>
      </c>
    </row>
    <row r="503" spans="1:46" ht="14.25" hidden="1" customHeight="1">
      <c r="A503" t="s">
        <v>405</v>
      </c>
      <c r="B503">
        <v>820506</v>
      </c>
      <c r="C503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O503" s="7">
        <f t="shared" si="594"/>
        <v>0</v>
      </c>
      <c r="AP503" s="8" t="e">
        <f t="shared" si="595"/>
        <v>#DIV/0!</v>
      </c>
      <c r="AQ503" s="12">
        <f t="shared" si="596"/>
        <v>0</v>
      </c>
      <c r="AR503" s="13" t="e">
        <f t="shared" si="597"/>
        <v>#DIV/0!</v>
      </c>
      <c r="AS503" s="17">
        <f t="shared" si="598"/>
        <v>0</v>
      </c>
      <c r="AT503" s="18" t="e">
        <f t="shared" si="599"/>
        <v>#DIV/0!</v>
      </c>
    </row>
    <row r="504" spans="1:46" ht="14.25" hidden="1" customHeight="1">
      <c r="A504" t="s">
        <v>406</v>
      </c>
      <c r="B504">
        <v>820545</v>
      </c>
      <c r="C504">
        <v>25267</v>
      </c>
      <c r="D504" s="1">
        <v>25330</v>
      </c>
      <c r="E504" s="1">
        <v>25390</v>
      </c>
      <c r="F504" s="1">
        <v>25454</v>
      </c>
      <c r="G504" s="1">
        <v>25515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3506</v>
      </c>
      <c r="N504" s="1">
        <v>3514</v>
      </c>
      <c r="O504" s="1">
        <v>3523</v>
      </c>
      <c r="P504" s="1">
        <v>3532</v>
      </c>
      <c r="Q504" s="1">
        <v>3539</v>
      </c>
      <c r="R504" s="1">
        <v>33610</v>
      </c>
      <c r="S504" s="1">
        <v>30130</v>
      </c>
      <c r="T504" s="1">
        <v>30199</v>
      </c>
      <c r="U504" s="1">
        <v>30267</v>
      </c>
      <c r="V504" s="1">
        <v>30336</v>
      </c>
      <c r="W504" s="1">
        <v>30406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O504" s="7">
        <f t="shared" si="594"/>
        <v>-21744</v>
      </c>
      <c r="AP504" s="8">
        <f t="shared" si="595"/>
        <v>-0.86056912177939604</v>
      </c>
      <c r="AQ504" s="12">
        <f t="shared" si="596"/>
        <v>-3523</v>
      </c>
      <c r="AR504" s="13">
        <f t="shared" si="597"/>
        <v>-1</v>
      </c>
      <c r="AS504" s="17">
        <f t="shared" si="598"/>
        <v>0</v>
      </c>
      <c r="AT504" s="18" t="e">
        <f t="shared" si="599"/>
        <v>#DIV/0!</v>
      </c>
    </row>
    <row r="505" spans="1:46" ht="14.25" hidden="1" customHeight="1">
      <c r="A505" t="s">
        <v>407</v>
      </c>
      <c r="B505">
        <v>820546</v>
      </c>
      <c r="C505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O505" s="7">
        <f t="shared" si="594"/>
        <v>0</v>
      </c>
      <c r="AP505" s="8" t="e">
        <f t="shared" si="595"/>
        <v>#DIV/0!</v>
      </c>
      <c r="AQ505" s="12">
        <f t="shared" si="596"/>
        <v>0</v>
      </c>
      <c r="AR505" s="13" t="e">
        <f t="shared" si="597"/>
        <v>#DIV/0!</v>
      </c>
      <c r="AS505" s="17">
        <f t="shared" si="598"/>
        <v>0</v>
      </c>
      <c r="AT505" s="18" t="e">
        <f t="shared" si="599"/>
        <v>#DIV/0!</v>
      </c>
    </row>
    <row r="506" spans="1:46" ht="14.25" hidden="1" customHeight="1">
      <c r="A506" t="s">
        <v>408</v>
      </c>
      <c r="B506">
        <v>820547</v>
      </c>
      <c r="C506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O506" s="7">
        <f t="shared" si="594"/>
        <v>0</v>
      </c>
      <c r="AP506" s="8" t="e">
        <f t="shared" si="595"/>
        <v>#DIV/0!</v>
      </c>
      <c r="AQ506" s="12">
        <f t="shared" si="596"/>
        <v>0</v>
      </c>
      <c r="AR506" s="13" t="e">
        <f t="shared" si="597"/>
        <v>#DIV/0!</v>
      </c>
      <c r="AS506" s="17">
        <f t="shared" si="598"/>
        <v>0</v>
      </c>
      <c r="AT506" s="18" t="e">
        <f t="shared" si="599"/>
        <v>#DIV/0!</v>
      </c>
    </row>
    <row r="507" spans="1:46" ht="14.25" hidden="1" customHeight="1">
      <c r="A507" t="s">
        <v>409</v>
      </c>
      <c r="B507">
        <v>820550</v>
      </c>
      <c r="C507">
        <v>8685050</v>
      </c>
      <c r="D507" s="1">
        <v>8894254</v>
      </c>
      <c r="E507" s="1">
        <v>9749833</v>
      </c>
      <c r="F507" s="1">
        <v>8940692</v>
      </c>
      <c r="G507" s="1">
        <v>8940050</v>
      </c>
      <c r="H507" s="1">
        <v>8536674</v>
      </c>
      <c r="I507" s="1">
        <v>8465567</v>
      </c>
      <c r="J507" s="1">
        <v>8648415</v>
      </c>
      <c r="K507" s="1">
        <v>7991382</v>
      </c>
      <c r="L507" s="1">
        <v>9078235</v>
      </c>
      <c r="M507" s="1">
        <v>10024747</v>
      </c>
      <c r="N507" s="1">
        <v>10879422</v>
      </c>
      <c r="O507" s="1">
        <v>11602422</v>
      </c>
      <c r="P507" s="1">
        <v>12223647</v>
      </c>
      <c r="Q507" s="1">
        <v>12315018</v>
      </c>
      <c r="R507" s="1">
        <v>12201256</v>
      </c>
      <c r="S507" s="1">
        <v>11377146</v>
      </c>
      <c r="T507" s="1">
        <v>11284854</v>
      </c>
      <c r="U507" s="1">
        <v>10714739</v>
      </c>
      <c r="V507" s="1">
        <v>9833964</v>
      </c>
      <c r="W507" s="1">
        <v>8346894</v>
      </c>
      <c r="X507" s="1">
        <v>8421293</v>
      </c>
      <c r="Y507" s="1">
        <v>8488394</v>
      </c>
      <c r="Z507" s="1">
        <v>8845295</v>
      </c>
      <c r="AA507" s="1">
        <v>9167073</v>
      </c>
      <c r="AB507" s="1">
        <v>9188258</v>
      </c>
      <c r="AC507" s="1">
        <v>9225934</v>
      </c>
      <c r="AD507" s="1">
        <v>9282305</v>
      </c>
      <c r="AE507" s="1">
        <v>9371879</v>
      </c>
      <c r="AF507" s="1">
        <v>9458934</v>
      </c>
      <c r="AG507" s="1">
        <v>9537644</v>
      </c>
      <c r="AH507" s="1">
        <v>9612708</v>
      </c>
      <c r="AI507" s="1">
        <v>9685937</v>
      </c>
      <c r="AJ507" s="1">
        <v>9762250</v>
      </c>
      <c r="AK507" s="1">
        <v>9835808</v>
      </c>
      <c r="AL507" s="1">
        <v>9894667</v>
      </c>
      <c r="AM507" s="1">
        <v>9938971</v>
      </c>
      <c r="AO507" s="7">
        <f t="shared" si="594"/>
        <v>2917372</v>
      </c>
      <c r="AP507" s="8">
        <f t="shared" si="595"/>
        <v>0.3359073350182209</v>
      </c>
      <c r="AQ507" s="12">
        <f t="shared" si="596"/>
        <v>-2435349</v>
      </c>
      <c r="AR507" s="13">
        <f t="shared" si="597"/>
        <v>-0.20990005362673414</v>
      </c>
      <c r="AS507" s="17">
        <f t="shared" si="598"/>
        <v>771898</v>
      </c>
      <c r="AT507" s="18">
        <f t="shared" si="599"/>
        <v>8.4203322041833895E-2</v>
      </c>
    </row>
    <row r="508" spans="1:46" ht="14.25" hidden="1" customHeight="1">
      <c r="A508" t="s">
        <v>410</v>
      </c>
      <c r="B508">
        <v>820551</v>
      </c>
      <c r="C508">
        <v>0</v>
      </c>
      <c r="D508" s="1">
        <v>0</v>
      </c>
      <c r="E508" s="1">
        <v>0</v>
      </c>
      <c r="F508" s="1">
        <v>1349378</v>
      </c>
      <c r="G508" s="1">
        <v>2147405</v>
      </c>
      <c r="H508" s="1">
        <v>2762931</v>
      </c>
      <c r="I508" s="1">
        <v>3985575</v>
      </c>
      <c r="J508" s="1">
        <v>5671506</v>
      </c>
      <c r="K508" s="1">
        <v>5788489</v>
      </c>
      <c r="L508" s="1">
        <v>5811639</v>
      </c>
      <c r="M508" s="1">
        <v>4487383</v>
      </c>
      <c r="N508" s="1">
        <v>3710662</v>
      </c>
      <c r="O508" s="1">
        <v>3102084</v>
      </c>
      <c r="P508" s="1">
        <v>1879542</v>
      </c>
      <c r="Q508" s="1">
        <v>228285</v>
      </c>
      <c r="R508" s="1">
        <v>79158</v>
      </c>
      <c r="S508" s="1">
        <v>720190</v>
      </c>
      <c r="T508" s="1">
        <v>1040047</v>
      </c>
      <c r="U508" s="1">
        <v>1229033</v>
      </c>
      <c r="V508" s="1">
        <v>1232995</v>
      </c>
      <c r="W508" s="1">
        <v>1225912</v>
      </c>
      <c r="X508" s="1">
        <v>1231387</v>
      </c>
      <c r="Y508" s="1">
        <v>1197717</v>
      </c>
      <c r="Z508" s="1">
        <v>567279</v>
      </c>
      <c r="AA508" s="1">
        <v>248836</v>
      </c>
      <c r="AB508" s="1">
        <v>249411</v>
      </c>
      <c r="AC508" s="1">
        <v>250434</v>
      </c>
      <c r="AD508" s="1">
        <v>251964</v>
      </c>
      <c r="AE508" s="1">
        <v>254396</v>
      </c>
      <c r="AF508" s="1">
        <v>256759</v>
      </c>
      <c r="AG508" s="1">
        <v>258895</v>
      </c>
      <c r="AH508" s="1">
        <v>260933</v>
      </c>
      <c r="AI508" s="1">
        <v>262921</v>
      </c>
      <c r="AJ508" s="1">
        <v>264992</v>
      </c>
      <c r="AK508" s="1">
        <v>266989</v>
      </c>
      <c r="AL508" s="1">
        <v>268586</v>
      </c>
      <c r="AM508" s="1">
        <v>269789</v>
      </c>
      <c r="AO508" s="7">
        <f t="shared" si="594"/>
        <v>3102084</v>
      </c>
      <c r="AP508" s="8" t="e">
        <f t="shared" si="595"/>
        <v>#DIV/0!</v>
      </c>
      <c r="AQ508" s="12">
        <f t="shared" si="596"/>
        <v>-2853248</v>
      </c>
      <c r="AR508" s="13">
        <f t="shared" si="597"/>
        <v>-0.91978424826664917</v>
      </c>
      <c r="AS508" s="17">
        <f t="shared" si="598"/>
        <v>20953</v>
      </c>
      <c r="AT508" s="18">
        <f t="shared" si="599"/>
        <v>8.4204054075776913E-2</v>
      </c>
    </row>
    <row r="509" spans="1:46" ht="14.25" hidden="1" customHeight="1">
      <c r="A509" t="s">
        <v>411</v>
      </c>
      <c r="B509">
        <v>820552</v>
      </c>
      <c r="C509">
        <v>184748</v>
      </c>
      <c r="D509" s="1">
        <v>51514</v>
      </c>
      <c r="E509" s="1">
        <v>51685</v>
      </c>
      <c r="F509" s="1">
        <v>98209</v>
      </c>
      <c r="G509" s="1">
        <v>262986</v>
      </c>
      <c r="H509" s="1">
        <v>469917</v>
      </c>
      <c r="I509" s="1">
        <v>471829</v>
      </c>
      <c r="J509" s="1">
        <v>421217</v>
      </c>
      <c r="K509" s="1">
        <v>423022</v>
      </c>
      <c r="L509" s="1">
        <v>424777</v>
      </c>
      <c r="M509" s="1">
        <v>426599</v>
      </c>
      <c r="N509" s="1">
        <v>380424</v>
      </c>
      <c r="O509" s="1">
        <v>212117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O509" s="7">
        <f t="shared" si="594"/>
        <v>27369</v>
      </c>
      <c r="AP509" s="8">
        <f t="shared" si="595"/>
        <v>0.14814233442310609</v>
      </c>
      <c r="AQ509" s="12">
        <f t="shared" si="596"/>
        <v>-212117</v>
      </c>
      <c r="AR509" s="13">
        <f t="shared" si="597"/>
        <v>-1</v>
      </c>
      <c r="AS509" s="17">
        <f t="shared" si="598"/>
        <v>0</v>
      </c>
      <c r="AT509" s="18" t="e">
        <f t="shared" si="599"/>
        <v>#DIV/0!</v>
      </c>
    </row>
    <row r="510" spans="1:46" ht="14.25" hidden="1" customHeight="1">
      <c r="A510" t="s">
        <v>412</v>
      </c>
      <c r="B510">
        <v>820553</v>
      </c>
      <c r="C510">
        <v>4104616</v>
      </c>
      <c r="D510" s="1">
        <v>4122365</v>
      </c>
      <c r="E510" s="1">
        <v>4139039</v>
      </c>
      <c r="F510" s="1">
        <v>4156937</v>
      </c>
      <c r="G510" s="1">
        <v>4174332</v>
      </c>
      <c r="H510" s="1">
        <v>4177164</v>
      </c>
      <c r="I510" s="1">
        <v>4194642</v>
      </c>
      <c r="J510" s="1">
        <v>3178390</v>
      </c>
      <c r="K510" s="1">
        <v>1948038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O510" s="7">
        <f t="shared" si="594"/>
        <v>-4104616</v>
      </c>
      <c r="AP510" s="8">
        <f t="shared" si="595"/>
        <v>-1</v>
      </c>
      <c r="AQ510" s="12">
        <f t="shared" si="596"/>
        <v>0</v>
      </c>
      <c r="AR510" s="13" t="e">
        <f t="shared" si="597"/>
        <v>#DIV/0!</v>
      </c>
      <c r="AS510" s="17">
        <f t="shared" si="598"/>
        <v>0</v>
      </c>
      <c r="AT510" s="18" t="e">
        <f t="shared" si="599"/>
        <v>#DIV/0!</v>
      </c>
    </row>
    <row r="511" spans="1:46" ht="14.25" hidden="1" customHeight="1">
      <c r="A511" t="s">
        <v>413</v>
      </c>
      <c r="B511">
        <v>820554</v>
      </c>
      <c r="C51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3365050</v>
      </c>
      <c r="W511" s="1">
        <v>4234678</v>
      </c>
      <c r="X511" s="1">
        <v>4272423</v>
      </c>
      <c r="Y511" s="1">
        <v>4306466</v>
      </c>
      <c r="Z511" s="1">
        <v>4487535</v>
      </c>
      <c r="AA511" s="1">
        <v>4650785</v>
      </c>
      <c r="AB511" s="1">
        <v>4661533</v>
      </c>
      <c r="AC511" s="1">
        <v>4680647</v>
      </c>
      <c r="AD511" s="1">
        <v>4709246</v>
      </c>
      <c r="AE511" s="1">
        <v>4754690</v>
      </c>
      <c r="AF511" s="1">
        <v>4798856</v>
      </c>
      <c r="AG511" s="1">
        <v>4838788</v>
      </c>
      <c r="AH511" s="1">
        <v>4876871</v>
      </c>
      <c r="AI511" s="1">
        <v>4914023</v>
      </c>
      <c r="AJ511" s="1">
        <v>4952739</v>
      </c>
      <c r="AK511" s="1">
        <v>4990058</v>
      </c>
      <c r="AL511" s="1">
        <v>5019919</v>
      </c>
      <c r="AM511" s="1">
        <v>5042396</v>
      </c>
      <c r="AO511" s="7">
        <f t="shared" si="594"/>
        <v>0</v>
      </c>
      <c r="AP511" s="8" t="e">
        <f t="shared" si="595"/>
        <v>#DIV/0!</v>
      </c>
      <c r="AQ511" s="12">
        <f t="shared" si="596"/>
        <v>4650785</v>
      </c>
      <c r="AR511" s="13" t="e">
        <f t="shared" si="597"/>
        <v>#DIV/0!</v>
      </c>
      <c r="AS511" s="17">
        <f t="shared" si="598"/>
        <v>391611</v>
      </c>
      <c r="AT511" s="18">
        <f t="shared" si="599"/>
        <v>8.4203204405277843E-2</v>
      </c>
    </row>
    <row r="512" spans="1:46" ht="14.25" hidden="1" customHeight="1">
      <c r="A512" t="s">
        <v>414</v>
      </c>
      <c r="B512">
        <v>820556</v>
      </c>
      <c r="C512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O512" s="7">
        <f t="shared" si="594"/>
        <v>0</v>
      </c>
      <c r="AP512" s="8" t="e">
        <f t="shared" si="595"/>
        <v>#DIV/0!</v>
      </c>
      <c r="AQ512" s="12">
        <f t="shared" si="596"/>
        <v>0</v>
      </c>
      <c r="AR512" s="13" t="e">
        <f t="shared" si="597"/>
        <v>#DIV/0!</v>
      </c>
      <c r="AS512" s="17">
        <f t="shared" si="598"/>
        <v>0</v>
      </c>
      <c r="AT512" s="18" t="e">
        <f t="shared" si="599"/>
        <v>#DIV/0!</v>
      </c>
    </row>
    <row r="513" spans="1:46" ht="14.25" hidden="1" customHeight="1">
      <c r="A513" t="s">
        <v>415</v>
      </c>
      <c r="B513">
        <v>820555</v>
      </c>
      <c r="C513">
        <v>93523</v>
      </c>
      <c r="D513" s="1">
        <v>93675</v>
      </c>
      <c r="E513" s="1">
        <v>93818</v>
      </c>
      <c r="F513" s="1">
        <v>93971</v>
      </c>
      <c r="G513" s="1">
        <v>44341</v>
      </c>
      <c r="H513" s="1">
        <v>44452</v>
      </c>
      <c r="I513" s="1">
        <v>58342</v>
      </c>
      <c r="J513" s="1">
        <v>191280</v>
      </c>
      <c r="K513" s="1">
        <v>244031</v>
      </c>
      <c r="L513" s="1">
        <v>386236</v>
      </c>
      <c r="M513" s="1">
        <v>1584081</v>
      </c>
      <c r="N513" s="1">
        <v>1782001</v>
      </c>
      <c r="O513" s="1">
        <v>1945254</v>
      </c>
      <c r="P513" s="1">
        <v>2453252</v>
      </c>
      <c r="Q513" s="1">
        <v>3062148</v>
      </c>
      <c r="R513" s="1">
        <v>3275325</v>
      </c>
      <c r="S513" s="1">
        <v>3285977</v>
      </c>
      <c r="T513" s="1">
        <v>3297020</v>
      </c>
      <c r="U513" s="1">
        <v>3411675</v>
      </c>
      <c r="V513" s="1">
        <v>3297109</v>
      </c>
      <c r="W513" s="1">
        <v>3253836</v>
      </c>
      <c r="X513" s="1">
        <v>3282838</v>
      </c>
      <c r="Y513" s="1">
        <v>3308996</v>
      </c>
      <c r="Z513" s="1">
        <v>3448125</v>
      </c>
      <c r="AA513" s="1">
        <v>3573563</v>
      </c>
      <c r="AB513" s="1">
        <v>3581821</v>
      </c>
      <c r="AC513" s="1">
        <v>3596508</v>
      </c>
      <c r="AD513" s="1">
        <v>3618483</v>
      </c>
      <c r="AE513" s="1">
        <v>3653401</v>
      </c>
      <c r="AF513" s="1">
        <v>3687337</v>
      </c>
      <c r="AG513" s="1">
        <v>3718021</v>
      </c>
      <c r="AH513" s="1">
        <v>3747282</v>
      </c>
      <c r="AI513" s="1">
        <v>3775829</v>
      </c>
      <c r="AJ513" s="1">
        <v>3805578</v>
      </c>
      <c r="AK513" s="1">
        <v>3834253</v>
      </c>
      <c r="AL513" s="1">
        <v>3857198</v>
      </c>
      <c r="AM513" s="1">
        <v>3874468</v>
      </c>
      <c r="AO513" s="7">
        <f t="shared" si="594"/>
        <v>1851731</v>
      </c>
      <c r="AP513" s="8">
        <f t="shared" si="595"/>
        <v>19.799739101611369</v>
      </c>
      <c r="AQ513" s="12">
        <f t="shared" si="596"/>
        <v>1628309</v>
      </c>
      <c r="AR513" s="13">
        <f t="shared" si="597"/>
        <v>0.83706755004744893</v>
      </c>
      <c r="AS513" s="17">
        <f t="shared" si="598"/>
        <v>300905</v>
      </c>
      <c r="AT513" s="18">
        <f t="shared" si="599"/>
        <v>8.4203076873137439E-2</v>
      </c>
    </row>
    <row r="514" spans="1:46" ht="14.25" hidden="1" customHeight="1">
      <c r="A514" t="s">
        <v>416</v>
      </c>
      <c r="B514">
        <v>820561</v>
      </c>
      <c r="C514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O514" s="7">
        <f t="shared" si="594"/>
        <v>0</v>
      </c>
      <c r="AP514" s="8" t="e">
        <f t="shared" si="595"/>
        <v>#DIV/0!</v>
      </c>
      <c r="AQ514" s="12">
        <f t="shared" si="596"/>
        <v>0</v>
      </c>
      <c r="AR514" s="13" t="e">
        <f t="shared" si="597"/>
        <v>#DIV/0!</v>
      </c>
      <c r="AS514" s="17">
        <f t="shared" si="598"/>
        <v>0</v>
      </c>
      <c r="AT514" s="18" t="e">
        <f t="shared" si="599"/>
        <v>#DIV/0!</v>
      </c>
    </row>
    <row r="515" spans="1:46" ht="14.25" hidden="1" customHeight="1">
      <c r="A515" t="s">
        <v>417</v>
      </c>
      <c r="B515">
        <v>820563</v>
      </c>
      <c r="C515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O515" s="7">
        <f t="shared" si="594"/>
        <v>0</v>
      </c>
      <c r="AP515" s="8" t="e">
        <f t="shared" si="595"/>
        <v>#DIV/0!</v>
      </c>
      <c r="AQ515" s="12">
        <f t="shared" si="596"/>
        <v>0</v>
      </c>
      <c r="AR515" s="13" t="e">
        <f t="shared" si="597"/>
        <v>#DIV/0!</v>
      </c>
      <c r="AS515" s="17">
        <f t="shared" si="598"/>
        <v>0</v>
      </c>
      <c r="AT515" s="18" t="e">
        <f t="shared" si="599"/>
        <v>#DIV/0!</v>
      </c>
    </row>
    <row r="516" spans="1:46" ht="14.25" hidden="1" customHeight="1">
      <c r="A516" t="s">
        <v>418</v>
      </c>
      <c r="B516">
        <v>820564</v>
      </c>
      <c r="C516">
        <v>113195</v>
      </c>
      <c r="D516" s="1">
        <v>113408</v>
      </c>
      <c r="E516" s="1">
        <v>10317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O516" s="7">
        <f t="shared" si="594"/>
        <v>-113195</v>
      </c>
      <c r="AP516" s="8">
        <f t="shared" si="595"/>
        <v>-1</v>
      </c>
      <c r="AQ516" s="12">
        <f t="shared" si="596"/>
        <v>0</v>
      </c>
      <c r="AR516" s="13" t="e">
        <f t="shared" si="597"/>
        <v>#DIV/0!</v>
      </c>
      <c r="AS516" s="17">
        <f t="shared" si="598"/>
        <v>0</v>
      </c>
      <c r="AT516" s="18" t="e">
        <f t="shared" si="599"/>
        <v>#DIV/0!</v>
      </c>
    </row>
    <row r="517" spans="1:46" ht="14.25" hidden="1" customHeight="1">
      <c r="A517" t="s">
        <v>419</v>
      </c>
      <c r="B517">
        <v>820560</v>
      </c>
      <c r="C517">
        <v>20073</v>
      </c>
      <c r="D517" s="1">
        <v>20123</v>
      </c>
      <c r="E517" s="1">
        <v>20171</v>
      </c>
      <c r="F517" s="1">
        <v>20222</v>
      </c>
      <c r="G517" s="1">
        <v>20271</v>
      </c>
      <c r="H517" s="1">
        <v>20322</v>
      </c>
      <c r="I517" s="1">
        <v>320955</v>
      </c>
      <c r="J517" s="1">
        <v>321761</v>
      </c>
      <c r="K517" s="1">
        <v>322570</v>
      </c>
      <c r="L517" s="1">
        <v>323355</v>
      </c>
      <c r="M517" s="1">
        <v>324168</v>
      </c>
      <c r="N517" s="1">
        <v>324956</v>
      </c>
      <c r="O517" s="1">
        <v>325773</v>
      </c>
      <c r="P517" s="1">
        <v>326592</v>
      </c>
      <c r="Q517" s="1">
        <v>327333</v>
      </c>
      <c r="R517" s="1">
        <v>328156</v>
      </c>
      <c r="S517" s="1">
        <v>328954</v>
      </c>
      <c r="T517" s="1">
        <v>308850</v>
      </c>
      <c r="U517" s="1">
        <v>309601</v>
      </c>
      <c r="V517" s="1">
        <v>310379</v>
      </c>
      <c r="W517" s="1">
        <v>311160</v>
      </c>
      <c r="X517" s="1">
        <v>313933</v>
      </c>
      <c r="Y517" s="1">
        <v>316434</v>
      </c>
      <c r="Z517" s="1">
        <v>329739</v>
      </c>
      <c r="AA517" s="1">
        <v>341735</v>
      </c>
      <c r="AB517" s="1">
        <v>342524</v>
      </c>
      <c r="AC517" s="1">
        <v>343929</v>
      </c>
      <c r="AD517" s="1">
        <v>346030</v>
      </c>
      <c r="AE517" s="1">
        <v>349369</v>
      </c>
      <c r="AF517" s="1">
        <v>352615</v>
      </c>
      <c r="AG517" s="1">
        <v>355549</v>
      </c>
      <c r="AH517" s="1">
        <v>358347</v>
      </c>
      <c r="AI517" s="1">
        <v>361077</v>
      </c>
      <c r="AJ517" s="1">
        <v>363922</v>
      </c>
      <c r="AK517" s="1">
        <v>366664</v>
      </c>
      <c r="AL517" s="1">
        <v>368858</v>
      </c>
      <c r="AM517" s="1">
        <v>370510</v>
      </c>
      <c r="AO517" s="7">
        <f t="shared" si="594"/>
        <v>305700</v>
      </c>
      <c r="AP517" s="8">
        <f t="shared" si="595"/>
        <v>15.229412643849948</v>
      </c>
      <c r="AQ517" s="12">
        <f t="shared" si="596"/>
        <v>15962</v>
      </c>
      <c r="AR517" s="13">
        <f t="shared" si="597"/>
        <v>4.8997307941419432E-2</v>
      </c>
      <c r="AS517" s="17">
        <f t="shared" si="598"/>
        <v>28775</v>
      </c>
      <c r="AT517" s="18">
        <f t="shared" si="599"/>
        <v>8.4202671660789763E-2</v>
      </c>
    </row>
    <row r="518" spans="1:46" ht="14.25" hidden="1" customHeight="1">
      <c r="A518" t="s">
        <v>420</v>
      </c>
      <c r="B518">
        <v>820565</v>
      </c>
      <c r="C518">
        <v>156564</v>
      </c>
      <c r="D518" s="1">
        <v>156773</v>
      </c>
      <c r="E518" s="1">
        <v>156969</v>
      </c>
      <c r="F518" s="1">
        <v>157182</v>
      </c>
      <c r="G518" s="1">
        <v>157389</v>
      </c>
      <c r="H518" s="1">
        <v>157604</v>
      </c>
      <c r="I518" s="1">
        <v>157811</v>
      </c>
      <c r="J518" s="1">
        <v>158026</v>
      </c>
      <c r="K518" s="1">
        <v>158242</v>
      </c>
      <c r="L518" s="1">
        <v>158450</v>
      </c>
      <c r="M518" s="1">
        <v>158666</v>
      </c>
      <c r="N518" s="1">
        <v>158876</v>
      </c>
      <c r="O518" s="1">
        <v>159092</v>
      </c>
      <c r="P518" s="1">
        <v>190412</v>
      </c>
      <c r="Q518" s="1">
        <v>201500</v>
      </c>
      <c r="R518" s="1">
        <v>201814</v>
      </c>
      <c r="S518" s="1">
        <v>202119</v>
      </c>
      <c r="T518" s="1">
        <v>278204</v>
      </c>
      <c r="U518" s="1">
        <v>316858</v>
      </c>
      <c r="V518" s="1">
        <v>186575</v>
      </c>
      <c r="W518" s="1">
        <v>187005</v>
      </c>
      <c r="X518" s="1">
        <v>188672</v>
      </c>
      <c r="Y518" s="1">
        <v>190175</v>
      </c>
      <c r="Z518" s="1">
        <v>198171</v>
      </c>
      <c r="AA518" s="1">
        <v>205380</v>
      </c>
      <c r="AB518" s="1">
        <v>205855</v>
      </c>
      <c r="AC518" s="1">
        <v>206699</v>
      </c>
      <c r="AD518" s="1">
        <v>207962</v>
      </c>
      <c r="AE518" s="1">
        <v>209969</v>
      </c>
      <c r="AF518" s="1">
        <v>211919</v>
      </c>
      <c r="AG518" s="1">
        <v>213683</v>
      </c>
      <c r="AH518" s="1">
        <v>215364</v>
      </c>
      <c r="AI518" s="1">
        <v>217005</v>
      </c>
      <c r="AJ518" s="1">
        <v>218715</v>
      </c>
      <c r="AK518" s="1">
        <v>220363</v>
      </c>
      <c r="AL518" s="1">
        <v>221681</v>
      </c>
      <c r="AM518" s="1">
        <v>222674</v>
      </c>
      <c r="AO518" s="7">
        <f t="shared" si="594"/>
        <v>2528</v>
      </c>
      <c r="AP518" s="8">
        <f t="shared" si="595"/>
        <v>1.614675148820921E-2</v>
      </c>
      <c r="AQ518" s="12">
        <f t="shared" si="596"/>
        <v>46288</v>
      </c>
      <c r="AR518" s="13">
        <f t="shared" si="597"/>
        <v>0.29095114776355824</v>
      </c>
      <c r="AS518" s="17">
        <f t="shared" si="598"/>
        <v>17294</v>
      </c>
      <c r="AT518" s="18">
        <f t="shared" si="599"/>
        <v>8.4204888499367136E-2</v>
      </c>
    </row>
    <row r="519" spans="1:46" ht="14.25" hidden="1" customHeight="1">
      <c r="A519" t="s">
        <v>421</v>
      </c>
      <c r="B519">
        <v>820566</v>
      </c>
      <c r="C519">
        <v>1066657</v>
      </c>
      <c r="D519" s="1">
        <v>1069832</v>
      </c>
      <c r="E519" s="1">
        <v>1072810</v>
      </c>
      <c r="F519" s="1">
        <v>1076003</v>
      </c>
      <c r="G519" s="1">
        <v>1079101</v>
      </c>
      <c r="H519" s="1">
        <v>1082313</v>
      </c>
      <c r="I519" s="1">
        <v>1085430</v>
      </c>
      <c r="J519" s="1">
        <v>1088660</v>
      </c>
      <c r="K519" s="1">
        <v>1091900</v>
      </c>
      <c r="L519" s="1">
        <v>1095044</v>
      </c>
      <c r="M519" s="1">
        <v>1098303</v>
      </c>
      <c r="N519" s="1">
        <v>1101466</v>
      </c>
      <c r="O519" s="1">
        <v>1104744</v>
      </c>
      <c r="P519" s="1">
        <v>899622</v>
      </c>
      <c r="Q519" s="1">
        <v>376214</v>
      </c>
      <c r="R519" s="1">
        <v>360506</v>
      </c>
      <c r="S519" s="1">
        <v>274935</v>
      </c>
      <c r="T519" s="1">
        <v>199971</v>
      </c>
      <c r="U519" s="1">
        <v>54006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O519" s="7">
        <f t="shared" si="594"/>
        <v>38087</v>
      </c>
      <c r="AP519" s="8">
        <f t="shared" si="595"/>
        <v>3.5706886093655132E-2</v>
      </c>
      <c r="AQ519" s="12">
        <f t="shared" si="596"/>
        <v>-1104744</v>
      </c>
      <c r="AR519" s="13">
        <f t="shared" si="597"/>
        <v>-1</v>
      </c>
      <c r="AS519" s="17">
        <f t="shared" si="598"/>
        <v>0</v>
      </c>
      <c r="AT519" s="18" t="e">
        <f t="shared" si="599"/>
        <v>#DIV/0!</v>
      </c>
    </row>
    <row r="520" spans="1:46" ht="14.25" hidden="1" customHeight="1">
      <c r="A520" t="s">
        <v>422</v>
      </c>
      <c r="B520">
        <v>820567</v>
      </c>
      <c r="C520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O520" s="7">
        <f t="shared" si="594"/>
        <v>0</v>
      </c>
      <c r="AP520" s="8" t="e">
        <f t="shared" si="595"/>
        <v>#DIV/0!</v>
      </c>
      <c r="AQ520" s="12">
        <f t="shared" si="596"/>
        <v>0</v>
      </c>
      <c r="AR520" s="13" t="e">
        <f t="shared" si="597"/>
        <v>#DIV/0!</v>
      </c>
      <c r="AS520" s="17">
        <f t="shared" si="598"/>
        <v>0</v>
      </c>
      <c r="AT520" s="18" t="e">
        <f t="shared" si="599"/>
        <v>#DIV/0!</v>
      </c>
    </row>
    <row r="521" spans="1:46" ht="14.25" hidden="1" customHeight="1">
      <c r="A521" t="s">
        <v>423</v>
      </c>
      <c r="B521">
        <v>820568</v>
      </c>
      <c r="C521">
        <v>11484</v>
      </c>
      <c r="D521" s="1">
        <v>11494</v>
      </c>
      <c r="E521" s="1">
        <v>11504</v>
      </c>
      <c r="F521" s="1">
        <v>11514</v>
      </c>
      <c r="G521" s="1">
        <v>11524</v>
      </c>
      <c r="H521" s="1">
        <v>11534</v>
      </c>
      <c r="I521" s="1">
        <v>11544</v>
      </c>
      <c r="J521" s="1">
        <v>11554</v>
      </c>
      <c r="K521" s="1">
        <v>11564</v>
      </c>
      <c r="L521" s="1">
        <v>11574</v>
      </c>
      <c r="M521" s="1">
        <v>11585</v>
      </c>
      <c r="N521" s="1">
        <v>11604</v>
      </c>
      <c r="O521" s="1">
        <v>11623</v>
      </c>
      <c r="P521" s="1">
        <v>11642</v>
      </c>
      <c r="Q521" s="1">
        <v>11659</v>
      </c>
      <c r="R521" s="1">
        <v>11678</v>
      </c>
      <c r="S521" s="1">
        <v>11696</v>
      </c>
      <c r="T521" s="1">
        <v>11715</v>
      </c>
      <c r="U521" s="1">
        <v>11734</v>
      </c>
      <c r="V521" s="1">
        <v>11753</v>
      </c>
      <c r="W521" s="1">
        <v>11772</v>
      </c>
      <c r="X521" s="1">
        <v>11877</v>
      </c>
      <c r="Y521" s="1">
        <v>11972</v>
      </c>
      <c r="Z521" s="1">
        <v>12475</v>
      </c>
      <c r="AA521" s="1">
        <v>12929</v>
      </c>
      <c r="AB521" s="1">
        <v>12959</v>
      </c>
      <c r="AC521" s="1">
        <v>13012</v>
      </c>
      <c r="AD521" s="1">
        <v>13092</v>
      </c>
      <c r="AE521" s="1">
        <v>13218</v>
      </c>
      <c r="AF521" s="1">
        <v>13341</v>
      </c>
      <c r="AG521" s="1">
        <v>13452</v>
      </c>
      <c r="AH521" s="1">
        <v>13558</v>
      </c>
      <c r="AI521" s="1">
        <v>13661</v>
      </c>
      <c r="AJ521" s="1">
        <v>13769</v>
      </c>
      <c r="AK521" s="1">
        <v>13872</v>
      </c>
      <c r="AL521" s="1">
        <v>13955</v>
      </c>
      <c r="AM521" s="1">
        <v>14018</v>
      </c>
      <c r="AO521" s="7">
        <f t="shared" si="594"/>
        <v>139</v>
      </c>
      <c r="AP521" s="8">
        <f t="shared" si="595"/>
        <v>1.2103796586555138E-2</v>
      </c>
      <c r="AQ521" s="12">
        <f t="shared" si="596"/>
        <v>1306</v>
      </c>
      <c r="AR521" s="13">
        <f t="shared" si="597"/>
        <v>0.11236341736212685</v>
      </c>
      <c r="AS521" s="17">
        <f t="shared" si="598"/>
        <v>1089</v>
      </c>
      <c r="AT521" s="18">
        <f t="shared" si="599"/>
        <v>8.4229252068992233E-2</v>
      </c>
    </row>
    <row r="522" spans="1:46" ht="14.25" hidden="1" customHeight="1">
      <c r="A522" t="s">
        <v>424</v>
      </c>
      <c r="B522">
        <v>820571</v>
      </c>
      <c r="C522">
        <v>5054</v>
      </c>
      <c r="D522" s="1">
        <v>5057</v>
      </c>
      <c r="E522" s="1">
        <v>5059</v>
      </c>
      <c r="F522" s="1">
        <v>5061</v>
      </c>
      <c r="G522" s="1">
        <v>5063</v>
      </c>
      <c r="H522" s="1">
        <v>5065</v>
      </c>
      <c r="I522" s="1">
        <v>5067</v>
      </c>
      <c r="J522" s="1">
        <v>5069</v>
      </c>
      <c r="K522" s="1">
        <v>5071</v>
      </c>
      <c r="L522" s="1">
        <v>5073</v>
      </c>
      <c r="M522" s="1">
        <v>5076</v>
      </c>
      <c r="N522" s="1">
        <v>5078</v>
      </c>
      <c r="O522" s="1">
        <v>5080</v>
      </c>
      <c r="P522" s="1">
        <v>5082</v>
      </c>
      <c r="Q522" s="1">
        <v>5084</v>
      </c>
      <c r="R522" s="1">
        <v>5086</v>
      </c>
      <c r="S522" s="1">
        <v>5088</v>
      </c>
      <c r="T522" s="1">
        <v>5090</v>
      </c>
      <c r="U522" s="1">
        <v>5092</v>
      </c>
      <c r="V522" s="1">
        <v>5095</v>
      </c>
      <c r="W522" s="1">
        <v>5097</v>
      </c>
      <c r="X522" s="1">
        <v>5142</v>
      </c>
      <c r="Y522" s="1">
        <v>5183</v>
      </c>
      <c r="Z522" s="1">
        <v>5401</v>
      </c>
      <c r="AA522" s="1">
        <v>5597</v>
      </c>
      <c r="AB522" s="1">
        <v>5610</v>
      </c>
      <c r="AC522" s="1">
        <v>5633</v>
      </c>
      <c r="AD522" s="1">
        <v>5668</v>
      </c>
      <c r="AE522" s="1">
        <v>5723</v>
      </c>
      <c r="AF522" s="1">
        <v>5776</v>
      </c>
      <c r="AG522" s="1">
        <v>5824</v>
      </c>
      <c r="AH522" s="1">
        <v>5870</v>
      </c>
      <c r="AI522" s="1">
        <v>5914</v>
      </c>
      <c r="AJ522" s="1">
        <v>5961</v>
      </c>
      <c r="AK522" s="1">
        <v>6006</v>
      </c>
      <c r="AL522" s="1">
        <v>6042</v>
      </c>
      <c r="AM522" s="1">
        <v>6069</v>
      </c>
      <c r="AO522" s="7">
        <f t="shared" si="594"/>
        <v>26</v>
      </c>
      <c r="AP522" s="8">
        <f t="shared" si="595"/>
        <v>5.1444400474871532E-3</v>
      </c>
      <c r="AQ522" s="12">
        <f t="shared" si="596"/>
        <v>517</v>
      </c>
      <c r="AR522" s="13">
        <f t="shared" si="597"/>
        <v>0.10177165354330708</v>
      </c>
      <c r="AS522" s="17">
        <f t="shared" si="598"/>
        <v>472</v>
      </c>
      <c r="AT522" s="18">
        <f t="shared" si="599"/>
        <v>8.4330891549044162E-2</v>
      </c>
    </row>
    <row r="523" spans="1:46" ht="14.25" hidden="1" customHeight="1">
      <c r="A523" t="s">
        <v>425</v>
      </c>
      <c r="B523">
        <v>820574</v>
      </c>
      <c r="C523">
        <v>70897</v>
      </c>
      <c r="D523" s="1">
        <v>70993</v>
      </c>
      <c r="E523" s="1">
        <v>47317</v>
      </c>
      <c r="F523" s="1">
        <v>47363</v>
      </c>
      <c r="G523" s="1">
        <v>47409</v>
      </c>
      <c r="H523" s="1">
        <v>47456</v>
      </c>
      <c r="I523" s="1">
        <v>47501</v>
      </c>
      <c r="J523" s="1">
        <v>47549</v>
      </c>
      <c r="K523" s="1">
        <v>47596</v>
      </c>
      <c r="L523" s="1">
        <v>47641</v>
      </c>
      <c r="M523" s="1">
        <v>47689</v>
      </c>
      <c r="N523" s="1">
        <v>47735</v>
      </c>
      <c r="O523" s="1">
        <v>47782</v>
      </c>
      <c r="P523" s="1">
        <v>47830</v>
      </c>
      <c r="Q523" s="1">
        <v>47873</v>
      </c>
      <c r="R523" s="1">
        <v>25547</v>
      </c>
      <c r="S523" s="1">
        <v>25559</v>
      </c>
      <c r="T523" s="1">
        <v>25571</v>
      </c>
      <c r="U523" s="1">
        <v>25582</v>
      </c>
      <c r="V523" s="1">
        <v>25594</v>
      </c>
      <c r="W523" s="1">
        <v>25606</v>
      </c>
      <c r="X523" s="1">
        <v>25834</v>
      </c>
      <c r="Y523" s="1">
        <v>26040</v>
      </c>
      <c r="Z523" s="1">
        <v>27135</v>
      </c>
      <c r="AA523" s="1">
        <v>28122</v>
      </c>
      <c r="AB523" s="1">
        <v>28187</v>
      </c>
      <c r="AC523" s="1">
        <v>28303</v>
      </c>
      <c r="AD523" s="1">
        <v>28476</v>
      </c>
      <c r="AE523" s="1">
        <v>28751</v>
      </c>
      <c r="AF523" s="1">
        <v>29018</v>
      </c>
      <c r="AG523" s="1">
        <v>29259</v>
      </c>
      <c r="AH523" s="1">
        <v>29489</v>
      </c>
      <c r="AI523" s="1">
        <v>29714</v>
      </c>
      <c r="AJ523" s="1">
        <v>29948</v>
      </c>
      <c r="AK523" s="1">
        <v>30174</v>
      </c>
      <c r="AL523" s="1">
        <v>30354</v>
      </c>
      <c r="AM523" s="1">
        <v>30490</v>
      </c>
      <c r="AO523" s="7">
        <f t="shared" si="594"/>
        <v>-23115</v>
      </c>
      <c r="AP523" s="8">
        <f t="shared" si="595"/>
        <v>-0.32603636261054769</v>
      </c>
      <c r="AQ523" s="12">
        <f t="shared" si="596"/>
        <v>-19660</v>
      </c>
      <c r="AR523" s="13">
        <f t="shared" si="597"/>
        <v>-0.41145201121761332</v>
      </c>
      <c r="AS523" s="17">
        <f t="shared" si="598"/>
        <v>2368</v>
      </c>
      <c r="AT523" s="18">
        <f t="shared" si="599"/>
        <v>8.4204537372875254E-2</v>
      </c>
    </row>
    <row r="524" spans="1:46" ht="14.25" hidden="1" customHeight="1">
      <c r="A524" t="s">
        <v>426</v>
      </c>
      <c r="B524">
        <v>820577</v>
      </c>
      <c r="C524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50053</v>
      </c>
      <c r="L524" s="1">
        <v>50174</v>
      </c>
      <c r="M524" s="1">
        <v>50301</v>
      </c>
      <c r="N524" s="1">
        <v>50423</v>
      </c>
      <c r="O524" s="1">
        <v>50550</v>
      </c>
      <c r="P524" s="1">
        <v>50677</v>
      </c>
      <c r="Q524" s="1">
        <v>56356</v>
      </c>
      <c r="R524" s="1">
        <v>56497</v>
      </c>
      <c r="S524" s="1">
        <v>166261</v>
      </c>
      <c r="T524" s="1">
        <v>166659</v>
      </c>
      <c r="U524" s="1">
        <v>167045</v>
      </c>
      <c r="V524" s="1">
        <v>167444</v>
      </c>
      <c r="W524" s="1">
        <v>167840</v>
      </c>
      <c r="X524" s="1">
        <v>169336</v>
      </c>
      <c r="Y524" s="1">
        <v>170685</v>
      </c>
      <c r="Z524" s="1">
        <v>177861</v>
      </c>
      <c r="AA524" s="1">
        <v>184332</v>
      </c>
      <c r="AB524" s="1">
        <v>184758</v>
      </c>
      <c r="AC524" s="1">
        <v>185515</v>
      </c>
      <c r="AD524" s="1">
        <v>186649</v>
      </c>
      <c r="AE524" s="1">
        <v>188450</v>
      </c>
      <c r="AF524" s="1">
        <v>190201</v>
      </c>
      <c r="AG524" s="1">
        <v>191783</v>
      </c>
      <c r="AH524" s="1">
        <v>193293</v>
      </c>
      <c r="AI524" s="1">
        <v>194765</v>
      </c>
      <c r="AJ524" s="1">
        <v>196300</v>
      </c>
      <c r="AK524" s="1">
        <v>197779</v>
      </c>
      <c r="AL524" s="1">
        <v>198962</v>
      </c>
      <c r="AM524" s="1">
        <v>199853</v>
      </c>
      <c r="AO524" s="7">
        <f t="shared" si="594"/>
        <v>50550</v>
      </c>
      <c r="AP524" s="8" t="e">
        <f t="shared" si="595"/>
        <v>#DIV/0!</v>
      </c>
      <c r="AQ524" s="12">
        <f t="shared" si="596"/>
        <v>133782</v>
      </c>
      <c r="AR524" s="13">
        <f t="shared" si="597"/>
        <v>2.6465281899109794</v>
      </c>
      <c r="AS524" s="17">
        <f t="shared" si="598"/>
        <v>15521</v>
      </c>
      <c r="AT524" s="18">
        <f t="shared" si="599"/>
        <v>8.4201332378534444E-2</v>
      </c>
    </row>
    <row r="525" spans="1:46" ht="14.25" hidden="1" customHeight="1">
      <c r="A525" t="s">
        <v>427</v>
      </c>
      <c r="B525">
        <v>820580</v>
      </c>
      <c r="C525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O525" s="7">
        <f t="shared" si="594"/>
        <v>0</v>
      </c>
      <c r="AP525" s="8" t="e">
        <f t="shared" si="595"/>
        <v>#DIV/0!</v>
      </c>
      <c r="AQ525" s="12">
        <f t="shared" si="596"/>
        <v>0</v>
      </c>
      <c r="AR525" s="13" t="e">
        <f t="shared" si="597"/>
        <v>#DIV/0!</v>
      </c>
      <c r="AS525" s="17">
        <f t="shared" si="598"/>
        <v>0</v>
      </c>
      <c r="AT525" s="18" t="e">
        <f t="shared" si="599"/>
        <v>#DIV/0!</v>
      </c>
    </row>
    <row r="526" spans="1:46" ht="14.25" hidden="1" customHeight="1">
      <c r="A526" t="s">
        <v>428</v>
      </c>
      <c r="B526">
        <v>820583</v>
      </c>
      <c r="C526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O526" s="7">
        <f t="shared" si="594"/>
        <v>0</v>
      </c>
      <c r="AP526" s="8" t="e">
        <f t="shared" si="595"/>
        <v>#DIV/0!</v>
      </c>
      <c r="AQ526" s="12">
        <f t="shared" si="596"/>
        <v>0</v>
      </c>
      <c r="AR526" s="13" t="e">
        <f t="shared" si="597"/>
        <v>#DIV/0!</v>
      </c>
      <c r="AS526" s="17">
        <f t="shared" si="598"/>
        <v>0</v>
      </c>
      <c r="AT526" s="18" t="e">
        <f t="shared" si="599"/>
        <v>#DIV/0!</v>
      </c>
    </row>
    <row r="527" spans="1:46" ht="14.25" hidden="1" customHeight="1">
      <c r="A527" t="s">
        <v>429</v>
      </c>
      <c r="B527">
        <v>820586</v>
      </c>
      <c r="C527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O527" s="7">
        <f t="shared" ref="AO527:AO532" si="600">+O527-C527</f>
        <v>0</v>
      </c>
      <c r="AP527" s="8" t="e">
        <f t="shared" ref="AP527:AP532" si="601">+(O527/C527)-1</f>
        <v>#DIV/0!</v>
      </c>
      <c r="AQ527" s="12">
        <f t="shared" ref="AQ527:AQ532" si="602">+(AA527-O527)</f>
        <v>0</v>
      </c>
      <c r="AR527" s="13" t="e">
        <f t="shared" ref="AR527:AR532" si="603">+(AA527/O527)-1</f>
        <v>#DIV/0!</v>
      </c>
      <c r="AS527" s="17">
        <f t="shared" ref="AS527:AS532" si="604">+AM527-AA527</f>
        <v>0</v>
      </c>
      <c r="AT527" s="18" t="e">
        <f t="shared" ref="AT527:AT532" si="605">+(AM527/AA527)-1</f>
        <v>#DIV/0!</v>
      </c>
    </row>
    <row r="528" spans="1:46" ht="14.25" hidden="1" customHeight="1">
      <c r="A528" t="s">
        <v>430</v>
      </c>
      <c r="B528">
        <v>820589</v>
      </c>
      <c r="C528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O528" s="7">
        <f t="shared" si="600"/>
        <v>0</v>
      </c>
      <c r="AP528" s="8" t="e">
        <f t="shared" si="601"/>
        <v>#DIV/0!</v>
      </c>
      <c r="AQ528" s="12">
        <f t="shared" si="602"/>
        <v>0</v>
      </c>
      <c r="AR528" s="13" t="e">
        <f t="shared" si="603"/>
        <v>#DIV/0!</v>
      </c>
      <c r="AS528" s="17">
        <f t="shared" si="604"/>
        <v>0</v>
      </c>
      <c r="AT528" s="18" t="e">
        <f t="shared" si="605"/>
        <v>#DIV/0!</v>
      </c>
    </row>
    <row r="529" spans="1:46" ht="14.25" hidden="1" customHeight="1">
      <c r="A529" t="s">
        <v>431</v>
      </c>
      <c r="B529">
        <v>820592</v>
      </c>
      <c r="C529">
        <v>560974</v>
      </c>
      <c r="D529" s="1">
        <v>562846</v>
      </c>
      <c r="E529" s="1">
        <v>564602</v>
      </c>
      <c r="F529" s="1">
        <v>566486</v>
      </c>
      <c r="G529" s="1">
        <v>568315</v>
      </c>
      <c r="H529" s="1">
        <v>518270</v>
      </c>
      <c r="I529" s="1">
        <v>219238</v>
      </c>
      <c r="J529" s="1">
        <v>270144</v>
      </c>
      <c r="K529" s="1">
        <v>271172</v>
      </c>
      <c r="L529" s="1">
        <v>571721</v>
      </c>
      <c r="M529" s="1">
        <v>573881</v>
      </c>
      <c r="N529" s="1">
        <v>17218986</v>
      </c>
      <c r="O529" s="1">
        <v>17286943</v>
      </c>
      <c r="P529" s="1">
        <v>17355130</v>
      </c>
      <c r="Q529" s="1">
        <v>17416924</v>
      </c>
      <c r="R529" s="1">
        <v>17179383</v>
      </c>
      <c r="S529" s="1">
        <v>17244985</v>
      </c>
      <c r="T529" s="1">
        <v>17313038</v>
      </c>
      <c r="U529" s="1">
        <v>17379035</v>
      </c>
      <c r="V529" s="1">
        <v>17395238</v>
      </c>
      <c r="W529" s="1">
        <v>17463776</v>
      </c>
      <c r="X529" s="1">
        <v>17619436</v>
      </c>
      <c r="Y529" s="1">
        <v>17759829</v>
      </c>
      <c r="Z529" s="1">
        <v>18506554</v>
      </c>
      <c r="AA529" s="1">
        <v>19179794</v>
      </c>
      <c r="AB529" s="1">
        <v>19224119</v>
      </c>
      <c r="AC529" s="1">
        <v>19302947</v>
      </c>
      <c r="AD529" s="1">
        <v>19420887</v>
      </c>
      <c r="AE529" s="1">
        <v>19608299</v>
      </c>
      <c r="AF529" s="1">
        <v>19790439</v>
      </c>
      <c r="AG529" s="1">
        <v>19955120</v>
      </c>
      <c r="AH529" s="1">
        <v>20112172</v>
      </c>
      <c r="AI529" s="1">
        <v>20265386</v>
      </c>
      <c r="AJ529" s="1">
        <v>20425052</v>
      </c>
      <c r="AK529" s="1">
        <v>20578954</v>
      </c>
      <c r="AL529" s="1">
        <v>20702102</v>
      </c>
      <c r="AM529" s="1">
        <v>20794795</v>
      </c>
      <c r="AO529" s="7">
        <f t="shared" si="600"/>
        <v>16725969</v>
      </c>
      <c r="AP529" s="8">
        <f t="shared" si="601"/>
        <v>29.815943341402633</v>
      </c>
      <c r="AQ529" s="12">
        <f t="shared" si="602"/>
        <v>1892851</v>
      </c>
      <c r="AR529" s="13">
        <f t="shared" si="603"/>
        <v>0.1094959935947033</v>
      </c>
      <c r="AS529" s="17">
        <f t="shared" si="604"/>
        <v>1615001</v>
      </c>
      <c r="AT529" s="18">
        <f t="shared" si="605"/>
        <v>8.4203250566716292E-2</v>
      </c>
    </row>
    <row r="530" spans="1:46" ht="14.25" hidden="1" customHeight="1">
      <c r="A530" t="s">
        <v>432</v>
      </c>
      <c r="B530">
        <v>820595</v>
      </c>
      <c r="C530">
        <v>15881332</v>
      </c>
      <c r="D530" s="1">
        <v>15950496</v>
      </c>
      <c r="E530" s="1">
        <v>16015471</v>
      </c>
      <c r="F530" s="1">
        <v>16085220</v>
      </c>
      <c r="G530" s="1">
        <v>16153009</v>
      </c>
      <c r="H530" s="1">
        <v>16223357</v>
      </c>
      <c r="I530" s="1">
        <v>16291727</v>
      </c>
      <c r="J530" s="1">
        <v>16462836</v>
      </c>
      <c r="K530" s="1">
        <v>16534472</v>
      </c>
      <c r="L530" s="1">
        <v>16604094</v>
      </c>
      <c r="M530" s="1">
        <v>16676345</v>
      </c>
      <c r="N530" s="1">
        <v>101641</v>
      </c>
      <c r="O530" s="1">
        <v>102022</v>
      </c>
      <c r="P530" s="1">
        <v>102404</v>
      </c>
      <c r="Q530" s="1">
        <v>102751</v>
      </c>
      <c r="R530" s="1">
        <v>414279</v>
      </c>
      <c r="S530" s="1">
        <v>415660</v>
      </c>
      <c r="T530" s="1">
        <v>417092</v>
      </c>
      <c r="U530" s="1">
        <v>418482</v>
      </c>
      <c r="V530" s="1">
        <v>315260</v>
      </c>
      <c r="W530" s="1">
        <v>316314</v>
      </c>
      <c r="X530" s="1">
        <v>319134</v>
      </c>
      <c r="Y530" s="1">
        <v>321676</v>
      </c>
      <c r="Z530" s="1">
        <v>335202</v>
      </c>
      <c r="AA530" s="1">
        <v>347396</v>
      </c>
      <c r="AB530" s="1">
        <v>348198</v>
      </c>
      <c r="AC530" s="1">
        <v>349626</v>
      </c>
      <c r="AD530" s="1">
        <v>351762</v>
      </c>
      <c r="AE530" s="1">
        <v>355157</v>
      </c>
      <c r="AF530" s="1">
        <v>358456</v>
      </c>
      <c r="AG530" s="1">
        <v>361439</v>
      </c>
      <c r="AH530" s="1">
        <v>364283</v>
      </c>
      <c r="AI530" s="1">
        <v>367058</v>
      </c>
      <c r="AJ530" s="1">
        <v>369950</v>
      </c>
      <c r="AK530" s="1">
        <v>372738</v>
      </c>
      <c r="AL530" s="1">
        <v>374969</v>
      </c>
      <c r="AM530" s="1">
        <v>376647</v>
      </c>
      <c r="AO530" s="7">
        <f t="shared" si="600"/>
        <v>-15779310</v>
      </c>
      <c r="AP530" s="8">
        <f t="shared" si="601"/>
        <v>-0.99357597964704725</v>
      </c>
      <c r="AQ530" s="12">
        <f t="shared" si="602"/>
        <v>245374</v>
      </c>
      <c r="AR530" s="13">
        <f t="shared" si="603"/>
        <v>2.4051087020446569</v>
      </c>
      <c r="AS530" s="17">
        <f t="shared" si="604"/>
        <v>29251</v>
      </c>
      <c r="AT530" s="18">
        <f t="shared" si="605"/>
        <v>8.4200739214038256E-2</v>
      </c>
    </row>
    <row r="531" spans="1:46" ht="14.25" hidden="1" customHeight="1">
      <c r="A531" t="s">
        <v>433</v>
      </c>
      <c r="B531">
        <v>820599</v>
      </c>
      <c r="C53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O531" s="7">
        <f t="shared" si="600"/>
        <v>0</v>
      </c>
      <c r="AP531" s="8" t="e">
        <f t="shared" si="601"/>
        <v>#DIV/0!</v>
      </c>
      <c r="AQ531" s="12">
        <f t="shared" si="602"/>
        <v>0</v>
      </c>
      <c r="AR531" s="13" t="e">
        <f t="shared" si="603"/>
        <v>#DIV/0!</v>
      </c>
      <c r="AS531" s="17">
        <f t="shared" si="604"/>
        <v>0</v>
      </c>
      <c r="AT531" s="18" t="e">
        <f t="shared" si="605"/>
        <v>#DIV/0!</v>
      </c>
    </row>
    <row r="532" spans="1:46" ht="14.25" hidden="1" customHeight="1">
      <c r="A532" t="s">
        <v>434</v>
      </c>
      <c r="B532">
        <v>820600</v>
      </c>
      <c r="C532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O532" s="7">
        <f t="shared" si="600"/>
        <v>0</v>
      </c>
      <c r="AP532" s="8" t="e">
        <f t="shared" si="601"/>
        <v>#DIV/0!</v>
      </c>
      <c r="AQ532" s="12">
        <f t="shared" si="602"/>
        <v>0</v>
      </c>
      <c r="AR532" s="13" t="e">
        <f t="shared" si="603"/>
        <v>#DIV/0!</v>
      </c>
      <c r="AS532" s="17">
        <f t="shared" si="604"/>
        <v>0</v>
      </c>
      <c r="AT532" s="18" t="e">
        <f t="shared" si="605"/>
        <v>#DIV/0!</v>
      </c>
    </row>
    <row r="533" spans="1:46" ht="14.25" hidden="1" customHeight="1">
      <c r="A533" t="s">
        <v>11</v>
      </c>
      <c r="B533" t="s">
        <v>12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46" ht="14.25" hidden="1" customHeight="1"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46">
      <c r="A535" t="s">
        <v>435</v>
      </c>
      <c r="C535">
        <v>624984512</v>
      </c>
      <c r="D535" s="1">
        <v>629770048</v>
      </c>
      <c r="E535" s="1">
        <v>633968027</v>
      </c>
      <c r="F535" s="1">
        <v>647905186</v>
      </c>
      <c r="G535" s="1">
        <v>668639652</v>
      </c>
      <c r="H535" s="1">
        <v>683760882</v>
      </c>
      <c r="I535" s="1">
        <v>695689735</v>
      </c>
      <c r="J535" s="1">
        <v>679814678</v>
      </c>
      <c r="K535" s="1">
        <v>652759868</v>
      </c>
      <c r="L535" s="1">
        <v>632252869</v>
      </c>
      <c r="M535" s="1">
        <v>640563321</v>
      </c>
      <c r="N535" s="1">
        <v>635956357</v>
      </c>
      <c r="O535" s="1">
        <v>637702915</v>
      </c>
      <c r="P535" s="1">
        <v>626087057</v>
      </c>
      <c r="Q535" s="1">
        <v>602017424</v>
      </c>
      <c r="R535" s="1">
        <v>586582836</v>
      </c>
      <c r="S535" s="1">
        <v>585278243</v>
      </c>
      <c r="T535" s="1">
        <v>586014549</v>
      </c>
      <c r="U535" s="1">
        <v>581958385</v>
      </c>
      <c r="V535" s="1">
        <v>593929715</v>
      </c>
      <c r="W535" s="1">
        <v>600207155</v>
      </c>
      <c r="X535" s="1">
        <v>604088400</v>
      </c>
      <c r="Y535" s="1">
        <v>608316501</v>
      </c>
      <c r="Z535" s="1">
        <v>611803217</v>
      </c>
      <c r="AA535" s="1">
        <v>614586332</v>
      </c>
      <c r="AB535" s="1">
        <v>616006658</v>
      </c>
      <c r="AC535" s="1">
        <v>618532568</v>
      </c>
      <c r="AD535" s="1">
        <v>622311783</v>
      </c>
      <c r="AE535" s="1">
        <v>628317091</v>
      </c>
      <c r="AF535" s="1">
        <v>634153483</v>
      </c>
      <c r="AG535" s="1">
        <v>639430449</v>
      </c>
      <c r="AH535" s="1">
        <v>644462918</v>
      </c>
      <c r="AI535" s="1">
        <v>649372418</v>
      </c>
      <c r="AJ535" s="1">
        <v>654488666</v>
      </c>
      <c r="AK535" s="1">
        <v>659420219</v>
      </c>
      <c r="AL535" s="1">
        <v>663366303</v>
      </c>
      <c r="AM535" s="1">
        <v>666336506</v>
      </c>
      <c r="AO535" s="7">
        <f t="shared" ref="AO535" si="606">+O535-C535</f>
        <v>12718403</v>
      </c>
      <c r="AP535" s="8">
        <f t="shared" ref="AP535" si="607">+(O535/C535)-1</f>
        <v>2.0349949088018349E-2</v>
      </c>
      <c r="AQ535" s="12">
        <f t="shared" ref="AQ535" si="608">+(AA535-O535)</f>
        <v>-23116583</v>
      </c>
      <c r="AR535" s="13">
        <f t="shared" ref="AR535" si="609">+(AA535/O535)-1</f>
        <v>-3.6249768436451335E-2</v>
      </c>
      <c r="AS535" s="17">
        <f t="shared" ref="AS535" si="610">+AM535-AA535</f>
        <v>51750174</v>
      </c>
      <c r="AT535" s="18">
        <f t="shared" ref="AT535" si="611">+(AM535/AA535)-1</f>
        <v>8.4203262105737808E-2</v>
      </c>
    </row>
    <row r="536" spans="1:46" ht="14.25" hidden="1" customHeight="1"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46" ht="14.25" hidden="1" customHeight="1">
      <c r="A537" t="s">
        <v>436</v>
      </c>
      <c r="B537">
        <v>820602</v>
      </c>
      <c r="C537">
        <v>38736</v>
      </c>
      <c r="D537" s="1">
        <v>28593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20002</v>
      </c>
      <c r="K537" s="1">
        <v>20052</v>
      </c>
      <c r="L537" s="1">
        <v>20101</v>
      </c>
      <c r="M537" s="1">
        <v>20151</v>
      </c>
      <c r="N537" s="1">
        <v>0</v>
      </c>
      <c r="O537" s="1">
        <v>0</v>
      </c>
      <c r="P537" s="1">
        <v>12027</v>
      </c>
      <c r="Q537" s="1">
        <v>66349</v>
      </c>
      <c r="R537" s="1">
        <v>66503</v>
      </c>
      <c r="S537" s="1">
        <v>64556</v>
      </c>
      <c r="T537" s="1">
        <v>104797</v>
      </c>
      <c r="U537" s="1">
        <v>105031</v>
      </c>
      <c r="V537" s="1">
        <v>85239</v>
      </c>
      <c r="W537" s="1">
        <v>71510</v>
      </c>
      <c r="X537" s="1">
        <v>72919</v>
      </c>
      <c r="Y537" s="1">
        <v>63071</v>
      </c>
      <c r="Z537" s="1">
        <v>2032</v>
      </c>
      <c r="AA537" s="1">
        <v>881</v>
      </c>
      <c r="AB537" s="1">
        <v>625</v>
      </c>
      <c r="AC537" s="1">
        <v>258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O537" s="7">
        <f t="shared" ref="AO537:AO568" si="612">+O537-C537</f>
        <v>-38736</v>
      </c>
      <c r="AP537" s="8">
        <f t="shared" ref="AP537:AP568" si="613">+(O537/C537)-1</f>
        <v>-1</v>
      </c>
      <c r="AQ537" s="12">
        <f t="shared" ref="AQ537:AQ568" si="614">+(AA537-O537)</f>
        <v>881</v>
      </c>
      <c r="AR537" s="13" t="e">
        <f t="shared" ref="AR537:AR568" si="615">+(AA537/O537)-1</f>
        <v>#DIV/0!</v>
      </c>
      <c r="AS537" s="17">
        <f t="shared" ref="AS537:AS568" si="616">+AM537-AA537</f>
        <v>-881</v>
      </c>
      <c r="AT537" s="18">
        <f t="shared" ref="AT537:AT568" si="617">+(AM537/AA537)-1</f>
        <v>-1</v>
      </c>
    </row>
    <row r="538" spans="1:46" ht="14.25" hidden="1" customHeight="1">
      <c r="A538" t="s">
        <v>437</v>
      </c>
      <c r="B538">
        <v>820603</v>
      </c>
      <c r="C538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O538" s="7">
        <f t="shared" si="612"/>
        <v>0</v>
      </c>
      <c r="AP538" s="8" t="e">
        <f t="shared" si="613"/>
        <v>#DIV/0!</v>
      </c>
      <c r="AQ538" s="12">
        <f t="shared" si="614"/>
        <v>0</v>
      </c>
      <c r="AR538" s="13" t="e">
        <f t="shared" si="615"/>
        <v>#DIV/0!</v>
      </c>
      <c r="AS538" s="17">
        <f t="shared" si="616"/>
        <v>0</v>
      </c>
      <c r="AT538" s="18" t="e">
        <f t="shared" si="617"/>
        <v>#DIV/0!</v>
      </c>
    </row>
    <row r="539" spans="1:46" ht="14.25" hidden="1" customHeight="1">
      <c r="A539" t="s">
        <v>438</v>
      </c>
      <c r="B539">
        <v>820604</v>
      </c>
      <c r="C539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O539" s="7">
        <f t="shared" si="612"/>
        <v>0</v>
      </c>
      <c r="AP539" s="8" t="e">
        <f t="shared" si="613"/>
        <v>#DIV/0!</v>
      </c>
      <c r="AQ539" s="12">
        <f t="shared" si="614"/>
        <v>0</v>
      </c>
      <c r="AR539" s="13" t="e">
        <f t="shared" si="615"/>
        <v>#DIV/0!</v>
      </c>
      <c r="AS539" s="17">
        <f t="shared" si="616"/>
        <v>0</v>
      </c>
      <c r="AT539" s="18" t="e">
        <f t="shared" si="617"/>
        <v>#DIV/0!</v>
      </c>
    </row>
    <row r="540" spans="1:46" ht="14.25" hidden="1" customHeight="1">
      <c r="A540" t="s">
        <v>439</v>
      </c>
      <c r="B540">
        <v>820605</v>
      </c>
      <c r="C540">
        <v>7628219</v>
      </c>
      <c r="D540" s="1">
        <v>8003392</v>
      </c>
      <c r="E540" s="1">
        <v>9740487</v>
      </c>
      <c r="F540" s="1">
        <v>10542756</v>
      </c>
      <c r="G540" s="1">
        <v>9892395</v>
      </c>
      <c r="H540" s="1">
        <v>9851473</v>
      </c>
      <c r="I540" s="1">
        <v>9467949</v>
      </c>
      <c r="J540" s="1">
        <v>9837648</v>
      </c>
      <c r="K540" s="1">
        <v>12280150</v>
      </c>
      <c r="L540" s="1">
        <v>13102919</v>
      </c>
      <c r="M540" s="1">
        <v>13574230</v>
      </c>
      <c r="N540" s="1">
        <v>14436208</v>
      </c>
      <c r="O540" s="1">
        <v>15495842</v>
      </c>
      <c r="P540" s="1">
        <v>15592719</v>
      </c>
      <c r="Q540" s="1">
        <v>15497123</v>
      </c>
      <c r="R540" s="1">
        <v>14799600</v>
      </c>
      <c r="S540" s="1">
        <v>14839698</v>
      </c>
      <c r="T540" s="1">
        <v>14338900</v>
      </c>
      <c r="U540" s="1">
        <v>14656455</v>
      </c>
      <c r="V540" s="1">
        <v>14165824</v>
      </c>
      <c r="W540" s="1">
        <v>12890449</v>
      </c>
      <c r="X540" s="1">
        <v>13144489</v>
      </c>
      <c r="Y540" s="1">
        <v>13239951</v>
      </c>
      <c r="Z540" s="1">
        <v>13443636</v>
      </c>
      <c r="AA540" s="1">
        <v>13826371</v>
      </c>
      <c r="AB540" s="1">
        <v>14042179</v>
      </c>
      <c r="AC540" s="1">
        <v>14100015</v>
      </c>
      <c r="AD540" s="1">
        <v>14186445</v>
      </c>
      <c r="AE540" s="1">
        <v>14334282</v>
      </c>
      <c r="AF540" s="1">
        <v>15482159</v>
      </c>
      <c r="AG540" s="1">
        <v>16265036</v>
      </c>
      <c r="AH540" s="1">
        <v>16432802</v>
      </c>
      <c r="AI540" s="1">
        <v>16576080</v>
      </c>
      <c r="AJ540" s="1">
        <v>16736144</v>
      </c>
      <c r="AK540" s="1">
        <v>16914893</v>
      </c>
      <c r="AL540" s="1">
        <v>17048077</v>
      </c>
      <c r="AM540" s="1">
        <v>17170312</v>
      </c>
      <c r="AO540" s="7">
        <f t="shared" si="612"/>
        <v>7867623</v>
      </c>
      <c r="AP540" s="8">
        <f t="shared" si="613"/>
        <v>1.0313839967101104</v>
      </c>
      <c r="AQ540" s="12">
        <f t="shared" si="614"/>
        <v>-1669471</v>
      </c>
      <c r="AR540" s="13">
        <f t="shared" si="615"/>
        <v>-0.10773670769229582</v>
      </c>
      <c r="AS540" s="17">
        <f t="shared" si="616"/>
        <v>3343941</v>
      </c>
      <c r="AT540" s="18">
        <f t="shared" si="617"/>
        <v>0.2418523993027526</v>
      </c>
    </row>
    <row r="541" spans="1:46" ht="14.25" hidden="1" customHeight="1">
      <c r="A541" t="s">
        <v>440</v>
      </c>
      <c r="B541">
        <v>820606</v>
      </c>
      <c r="C541">
        <v>0</v>
      </c>
      <c r="D541" s="1">
        <v>0</v>
      </c>
      <c r="E541" s="1">
        <v>0</v>
      </c>
      <c r="F541" s="1">
        <v>362557</v>
      </c>
      <c r="G541" s="1">
        <v>1520313</v>
      </c>
      <c r="H541" s="1">
        <v>2409401</v>
      </c>
      <c r="I541" s="1">
        <v>4027628</v>
      </c>
      <c r="J541" s="1">
        <v>5366454</v>
      </c>
      <c r="K541" s="1">
        <v>5473622</v>
      </c>
      <c r="L541" s="1">
        <v>5489767</v>
      </c>
      <c r="M541" s="1">
        <v>5168512</v>
      </c>
      <c r="N541" s="1">
        <v>4013012</v>
      </c>
      <c r="O541" s="1">
        <v>3173520</v>
      </c>
      <c r="P541" s="1">
        <v>1525229</v>
      </c>
      <c r="Q541" s="1">
        <v>177100</v>
      </c>
      <c r="R541" s="1">
        <v>87263</v>
      </c>
      <c r="S541" s="1">
        <v>368821</v>
      </c>
      <c r="T541" s="1">
        <v>1265991</v>
      </c>
      <c r="U541" s="1">
        <v>1695163</v>
      </c>
      <c r="V541" s="1">
        <v>1764492</v>
      </c>
      <c r="W541" s="1">
        <v>1766655</v>
      </c>
      <c r="X541" s="1">
        <v>1801471</v>
      </c>
      <c r="Y541" s="1">
        <v>1814555</v>
      </c>
      <c r="Z541" s="1">
        <v>1521482</v>
      </c>
      <c r="AA541" s="1">
        <v>611415</v>
      </c>
      <c r="AB541" s="1">
        <v>88157</v>
      </c>
      <c r="AC541" s="1">
        <v>88157</v>
      </c>
      <c r="AD541" s="1">
        <v>88157</v>
      </c>
      <c r="AE541" s="1">
        <v>57778</v>
      </c>
      <c r="AF541" s="1">
        <v>44694</v>
      </c>
      <c r="AG541" s="1">
        <v>30026</v>
      </c>
      <c r="AH541" s="1">
        <v>12586</v>
      </c>
      <c r="AI541" s="1">
        <v>4682</v>
      </c>
      <c r="AJ541" s="1">
        <v>4682</v>
      </c>
      <c r="AK541" s="1">
        <v>4682</v>
      </c>
      <c r="AL541" s="1">
        <v>245</v>
      </c>
      <c r="AM541" s="1">
        <v>245</v>
      </c>
      <c r="AO541" s="7">
        <f t="shared" si="612"/>
        <v>3173520</v>
      </c>
      <c r="AP541" s="8" t="e">
        <f t="shared" si="613"/>
        <v>#DIV/0!</v>
      </c>
      <c r="AQ541" s="12">
        <f t="shared" si="614"/>
        <v>-2562105</v>
      </c>
      <c r="AR541" s="13">
        <f t="shared" si="615"/>
        <v>-0.80733853890947593</v>
      </c>
      <c r="AS541" s="17">
        <f t="shared" si="616"/>
        <v>-611170</v>
      </c>
      <c r="AT541" s="18">
        <f t="shared" si="617"/>
        <v>-0.99959929017116034</v>
      </c>
    </row>
    <row r="542" spans="1:46" ht="14.25" hidden="1" customHeight="1">
      <c r="A542" t="s">
        <v>441</v>
      </c>
      <c r="B542">
        <v>820607</v>
      </c>
      <c r="C542">
        <v>488193</v>
      </c>
      <c r="D542" s="1">
        <v>319264</v>
      </c>
      <c r="E542" s="1">
        <v>0</v>
      </c>
      <c r="F542" s="1">
        <v>81474</v>
      </c>
      <c r="G542" s="1">
        <v>510915</v>
      </c>
      <c r="H542" s="1">
        <v>571693</v>
      </c>
      <c r="I542" s="1">
        <v>574062</v>
      </c>
      <c r="J542" s="1">
        <v>576521</v>
      </c>
      <c r="K542" s="1">
        <v>578990</v>
      </c>
      <c r="L542" s="1">
        <v>581390</v>
      </c>
      <c r="M542" s="1">
        <v>583880</v>
      </c>
      <c r="N542" s="1">
        <v>522839</v>
      </c>
      <c r="O542" s="1">
        <v>124064</v>
      </c>
      <c r="P542" s="1">
        <v>69207</v>
      </c>
      <c r="Q542" s="1">
        <v>69466</v>
      </c>
      <c r="R542" s="1">
        <v>69755</v>
      </c>
      <c r="S542" s="1">
        <v>70035</v>
      </c>
      <c r="T542" s="1">
        <v>48976</v>
      </c>
      <c r="U542" s="1">
        <v>15086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O542" s="7">
        <f t="shared" si="612"/>
        <v>-364129</v>
      </c>
      <c r="AP542" s="8">
        <f t="shared" si="613"/>
        <v>-0.74587099774064769</v>
      </c>
      <c r="AQ542" s="12">
        <f t="shared" si="614"/>
        <v>-124064</v>
      </c>
      <c r="AR542" s="13">
        <f t="shared" si="615"/>
        <v>-1</v>
      </c>
      <c r="AS542" s="17">
        <f t="shared" si="616"/>
        <v>0</v>
      </c>
      <c r="AT542" s="18" t="e">
        <f t="shared" si="617"/>
        <v>#DIV/0!</v>
      </c>
    </row>
    <row r="543" spans="1:46" ht="14.25" hidden="1" customHeight="1">
      <c r="A543" t="s">
        <v>442</v>
      </c>
      <c r="B543">
        <v>820608</v>
      </c>
      <c r="C543">
        <v>6395821</v>
      </c>
      <c r="D543" s="1">
        <v>6677952</v>
      </c>
      <c r="E543" s="1">
        <v>6701268</v>
      </c>
      <c r="F543" s="1">
        <v>6720285</v>
      </c>
      <c r="G543" s="1">
        <v>6745031</v>
      </c>
      <c r="H543" s="1">
        <v>6772173</v>
      </c>
      <c r="I543" s="1">
        <v>6726366</v>
      </c>
      <c r="J543" s="1">
        <v>4008074</v>
      </c>
      <c r="K543" s="1">
        <v>1498496</v>
      </c>
      <c r="L543" s="1">
        <v>336218</v>
      </c>
      <c r="M543" s="1">
        <v>177267</v>
      </c>
      <c r="N543" s="1">
        <v>177156</v>
      </c>
      <c r="O543" s="1">
        <v>175884</v>
      </c>
      <c r="P543" s="1">
        <v>157839</v>
      </c>
      <c r="Q543" s="1">
        <v>156395</v>
      </c>
      <c r="R543" s="1">
        <v>23440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O543" s="7">
        <f t="shared" si="612"/>
        <v>-6219937</v>
      </c>
      <c r="AP543" s="8">
        <f t="shared" si="613"/>
        <v>-0.97250016846938026</v>
      </c>
      <c r="AQ543" s="12">
        <f t="shared" si="614"/>
        <v>-175884</v>
      </c>
      <c r="AR543" s="13">
        <f t="shared" si="615"/>
        <v>-1</v>
      </c>
      <c r="AS543" s="17">
        <f t="shared" si="616"/>
        <v>0</v>
      </c>
      <c r="AT543" s="18" t="e">
        <f t="shared" si="617"/>
        <v>#DIV/0!</v>
      </c>
    </row>
    <row r="544" spans="1:46" ht="14.25" hidden="1" customHeight="1">
      <c r="A544" t="s">
        <v>443</v>
      </c>
      <c r="B544">
        <v>820609</v>
      </c>
      <c r="C544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2692965</v>
      </c>
      <c r="W544" s="1">
        <v>4367868</v>
      </c>
      <c r="X544" s="1">
        <v>4453948</v>
      </c>
      <c r="Y544" s="1">
        <v>4486295</v>
      </c>
      <c r="Z544" s="1">
        <v>4555312</v>
      </c>
      <c r="AA544" s="1">
        <v>4685000</v>
      </c>
      <c r="AB544" s="1">
        <v>4758126</v>
      </c>
      <c r="AC544" s="1">
        <v>4777723</v>
      </c>
      <c r="AD544" s="1">
        <v>4807010</v>
      </c>
      <c r="AE544" s="1">
        <v>4857103</v>
      </c>
      <c r="AF544" s="1">
        <v>2362511</v>
      </c>
      <c r="AG544" s="1">
        <v>751451</v>
      </c>
      <c r="AH544" s="1">
        <v>675004</v>
      </c>
      <c r="AI544" s="1">
        <v>642657</v>
      </c>
      <c r="AJ544" s="1">
        <v>573639</v>
      </c>
      <c r="AK544" s="1">
        <v>445494</v>
      </c>
      <c r="AL544" s="1">
        <v>372368</v>
      </c>
      <c r="AM544" s="1">
        <v>352771</v>
      </c>
      <c r="AO544" s="7">
        <f t="shared" si="612"/>
        <v>0</v>
      </c>
      <c r="AP544" s="8" t="e">
        <f t="shared" si="613"/>
        <v>#DIV/0!</v>
      </c>
      <c r="AQ544" s="12">
        <f t="shared" si="614"/>
        <v>4685000</v>
      </c>
      <c r="AR544" s="13" t="e">
        <f t="shared" si="615"/>
        <v>#DIV/0!</v>
      </c>
      <c r="AS544" s="17">
        <f t="shared" si="616"/>
        <v>-4332229</v>
      </c>
      <c r="AT544" s="18">
        <f t="shared" si="617"/>
        <v>-0.92470202774813237</v>
      </c>
    </row>
    <row r="545" spans="1:46" ht="14.25" hidden="1" customHeight="1">
      <c r="A545" t="s">
        <v>444</v>
      </c>
      <c r="B545">
        <v>820612</v>
      </c>
      <c r="C545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O545" s="7">
        <f t="shared" si="612"/>
        <v>0</v>
      </c>
      <c r="AP545" s="8" t="e">
        <f t="shared" si="613"/>
        <v>#DIV/0!</v>
      </c>
      <c r="AQ545" s="12">
        <f t="shared" si="614"/>
        <v>0</v>
      </c>
      <c r="AR545" s="13" t="e">
        <f t="shared" si="615"/>
        <v>#DIV/0!</v>
      </c>
      <c r="AS545" s="17">
        <f t="shared" si="616"/>
        <v>0</v>
      </c>
      <c r="AT545" s="18" t="e">
        <f t="shared" si="617"/>
        <v>#DIV/0!</v>
      </c>
    </row>
    <row r="546" spans="1:46" ht="14.25" hidden="1" customHeight="1">
      <c r="A546" t="s">
        <v>445</v>
      </c>
      <c r="B546">
        <v>820610</v>
      </c>
      <c r="C546">
        <v>1763675</v>
      </c>
      <c r="D546" s="1">
        <v>1763643</v>
      </c>
      <c r="E546" s="1">
        <v>1759315</v>
      </c>
      <c r="F546" s="1">
        <v>1639476</v>
      </c>
      <c r="G546" s="1">
        <v>1425668</v>
      </c>
      <c r="H546" s="1">
        <v>1400692</v>
      </c>
      <c r="I546" s="1">
        <v>1389310</v>
      </c>
      <c r="J546" s="1">
        <v>1972012</v>
      </c>
      <c r="K546" s="1">
        <v>2889926</v>
      </c>
      <c r="L546" s="1">
        <v>3046811</v>
      </c>
      <c r="M546" s="1">
        <v>3145318</v>
      </c>
      <c r="N546" s="1">
        <v>4015922</v>
      </c>
      <c r="O546" s="1">
        <v>4491788</v>
      </c>
      <c r="P546" s="1">
        <v>6488764</v>
      </c>
      <c r="Q546" s="1">
        <v>8194166</v>
      </c>
      <c r="R546" s="1">
        <v>9929354</v>
      </c>
      <c r="S546" s="1">
        <v>9928220</v>
      </c>
      <c r="T546" s="1">
        <v>9989963</v>
      </c>
      <c r="U546" s="1">
        <v>10154972</v>
      </c>
      <c r="V546" s="1">
        <v>9870953</v>
      </c>
      <c r="W546" s="1">
        <v>9405716</v>
      </c>
      <c r="X546" s="1">
        <v>9591080</v>
      </c>
      <c r="Y546" s="1">
        <v>9660735</v>
      </c>
      <c r="Z546" s="1">
        <v>9809357</v>
      </c>
      <c r="AA546" s="1">
        <v>10088625</v>
      </c>
      <c r="AB546" s="1">
        <v>10246093</v>
      </c>
      <c r="AC546" s="1">
        <v>10288294</v>
      </c>
      <c r="AD546" s="1">
        <v>10351359</v>
      </c>
      <c r="AE546" s="1">
        <v>10459231</v>
      </c>
      <c r="AF546" s="1">
        <v>11296796</v>
      </c>
      <c r="AG546" s="1">
        <v>11868035</v>
      </c>
      <c r="AH546" s="1">
        <v>11990448</v>
      </c>
      <c r="AI546" s="1">
        <v>12094993</v>
      </c>
      <c r="AJ546" s="1">
        <v>12211786</v>
      </c>
      <c r="AK546" s="1">
        <v>12342213</v>
      </c>
      <c r="AL546" s="1">
        <v>12439393</v>
      </c>
      <c r="AM546" s="1">
        <v>12528583</v>
      </c>
      <c r="AO546" s="7">
        <f t="shared" si="612"/>
        <v>2728113</v>
      </c>
      <c r="AP546" s="8">
        <f t="shared" si="613"/>
        <v>1.546834309042199</v>
      </c>
      <c r="AQ546" s="12">
        <f t="shared" si="614"/>
        <v>5596837</v>
      </c>
      <c r="AR546" s="13">
        <f t="shared" si="615"/>
        <v>1.2460153952056507</v>
      </c>
      <c r="AS546" s="17">
        <f t="shared" si="616"/>
        <v>2439958</v>
      </c>
      <c r="AT546" s="18">
        <f t="shared" si="617"/>
        <v>0.24185238325341651</v>
      </c>
    </row>
    <row r="547" spans="1:46" ht="14.25" hidden="1" customHeight="1">
      <c r="A547" t="s">
        <v>446</v>
      </c>
      <c r="B547">
        <v>820611</v>
      </c>
      <c r="C547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O547" s="7">
        <f t="shared" si="612"/>
        <v>0</v>
      </c>
      <c r="AP547" s="8" t="e">
        <f t="shared" si="613"/>
        <v>#DIV/0!</v>
      </c>
      <c r="AQ547" s="12">
        <f t="shared" si="614"/>
        <v>0</v>
      </c>
      <c r="AR547" s="13" t="e">
        <f t="shared" si="615"/>
        <v>#DIV/0!</v>
      </c>
      <c r="AS547" s="17">
        <f t="shared" si="616"/>
        <v>0</v>
      </c>
      <c r="AT547" s="18" t="e">
        <f t="shared" si="617"/>
        <v>#DIV/0!</v>
      </c>
    </row>
    <row r="548" spans="1:46" ht="14.25" hidden="1" customHeight="1">
      <c r="A548" t="s">
        <v>447</v>
      </c>
      <c r="B548">
        <v>820613</v>
      </c>
      <c r="C548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O548" s="7">
        <f t="shared" si="612"/>
        <v>0</v>
      </c>
      <c r="AP548" s="8" t="e">
        <f t="shared" si="613"/>
        <v>#DIV/0!</v>
      </c>
      <c r="AQ548" s="12">
        <f t="shared" si="614"/>
        <v>0</v>
      </c>
      <c r="AR548" s="13" t="e">
        <f t="shared" si="615"/>
        <v>#DIV/0!</v>
      </c>
      <c r="AS548" s="17">
        <f t="shared" si="616"/>
        <v>0</v>
      </c>
      <c r="AT548" s="18" t="e">
        <f t="shared" si="617"/>
        <v>#DIV/0!</v>
      </c>
    </row>
    <row r="549" spans="1:46" ht="14.25" hidden="1" customHeight="1">
      <c r="A549" t="s">
        <v>448</v>
      </c>
      <c r="B549">
        <v>820615</v>
      </c>
      <c r="C549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O549" s="7">
        <f t="shared" si="612"/>
        <v>0</v>
      </c>
      <c r="AP549" s="8" t="e">
        <f t="shared" si="613"/>
        <v>#DIV/0!</v>
      </c>
      <c r="AQ549" s="12">
        <f t="shared" si="614"/>
        <v>0</v>
      </c>
      <c r="AR549" s="13" t="e">
        <f t="shared" si="615"/>
        <v>#DIV/0!</v>
      </c>
      <c r="AS549" s="17">
        <f t="shared" si="616"/>
        <v>0</v>
      </c>
      <c r="AT549" s="18" t="e">
        <f t="shared" si="617"/>
        <v>#DIV/0!</v>
      </c>
    </row>
    <row r="550" spans="1:46" ht="14.25" hidden="1" customHeight="1">
      <c r="A550" t="s">
        <v>449</v>
      </c>
      <c r="B550">
        <v>820616</v>
      </c>
      <c r="C550">
        <v>61697</v>
      </c>
      <c r="D550" s="1">
        <v>61317</v>
      </c>
      <c r="E550" s="1">
        <v>60925</v>
      </c>
      <c r="F550" s="1">
        <v>60539</v>
      </c>
      <c r="G550" s="1">
        <v>60149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O550" s="7">
        <f t="shared" si="612"/>
        <v>-61697</v>
      </c>
      <c r="AP550" s="8">
        <f t="shared" si="613"/>
        <v>-1</v>
      </c>
      <c r="AQ550" s="12">
        <f t="shared" si="614"/>
        <v>0</v>
      </c>
      <c r="AR550" s="13" t="e">
        <f t="shared" si="615"/>
        <v>#DIV/0!</v>
      </c>
      <c r="AS550" s="17">
        <f t="shared" si="616"/>
        <v>0</v>
      </c>
      <c r="AT550" s="18" t="e">
        <f t="shared" si="617"/>
        <v>#DIV/0!</v>
      </c>
    </row>
    <row r="551" spans="1:46" ht="14.25" hidden="1" customHeight="1">
      <c r="A551" t="s">
        <v>450</v>
      </c>
      <c r="B551">
        <v>820619</v>
      </c>
      <c r="C55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102810</v>
      </c>
      <c r="V551" s="1">
        <v>103348</v>
      </c>
      <c r="W551" s="1">
        <v>131090</v>
      </c>
      <c r="X551" s="1">
        <v>133674</v>
      </c>
      <c r="Y551" s="1">
        <v>134645</v>
      </c>
      <c r="Z551" s="1">
        <v>136716</v>
      </c>
      <c r="AA551" s="1">
        <v>140608</v>
      </c>
      <c r="AB551" s="1">
        <v>142803</v>
      </c>
      <c r="AC551" s="1">
        <v>143391</v>
      </c>
      <c r="AD551" s="1">
        <v>144270</v>
      </c>
      <c r="AE551" s="1">
        <v>145773</v>
      </c>
      <c r="AF551" s="1">
        <v>157447</v>
      </c>
      <c r="AG551" s="1">
        <v>165408</v>
      </c>
      <c r="AH551" s="1">
        <v>167115</v>
      </c>
      <c r="AI551" s="1">
        <v>168572</v>
      </c>
      <c r="AJ551" s="1">
        <v>170199</v>
      </c>
      <c r="AK551" s="1">
        <v>172017</v>
      </c>
      <c r="AL551" s="1">
        <v>173372</v>
      </c>
      <c r="AM551" s="1">
        <v>80456</v>
      </c>
      <c r="AO551" s="7">
        <f t="shared" si="612"/>
        <v>0</v>
      </c>
      <c r="AP551" s="8" t="e">
        <f t="shared" si="613"/>
        <v>#DIV/0!</v>
      </c>
      <c r="AQ551" s="12">
        <f t="shared" si="614"/>
        <v>140608</v>
      </c>
      <c r="AR551" s="13" t="e">
        <f t="shared" si="615"/>
        <v>#DIV/0!</v>
      </c>
      <c r="AS551" s="17">
        <f t="shared" si="616"/>
        <v>-60152</v>
      </c>
      <c r="AT551" s="18">
        <f t="shared" si="617"/>
        <v>-0.42779927173418297</v>
      </c>
    </row>
    <row r="552" spans="1:46" ht="14.25" hidden="1" customHeight="1">
      <c r="A552" t="s">
        <v>451</v>
      </c>
      <c r="B552">
        <v>820620</v>
      </c>
      <c r="C552">
        <v>405302</v>
      </c>
      <c r="D552" s="1">
        <v>406995</v>
      </c>
      <c r="E552" s="1">
        <v>409431</v>
      </c>
      <c r="F552" s="1">
        <v>412442</v>
      </c>
      <c r="G552" s="1">
        <v>413417</v>
      </c>
      <c r="H552" s="1">
        <v>413397</v>
      </c>
      <c r="I552" s="1">
        <v>415416</v>
      </c>
      <c r="J552" s="1">
        <v>417508</v>
      </c>
      <c r="K552" s="1">
        <v>419576</v>
      </c>
      <c r="L552" s="1">
        <v>418505</v>
      </c>
      <c r="M552" s="1">
        <v>419488</v>
      </c>
      <c r="N552" s="1">
        <v>407342</v>
      </c>
      <c r="O552" s="1">
        <v>409565</v>
      </c>
      <c r="P552" s="1">
        <v>411670</v>
      </c>
      <c r="Q552" s="1">
        <v>413379</v>
      </c>
      <c r="R552" s="1">
        <v>415086</v>
      </c>
      <c r="S552" s="1">
        <v>416870</v>
      </c>
      <c r="T552" s="1">
        <v>422770</v>
      </c>
      <c r="U552" s="1">
        <v>304304</v>
      </c>
      <c r="V552" s="1">
        <v>305005</v>
      </c>
      <c r="W552" s="1">
        <v>275539</v>
      </c>
      <c r="X552" s="1">
        <v>280969</v>
      </c>
      <c r="Y552" s="1">
        <v>283010</v>
      </c>
      <c r="Z552" s="1">
        <v>287364</v>
      </c>
      <c r="AA552" s="1">
        <v>295545</v>
      </c>
      <c r="AB552" s="1">
        <v>300158</v>
      </c>
      <c r="AC552" s="1">
        <v>301394</v>
      </c>
      <c r="AD552" s="1">
        <v>303241</v>
      </c>
      <c r="AE552" s="1">
        <v>306402</v>
      </c>
      <c r="AF552" s="1">
        <v>330938</v>
      </c>
      <c r="AG552" s="1">
        <v>347672</v>
      </c>
      <c r="AH552" s="1">
        <v>351258</v>
      </c>
      <c r="AI552" s="1">
        <v>354321</v>
      </c>
      <c r="AJ552" s="1">
        <v>357742</v>
      </c>
      <c r="AK552" s="1">
        <v>361563</v>
      </c>
      <c r="AL552" s="1">
        <v>364410</v>
      </c>
      <c r="AM552" s="1">
        <v>367023</v>
      </c>
      <c r="AO552" s="7">
        <f t="shared" si="612"/>
        <v>4263</v>
      </c>
      <c r="AP552" s="8">
        <f t="shared" si="613"/>
        <v>1.0518082812322582E-2</v>
      </c>
      <c r="AQ552" s="12">
        <f t="shared" si="614"/>
        <v>-114020</v>
      </c>
      <c r="AR552" s="13">
        <f t="shared" si="615"/>
        <v>-0.27839292908329571</v>
      </c>
      <c r="AS552" s="17">
        <f t="shared" si="616"/>
        <v>71478</v>
      </c>
      <c r="AT552" s="18">
        <f t="shared" si="617"/>
        <v>0.24185149469623912</v>
      </c>
    </row>
    <row r="553" spans="1:46" ht="14.25" hidden="1" customHeight="1">
      <c r="A553" t="s">
        <v>452</v>
      </c>
      <c r="B553">
        <v>820625</v>
      </c>
      <c r="C553">
        <v>1039496</v>
      </c>
      <c r="D553" s="1">
        <v>1037990</v>
      </c>
      <c r="E553" s="1">
        <v>925217</v>
      </c>
      <c r="F553" s="1">
        <v>918515</v>
      </c>
      <c r="G553" s="1">
        <v>881140</v>
      </c>
      <c r="H553" s="1">
        <v>847738</v>
      </c>
      <c r="I553" s="1">
        <v>768332</v>
      </c>
      <c r="J553" s="1">
        <v>765553</v>
      </c>
      <c r="K553" s="1">
        <v>765987</v>
      </c>
      <c r="L553" s="1">
        <v>767230</v>
      </c>
      <c r="M553" s="1">
        <v>768394</v>
      </c>
      <c r="N553" s="1">
        <v>769910</v>
      </c>
      <c r="O553" s="1">
        <v>740192</v>
      </c>
      <c r="P553" s="1">
        <v>703561</v>
      </c>
      <c r="Q553" s="1">
        <v>900754</v>
      </c>
      <c r="R553" s="1">
        <v>1138101</v>
      </c>
      <c r="S553" s="1">
        <v>1509860</v>
      </c>
      <c r="T553" s="1">
        <v>1853615</v>
      </c>
      <c r="U553" s="1">
        <v>1882618</v>
      </c>
      <c r="V553" s="1">
        <v>3991111</v>
      </c>
      <c r="W553" s="1">
        <v>4043502</v>
      </c>
      <c r="X553" s="1">
        <v>4123190</v>
      </c>
      <c r="Y553" s="1">
        <v>4153135</v>
      </c>
      <c r="Z553" s="1">
        <v>4217027</v>
      </c>
      <c r="AA553" s="1">
        <v>4337084</v>
      </c>
      <c r="AB553" s="1">
        <v>4404779</v>
      </c>
      <c r="AC553" s="1">
        <v>4422921</v>
      </c>
      <c r="AD553" s="1">
        <v>4450033</v>
      </c>
      <c r="AE553" s="1">
        <v>4496407</v>
      </c>
      <c r="AF553" s="1">
        <v>4856475</v>
      </c>
      <c r="AG553" s="1">
        <v>5102049</v>
      </c>
      <c r="AH553" s="1">
        <v>5154674</v>
      </c>
      <c r="AI553" s="1">
        <v>5199618</v>
      </c>
      <c r="AJ553" s="1">
        <v>5249827</v>
      </c>
      <c r="AK553" s="1">
        <v>5305898</v>
      </c>
      <c r="AL553" s="1">
        <v>5347675</v>
      </c>
      <c r="AM553" s="1">
        <v>5386018</v>
      </c>
      <c r="AO553" s="7">
        <f t="shared" si="612"/>
        <v>-299304</v>
      </c>
      <c r="AP553" s="8">
        <f t="shared" si="613"/>
        <v>-0.28793184389357918</v>
      </c>
      <c r="AQ553" s="12">
        <f t="shared" si="614"/>
        <v>3596892</v>
      </c>
      <c r="AR553" s="13">
        <f t="shared" si="615"/>
        <v>4.8594040465176604</v>
      </c>
      <c r="AS553" s="17">
        <f t="shared" si="616"/>
        <v>1048934</v>
      </c>
      <c r="AT553" s="18">
        <f t="shared" si="617"/>
        <v>0.24185235978828179</v>
      </c>
    </row>
    <row r="554" spans="1:46" ht="14.25" hidden="1" customHeight="1">
      <c r="A554" t="s">
        <v>453</v>
      </c>
      <c r="B554">
        <v>820626</v>
      </c>
      <c r="C554">
        <v>10591101</v>
      </c>
      <c r="D554" s="1">
        <v>10616305</v>
      </c>
      <c r="E554" s="1">
        <v>10524384</v>
      </c>
      <c r="F554" s="1">
        <v>10552567</v>
      </c>
      <c r="G554" s="1">
        <v>10401167</v>
      </c>
      <c r="H554" s="1">
        <v>10359235</v>
      </c>
      <c r="I554" s="1">
        <v>9871906</v>
      </c>
      <c r="J554" s="1">
        <v>9875229</v>
      </c>
      <c r="K554" s="1">
        <v>9870588</v>
      </c>
      <c r="L554" s="1">
        <v>9891659</v>
      </c>
      <c r="M554" s="1">
        <v>9911730</v>
      </c>
      <c r="N554" s="1">
        <v>9938796</v>
      </c>
      <c r="O554" s="1">
        <v>9912980</v>
      </c>
      <c r="P554" s="1">
        <v>9130555</v>
      </c>
      <c r="Q554" s="1">
        <v>7718702</v>
      </c>
      <c r="R554" s="1">
        <v>7176890</v>
      </c>
      <c r="S554" s="1">
        <v>6045267</v>
      </c>
      <c r="T554" s="1">
        <v>5015093</v>
      </c>
      <c r="U554" s="1">
        <v>3598090</v>
      </c>
      <c r="V554" s="1">
        <v>175356</v>
      </c>
      <c r="W554" s="1">
        <v>56628</v>
      </c>
      <c r="X554" s="1">
        <v>57744</v>
      </c>
      <c r="Y554" s="1">
        <v>58163</v>
      </c>
      <c r="Z554" s="1">
        <v>59058</v>
      </c>
      <c r="AA554" s="1">
        <v>60739</v>
      </c>
      <c r="AB554" s="1">
        <v>61687</v>
      </c>
      <c r="AC554" s="1">
        <v>61941</v>
      </c>
      <c r="AD554" s="1">
        <v>62321</v>
      </c>
      <c r="AE554" s="1">
        <v>62971</v>
      </c>
      <c r="AF554" s="1">
        <v>68013</v>
      </c>
      <c r="AG554" s="1">
        <v>71452</v>
      </c>
      <c r="AH554" s="1">
        <v>72189</v>
      </c>
      <c r="AI554" s="1">
        <v>72819</v>
      </c>
      <c r="AJ554" s="1">
        <v>73522</v>
      </c>
      <c r="AK554" s="1">
        <v>74307</v>
      </c>
      <c r="AL554" s="1">
        <v>74892</v>
      </c>
      <c r="AM554" s="1">
        <v>75429</v>
      </c>
      <c r="AO554" s="7">
        <f t="shared" si="612"/>
        <v>-678121</v>
      </c>
      <c r="AP554" s="8">
        <f t="shared" si="613"/>
        <v>-6.4027432086616876E-2</v>
      </c>
      <c r="AQ554" s="12">
        <f t="shared" si="614"/>
        <v>-9852241</v>
      </c>
      <c r="AR554" s="13">
        <f t="shared" si="615"/>
        <v>-0.99387278093973763</v>
      </c>
      <c r="AS554" s="17">
        <f t="shared" si="616"/>
        <v>14690</v>
      </c>
      <c r="AT554" s="18">
        <f t="shared" si="617"/>
        <v>0.24185449217142208</v>
      </c>
    </row>
    <row r="555" spans="1:46" ht="14.25" hidden="1" customHeight="1">
      <c r="A555" t="s">
        <v>454</v>
      </c>
      <c r="B555">
        <v>820630</v>
      </c>
      <c r="C555">
        <v>839817</v>
      </c>
      <c r="D555" s="1">
        <v>823148</v>
      </c>
      <c r="E555" s="1">
        <v>810907</v>
      </c>
      <c r="F555" s="1">
        <v>800892</v>
      </c>
      <c r="G555" s="1">
        <v>801706</v>
      </c>
      <c r="H555" s="1">
        <v>802587</v>
      </c>
      <c r="I555" s="1">
        <v>801618</v>
      </c>
      <c r="J555" s="1">
        <v>802328</v>
      </c>
      <c r="K555" s="1">
        <v>803299</v>
      </c>
      <c r="L555" s="1">
        <v>795781</v>
      </c>
      <c r="M555" s="1">
        <v>791745</v>
      </c>
      <c r="N555" s="1">
        <v>777974</v>
      </c>
      <c r="O555" s="1">
        <v>773206</v>
      </c>
      <c r="P555" s="1">
        <v>713475</v>
      </c>
      <c r="Q555" s="1">
        <v>714417</v>
      </c>
      <c r="R555" s="1">
        <v>714425</v>
      </c>
      <c r="S555" s="1">
        <v>709946</v>
      </c>
      <c r="T555" s="1">
        <v>711090</v>
      </c>
      <c r="U555" s="1">
        <v>708870</v>
      </c>
      <c r="V555" s="1">
        <v>714561</v>
      </c>
      <c r="W555" s="1">
        <v>692321</v>
      </c>
      <c r="X555" s="1">
        <v>705965</v>
      </c>
      <c r="Y555" s="1">
        <v>711092</v>
      </c>
      <c r="Z555" s="1">
        <v>722032</v>
      </c>
      <c r="AA555" s="1">
        <v>742588</v>
      </c>
      <c r="AB555" s="1">
        <v>754179</v>
      </c>
      <c r="AC555" s="1">
        <v>757285</v>
      </c>
      <c r="AD555" s="1">
        <v>761927</v>
      </c>
      <c r="AE555" s="1">
        <v>769867</v>
      </c>
      <c r="AF555" s="1">
        <v>831517</v>
      </c>
      <c r="AG555" s="1">
        <v>873564</v>
      </c>
      <c r="AH555" s="1">
        <v>882574</v>
      </c>
      <c r="AI555" s="1">
        <v>890270</v>
      </c>
      <c r="AJ555" s="1">
        <v>898866</v>
      </c>
      <c r="AK555" s="1">
        <v>908467</v>
      </c>
      <c r="AL555" s="1">
        <v>915620</v>
      </c>
      <c r="AM555" s="1">
        <v>922185</v>
      </c>
      <c r="AO555" s="7">
        <f t="shared" si="612"/>
        <v>-66611</v>
      </c>
      <c r="AP555" s="8">
        <f t="shared" si="613"/>
        <v>-7.9316089100363585E-2</v>
      </c>
      <c r="AQ555" s="12">
        <f t="shared" si="614"/>
        <v>-30618</v>
      </c>
      <c r="AR555" s="13">
        <f t="shared" si="615"/>
        <v>-3.9598761520215797E-2</v>
      </c>
      <c r="AS555" s="17">
        <f t="shared" si="616"/>
        <v>179597</v>
      </c>
      <c r="AT555" s="18">
        <f t="shared" si="617"/>
        <v>0.24185281744385856</v>
      </c>
    </row>
    <row r="556" spans="1:46" ht="14.25" hidden="1" customHeight="1">
      <c r="A556" t="s">
        <v>455</v>
      </c>
      <c r="B556">
        <v>820634</v>
      </c>
      <c r="C556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O556" s="7">
        <f t="shared" si="612"/>
        <v>0</v>
      </c>
      <c r="AP556" s="8" t="e">
        <f t="shared" si="613"/>
        <v>#DIV/0!</v>
      </c>
      <c r="AQ556" s="12">
        <f t="shared" si="614"/>
        <v>0</v>
      </c>
      <c r="AR556" s="13" t="e">
        <f t="shared" si="615"/>
        <v>#DIV/0!</v>
      </c>
      <c r="AS556" s="17">
        <f t="shared" si="616"/>
        <v>0</v>
      </c>
      <c r="AT556" s="18" t="e">
        <f t="shared" si="617"/>
        <v>#DIV/0!</v>
      </c>
    </row>
    <row r="557" spans="1:46" ht="14.25" hidden="1" customHeight="1">
      <c r="A557" t="s">
        <v>456</v>
      </c>
      <c r="B557">
        <v>820635</v>
      </c>
      <c r="C557">
        <v>208994</v>
      </c>
      <c r="D557" s="1">
        <v>133970</v>
      </c>
      <c r="E557" s="1">
        <v>133084</v>
      </c>
      <c r="F557" s="1">
        <v>133217</v>
      </c>
      <c r="G557" s="1">
        <v>127224</v>
      </c>
      <c r="H557" s="1">
        <v>127350</v>
      </c>
      <c r="I557" s="1">
        <v>77633</v>
      </c>
      <c r="J557" s="1">
        <v>69144</v>
      </c>
      <c r="K557" s="1">
        <v>69274</v>
      </c>
      <c r="L557" s="1">
        <v>69399</v>
      </c>
      <c r="M557" s="1">
        <v>68277</v>
      </c>
      <c r="N557" s="1">
        <v>68400</v>
      </c>
      <c r="O557" s="1">
        <v>67996</v>
      </c>
      <c r="P557" s="1">
        <v>76940</v>
      </c>
      <c r="Q557" s="1">
        <v>73898</v>
      </c>
      <c r="R557" s="1">
        <v>74043</v>
      </c>
      <c r="S557" s="1">
        <v>61044</v>
      </c>
      <c r="T557" s="1">
        <v>93364</v>
      </c>
      <c r="U557" s="1">
        <v>106333</v>
      </c>
      <c r="V557" s="1">
        <v>105236</v>
      </c>
      <c r="W557" s="1">
        <v>105390</v>
      </c>
      <c r="X557" s="1">
        <v>107467</v>
      </c>
      <c r="Y557" s="1">
        <v>108248</v>
      </c>
      <c r="Z557" s="1">
        <v>109913</v>
      </c>
      <c r="AA557" s="1">
        <v>113042</v>
      </c>
      <c r="AB557" s="1">
        <v>114807</v>
      </c>
      <c r="AC557" s="1">
        <v>115279</v>
      </c>
      <c r="AD557" s="1">
        <v>115986</v>
      </c>
      <c r="AE557" s="1">
        <v>117195</v>
      </c>
      <c r="AF557" s="1">
        <v>126580</v>
      </c>
      <c r="AG557" s="1">
        <v>132980</v>
      </c>
      <c r="AH557" s="1">
        <v>134352</v>
      </c>
      <c r="AI557" s="1">
        <v>135523</v>
      </c>
      <c r="AJ557" s="1">
        <v>136832</v>
      </c>
      <c r="AK557" s="1">
        <v>138293</v>
      </c>
      <c r="AL557" s="1">
        <v>139382</v>
      </c>
      <c r="AM557" s="1">
        <v>140382</v>
      </c>
      <c r="AO557" s="7">
        <f t="shared" si="612"/>
        <v>-140998</v>
      </c>
      <c r="AP557" s="8">
        <f t="shared" si="613"/>
        <v>-0.67465094691713645</v>
      </c>
      <c r="AQ557" s="12">
        <f t="shared" si="614"/>
        <v>45046</v>
      </c>
      <c r="AR557" s="13">
        <f t="shared" si="615"/>
        <v>0.66248014589093485</v>
      </c>
      <c r="AS557" s="17">
        <f t="shared" si="616"/>
        <v>27340</v>
      </c>
      <c r="AT557" s="18">
        <f t="shared" si="617"/>
        <v>0.24185700889934725</v>
      </c>
    </row>
    <row r="558" spans="1:46" ht="14.25" hidden="1" customHeight="1">
      <c r="A558" t="s">
        <v>457</v>
      </c>
      <c r="B558">
        <v>820640</v>
      </c>
      <c r="C558">
        <v>3070996</v>
      </c>
      <c r="D558" s="1">
        <v>3059572</v>
      </c>
      <c r="E558" s="1">
        <v>3039168</v>
      </c>
      <c r="F558" s="1">
        <v>2863310</v>
      </c>
      <c r="G558" s="1">
        <v>2720414</v>
      </c>
      <c r="H558" s="1">
        <v>2618003</v>
      </c>
      <c r="I558" s="1">
        <v>2591221</v>
      </c>
      <c r="J558" s="1">
        <v>2592387</v>
      </c>
      <c r="K558" s="1">
        <v>2571424</v>
      </c>
      <c r="L558" s="1">
        <v>2499516</v>
      </c>
      <c r="M558" s="1">
        <v>2482776</v>
      </c>
      <c r="N558" s="1">
        <v>2421328</v>
      </c>
      <c r="O558" s="1">
        <v>2403808</v>
      </c>
      <c r="P558" s="1">
        <v>2313105</v>
      </c>
      <c r="Q558" s="1">
        <v>2227060</v>
      </c>
      <c r="R558" s="1">
        <v>2194649</v>
      </c>
      <c r="S558" s="1">
        <v>2180232</v>
      </c>
      <c r="T558" s="1">
        <v>2190368</v>
      </c>
      <c r="U558" s="1">
        <v>2171917</v>
      </c>
      <c r="V558" s="1">
        <v>2145443</v>
      </c>
      <c r="W558" s="1">
        <v>2082520</v>
      </c>
      <c r="X558" s="1">
        <v>2123561</v>
      </c>
      <c r="Y558" s="1">
        <v>2138984</v>
      </c>
      <c r="Z558" s="1">
        <v>2171890</v>
      </c>
      <c r="AA558" s="1">
        <v>2233723</v>
      </c>
      <c r="AB558" s="1">
        <v>2268588</v>
      </c>
      <c r="AC558" s="1">
        <v>2277931</v>
      </c>
      <c r="AD558" s="1">
        <v>2291895</v>
      </c>
      <c r="AE558" s="1">
        <v>2315779</v>
      </c>
      <c r="AF558" s="1">
        <v>2501224</v>
      </c>
      <c r="AG558" s="1">
        <v>2627702</v>
      </c>
      <c r="AH558" s="1">
        <v>2654805</v>
      </c>
      <c r="AI558" s="1">
        <v>2677953</v>
      </c>
      <c r="AJ558" s="1">
        <v>2703812</v>
      </c>
      <c r="AK558" s="1">
        <v>2732690</v>
      </c>
      <c r="AL558" s="1">
        <v>2754206</v>
      </c>
      <c r="AM558" s="1">
        <v>2773954</v>
      </c>
      <c r="AO558" s="7">
        <f t="shared" si="612"/>
        <v>-667188</v>
      </c>
      <c r="AP558" s="8">
        <f t="shared" si="613"/>
        <v>-0.21725459753122445</v>
      </c>
      <c r="AQ558" s="12">
        <f t="shared" si="614"/>
        <v>-170085</v>
      </c>
      <c r="AR558" s="13">
        <f t="shared" si="615"/>
        <v>-7.0756483046898966E-2</v>
      </c>
      <c r="AS558" s="17">
        <f t="shared" si="616"/>
        <v>540231</v>
      </c>
      <c r="AT558" s="18">
        <f t="shared" si="617"/>
        <v>0.24185227980371793</v>
      </c>
    </row>
    <row r="559" spans="1:46" ht="14.25" hidden="1" customHeight="1">
      <c r="A559" t="s">
        <v>458</v>
      </c>
      <c r="B559">
        <v>820645</v>
      </c>
      <c r="C559">
        <v>208831</v>
      </c>
      <c r="D559" s="1">
        <v>190386</v>
      </c>
      <c r="E559" s="1">
        <v>179996</v>
      </c>
      <c r="F559" s="1">
        <v>172759</v>
      </c>
      <c r="G559" s="1">
        <v>173026</v>
      </c>
      <c r="H559" s="1">
        <v>173321</v>
      </c>
      <c r="I559" s="1">
        <v>173671</v>
      </c>
      <c r="J559" s="1">
        <v>174040</v>
      </c>
      <c r="K559" s="1">
        <v>173905</v>
      </c>
      <c r="L559" s="1">
        <v>174260</v>
      </c>
      <c r="M559" s="1">
        <v>174630</v>
      </c>
      <c r="N559" s="1">
        <v>174987</v>
      </c>
      <c r="O559" s="1">
        <v>173674</v>
      </c>
      <c r="P559" s="1">
        <v>174042</v>
      </c>
      <c r="Q559" s="1">
        <v>161907</v>
      </c>
      <c r="R559" s="1">
        <v>160724</v>
      </c>
      <c r="S559" s="1">
        <v>251145</v>
      </c>
      <c r="T559" s="1">
        <v>248057</v>
      </c>
      <c r="U559" s="1">
        <v>198241</v>
      </c>
      <c r="V559" s="1">
        <v>198662</v>
      </c>
      <c r="W559" s="1">
        <v>199714</v>
      </c>
      <c r="X559" s="1">
        <v>203650</v>
      </c>
      <c r="Y559" s="1">
        <v>205129</v>
      </c>
      <c r="Z559" s="1">
        <v>208284</v>
      </c>
      <c r="AA559" s="1">
        <v>214214</v>
      </c>
      <c r="AB559" s="1">
        <v>217558</v>
      </c>
      <c r="AC559" s="1">
        <v>218454</v>
      </c>
      <c r="AD559" s="1">
        <v>219793</v>
      </c>
      <c r="AE559" s="1">
        <v>222083</v>
      </c>
      <c r="AF559" s="1">
        <v>239867</v>
      </c>
      <c r="AG559" s="1">
        <v>251997</v>
      </c>
      <c r="AH559" s="1">
        <v>254596</v>
      </c>
      <c r="AI559" s="1">
        <v>256816</v>
      </c>
      <c r="AJ559" s="1">
        <v>259296</v>
      </c>
      <c r="AK559" s="1">
        <v>262065</v>
      </c>
      <c r="AL559" s="1">
        <v>264128</v>
      </c>
      <c r="AM559" s="1">
        <v>266022</v>
      </c>
      <c r="AO559" s="7">
        <f t="shared" si="612"/>
        <v>-35157</v>
      </c>
      <c r="AP559" s="8">
        <f t="shared" si="613"/>
        <v>-0.16835144207517083</v>
      </c>
      <c r="AQ559" s="12">
        <f t="shared" si="614"/>
        <v>40540</v>
      </c>
      <c r="AR559" s="13">
        <f t="shared" si="615"/>
        <v>0.23342584382233378</v>
      </c>
      <c r="AS559" s="17">
        <f t="shared" si="616"/>
        <v>51808</v>
      </c>
      <c r="AT559" s="18">
        <f t="shared" si="617"/>
        <v>0.24185160633758773</v>
      </c>
    </row>
    <row r="560" spans="1:46" ht="14.25" hidden="1" customHeight="1">
      <c r="A560" t="s">
        <v>459</v>
      </c>
      <c r="B560">
        <v>820650</v>
      </c>
      <c r="C560">
        <v>166860</v>
      </c>
      <c r="D560" s="1">
        <v>170919</v>
      </c>
      <c r="E560" s="1">
        <v>176798</v>
      </c>
      <c r="F560" s="1">
        <v>169681</v>
      </c>
      <c r="G560" s="1">
        <v>154157</v>
      </c>
      <c r="H560" s="1">
        <v>80275</v>
      </c>
      <c r="I560" s="1">
        <v>80084</v>
      </c>
      <c r="J560" s="1">
        <v>74529</v>
      </c>
      <c r="K560" s="1">
        <v>74648</v>
      </c>
      <c r="L560" s="1">
        <v>74763</v>
      </c>
      <c r="M560" s="1">
        <v>74859</v>
      </c>
      <c r="N560" s="1">
        <v>74975</v>
      </c>
      <c r="O560" s="1">
        <v>74793</v>
      </c>
      <c r="P560" s="1">
        <v>74907</v>
      </c>
      <c r="Q560" s="1">
        <v>71749</v>
      </c>
      <c r="R560" s="1">
        <v>71883</v>
      </c>
      <c r="S560" s="1">
        <v>72014</v>
      </c>
      <c r="T560" s="1">
        <v>65482</v>
      </c>
      <c r="U560" s="1">
        <v>65628</v>
      </c>
      <c r="V560" s="1">
        <v>65757</v>
      </c>
      <c r="W560" s="1">
        <v>59661</v>
      </c>
      <c r="X560" s="1">
        <v>60837</v>
      </c>
      <c r="Y560" s="1">
        <v>61279</v>
      </c>
      <c r="Z560" s="1">
        <v>62221</v>
      </c>
      <c r="AA560" s="1">
        <v>63993</v>
      </c>
      <c r="AB560" s="1">
        <v>64992</v>
      </c>
      <c r="AC560" s="1">
        <v>65259</v>
      </c>
      <c r="AD560" s="1">
        <v>65659</v>
      </c>
      <c r="AE560" s="1">
        <v>66344</v>
      </c>
      <c r="AF560" s="1">
        <v>71656</v>
      </c>
      <c r="AG560" s="1">
        <v>75280</v>
      </c>
      <c r="AH560" s="1">
        <v>76056</v>
      </c>
      <c r="AI560" s="1">
        <v>76719</v>
      </c>
      <c r="AJ560" s="1">
        <v>77460</v>
      </c>
      <c r="AK560" s="1">
        <v>78288</v>
      </c>
      <c r="AL560" s="1">
        <v>78904</v>
      </c>
      <c r="AM560" s="1">
        <v>79470</v>
      </c>
      <c r="AO560" s="7">
        <f t="shared" si="612"/>
        <v>-92067</v>
      </c>
      <c r="AP560" s="8">
        <f t="shared" si="613"/>
        <v>-0.55176195613088819</v>
      </c>
      <c r="AQ560" s="12">
        <f t="shared" si="614"/>
        <v>-10800</v>
      </c>
      <c r="AR560" s="13">
        <f t="shared" si="615"/>
        <v>-0.14439853997031804</v>
      </c>
      <c r="AS560" s="17">
        <f t="shared" si="616"/>
        <v>15477</v>
      </c>
      <c r="AT560" s="18">
        <f t="shared" si="617"/>
        <v>0.24185457784445163</v>
      </c>
    </row>
    <row r="561" spans="1:46" ht="14.25" hidden="1" customHeight="1">
      <c r="A561" t="s">
        <v>460</v>
      </c>
      <c r="B561">
        <v>820655</v>
      </c>
      <c r="C561">
        <v>261042</v>
      </c>
      <c r="D561" s="1">
        <v>234125</v>
      </c>
      <c r="E561" s="1">
        <v>234441</v>
      </c>
      <c r="F561" s="1">
        <v>234775</v>
      </c>
      <c r="G561" s="1">
        <v>203285</v>
      </c>
      <c r="H561" s="1">
        <v>112460</v>
      </c>
      <c r="I561" s="1">
        <v>112611</v>
      </c>
      <c r="J561" s="1">
        <v>112786</v>
      </c>
      <c r="K561" s="1">
        <v>112964</v>
      </c>
      <c r="L561" s="1">
        <v>113148</v>
      </c>
      <c r="M561" s="1">
        <v>113343</v>
      </c>
      <c r="N561" s="1">
        <v>113533</v>
      </c>
      <c r="O561" s="1">
        <v>113350</v>
      </c>
      <c r="P561" s="1">
        <v>112802</v>
      </c>
      <c r="Q561" s="1">
        <v>107843</v>
      </c>
      <c r="R561" s="1">
        <v>108073</v>
      </c>
      <c r="S561" s="1">
        <v>101555</v>
      </c>
      <c r="T561" s="1">
        <v>101780</v>
      </c>
      <c r="U561" s="1">
        <v>101999</v>
      </c>
      <c r="V561" s="1">
        <v>97509</v>
      </c>
      <c r="W561" s="1">
        <v>97734</v>
      </c>
      <c r="X561" s="1">
        <v>99660</v>
      </c>
      <c r="Y561" s="1">
        <v>100384</v>
      </c>
      <c r="Z561" s="1">
        <v>101929</v>
      </c>
      <c r="AA561" s="1">
        <v>104830</v>
      </c>
      <c r="AB561" s="1">
        <v>106467</v>
      </c>
      <c r="AC561" s="1">
        <v>106905</v>
      </c>
      <c r="AD561" s="1">
        <v>107561</v>
      </c>
      <c r="AE561" s="1">
        <v>108681</v>
      </c>
      <c r="AF561" s="1">
        <v>117385</v>
      </c>
      <c r="AG561" s="1">
        <v>123320</v>
      </c>
      <c r="AH561" s="1">
        <v>124592</v>
      </c>
      <c r="AI561" s="1">
        <v>125679</v>
      </c>
      <c r="AJ561" s="1">
        <v>126892</v>
      </c>
      <c r="AK561" s="1">
        <v>128247</v>
      </c>
      <c r="AL561" s="1">
        <v>129257</v>
      </c>
      <c r="AM561" s="1">
        <v>130184</v>
      </c>
      <c r="AO561" s="7">
        <f t="shared" si="612"/>
        <v>-147692</v>
      </c>
      <c r="AP561" s="8">
        <f t="shared" si="613"/>
        <v>-0.56577868695458966</v>
      </c>
      <c r="AQ561" s="12">
        <f t="shared" si="614"/>
        <v>-8520</v>
      </c>
      <c r="AR561" s="13">
        <f t="shared" si="615"/>
        <v>-7.5165416850463185E-2</v>
      </c>
      <c r="AS561" s="17">
        <f t="shared" si="616"/>
        <v>25354</v>
      </c>
      <c r="AT561" s="18">
        <f t="shared" si="617"/>
        <v>0.24185824668510914</v>
      </c>
    </row>
    <row r="562" spans="1:46" ht="14.25" hidden="1" customHeight="1">
      <c r="A562" t="s">
        <v>461</v>
      </c>
      <c r="B562">
        <v>820660</v>
      </c>
      <c r="C562">
        <v>97972</v>
      </c>
      <c r="D562" s="1">
        <v>90921</v>
      </c>
      <c r="E562" s="1">
        <v>90716</v>
      </c>
      <c r="F562" s="1">
        <v>90708</v>
      </c>
      <c r="G562" s="1">
        <v>90698</v>
      </c>
      <c r="H562" s="1">
        <v>90690</v>
      </c>
      <c r="I562" s="1">
        <v>90680</v>
      </c>
      <c r="J562" s="1">
        <v>87233</v>
      </c>
      <c r="K562" s="1">
        <v>87030</v>
      </c>
      <c r="L562" s="1">
        <v>87019</v>
      </c>
      <c r="M562" s="1">
        <v>87010</v>
      </c>
      <c r="N562" s="1">
        <v>86999</v>
      </c>
      <c r="O562" s="1">
        <v>85870</v>
      </c>
      <c r="P562" s="1">
        <v>85860</v>
      </c>
      <c r="Q562" s="1">
        <v>85649</v>
      </c>
      <c r="R562" s="1">
        <v>85640</v>
      </c>
      <c r="S562" s="1">
        <v>60878</v>
      </c>
      <c r="T562" s="1">
        <v>28677</v>
      </c>
      <c r="U562" s="1">
        <v>15325</v>
      </c>
      <c r="V562" s="1">
        <v>15350</v>
      </c>
      <c r="W562" s="1">
        <v>15375</v>
      </c>
      <c r="X562" s="1">
        <v>15678</v>
      </c>
      <c r="Y562" s="1">
        <v>15792</v>
      </c>
      <c r="Z562" s="1">
        <v>16035</v>
      </c>
      <c r="AA562" s="1">
        <v>16492</v>
      </c>
      <c r="AB562" s="1">
        <v>16749</v>
      </c>
      <c r="AC562" s="1">
        <v>16818</v>
      </c>
      <c r="AD562" s="1">
        <v>16921</v>
      </c>
      <c r="AE562" s="1">
        <v>17098</v>
      </c>
      <c r="AF562" s="1">
        <v>18467</v>
      </c>
      <c r="AG562" s="1">
        <v>19401</v>
      </c>
      <c r="AH562" s="1">
        <v>19601</v>
      </c>
      <c r="AI562" s="1">
        <v>19772</v>
      </c>
      <c r="AJ562" s="1">
        <v>19962</v>
      </c>
      <c r="AK562" s="1">
        <v>20176</v>
      </c>
      <c r="AL562" s="1">
        <v>20335</v>
      </c>
      <c r="AM562" s="1">
        <v>20480</v>
      </c>
      <c r="AO562" s="7">
        <f t="shared" si="612"/>
        <v>-12102</v>
      </c>
      <c r="AP562" s="8">
        <f t="shared" si="613"/>
        <v>-0.12352508880088187</v>
      </c>
      <c r="AQ562" s="12">
        <f t="shared" si="614"/>
        <v>-69378</v>
      </c>
      <c r="AR562" s="13">
        <f t="shared" si="615"/>
        <v>-0.80794223826714795</v>
      </c>
      <c r="AS562" s="17">
        <f t="shared" si="616"/>
        <v>3988</v>
      </c>
      <c r="AT562" s="18">
        <f t="shared" si="617"/>
        <v>0.24181421295173422</v>
      </c>
    </row>
    <row r="563" spans="1:46" ht="14.25" hidden="1" customHeight="1">
      <c r="A563" t="s">
        <v>462</v>
      </c>
      <c r="B563">
        <v>820665</v>
      </c>
      <c r="C563">
        <v>466024</v>
      </c>
      <c r="D563" s="1">
        <v>497320</v>
      </c>
      <c r="E563" s="1">
        <v>497742</v>
      </c>
      <c r="F563" s="1">
        <v>497945</v>
      </c>
      <c r="G563" s="1">
        <v>483676</v>
      </c>
      <c r="H563" s="1">
        <v>463856</v>
      </c>
      <c r="I563" s="1">
        <v>463093</v>
      </c>
      <c r="J563" s="1">
        <v>463536</v>
      </c>
      <c r="K563" s="1">
        <v>463981</v>
      </c>
      <c r="L563" s="1">
        <v>464416</v>
      </c>
      <c r="M563" s="1">
        <v>464885</v>
      </c>
      <c r="N563" s="1">
        <v>465332</v>
      </c>
      <c r="O563" s="1">
        <v>465447</v>
      </c>
      <c r="P563" s="1">
        <v>458305</v>
      </c>
      <c r="Q563" s="1">
        <v>458702</v>
      </c>
      <c r="R563" s="1">
        <v>434008</v>
      </c>
      <c r="S563" s="1">
        <v>415621</v>
      </c>
      <c r="T563" s="1">
        <v>406269</v>
      </c>
      <c r="U563" s="1">
        <v>403046</v>
      </c>
      <c r="V563" s="1">
        <v>394747</v>
      </c>
      <c r="W563" s="1">
        <v>395373</v>
      </c>
      <c r="X563" s="1">
        <v>403165</v>
      </c>
      <c r="Y563" s="1">
        <v>406093</v>
      </c>
      <c r="Z563" s="1">
        <v>412340</v>
      </c>
      <c r="AA563" s="1">
        <v>424079</v>
      </c>
      <c r="AB563" s="1">
        <v>430699</v>
      </c>
      <c r="AC563" s="1">
        <v>432473</v>
      </c>
      <c r="AD563" s="1">
        <v>435124</v>
      </c>
      <c r="AE563" s="1">
        <v>439658</v>
      </c>
      <c r="AF563" s="1">
        <v>474865</v>
      </c>
      <c r="AG563" s="1">
        <v>498878</v>
      </c>
      <c r="AH563" s="1">
        <v>504023</v>
      </c>
      <c r="AI563" s="1">
        <v>508418</v>
      </c>
      <c r="AJ563" s="1">
        <v>513327</v>
      </c>
      <c r="AK563" s="1">
        <v>518810</v>
      </c>
      <c r="AL563" s="1">
        <v>522895</v>
      </c>
      <c r="AM563" s="1">
        <v>526644</v>
      </c>
      <c r="AO563" s="7">
        <f t="shared" si="612"/>
        <v>-577</v>
      </c>
      <c r="AP563" s="8">
        <f t="shared" si="613"/>
        <v>-1.2381336583523472E-3</v>
      </c>
      <c r="AQ563" s="12">
        <f t="shared" si="614"/>
        <v>-41368</v>
      </c>
      <c r="AR563" s="13">
        <f t="shared" si="615"/>
        <v>-8.8878003295756569E-2</v>
      </c>
      <c r="AS563" s="17">
        <f t="shared" si="616"/>
        <v>102565</v>
      </c>
      <c r="AT563" s="18">
        <f t="shared" si="617"/>
        <v>0.2418535225748033</v>
      </c>
    </row>
    <row r="564" spans="1:46" ht="14.25" hidden="1" customHeight="1">
      <c r="A564" t="s">
        <v>463</v>
      </c>
      <c r="B564">
        <v>820670</v>
      </c>
      <c r="C564">
        <v>318581</v>
      </c>
      <c r="D564" s="1">
        <v>319423</v>
      </c>
      <c r="E564" s="1">
        <v>320225</v>
      </c>
      <c r="F564" s="1">
        <v>319111</v>
      </c>
      <c r="G564" s="1">
        <v>342417</v>
      </c>
      <c r="H564" s="1">
        <v>343923</v>
      </c>
      <c r="I564" s="1">
        <v>349007</v>
      </c>
      <c r="J564" s="1">
        <v>351954</v>
      </c>
      <c r="K564" s="1">
        <v>347651</v>
      </c>
      <c r="L564" s="1">
        <v>345039</v>
      </c>
      <c r="M564" s="1">
        <v>364863</v>
      </c>
      <c r="N564" s="1">
        <v>366895</v>
      </c>
      <c r="O564" s="1">
        <v>358357</v>
      </c>
      <c r="P564" s="1">
        <v>360703</v>
      </c>
      <c r="Q564" s="1">
        <v>362766</v>
      </c>
      <c r="R564" s="1">
        <v>360295</v>
      </c>
      <c r="S564" s="1">
        <v>409615</v>
      </c>
      <c r="T564" s="1">
        <v>412429</v>
      </c>
      <c r="U564" s="1">
        <v>417617</v>
      </c>
      <c r="V564" s="1">
        <v>418814</v>
      </c>
      <c r="W564" s="1">
        <v>421222</v>
      </c>
      <c r="X564" s="1">
        <v>429524</v>
      </c>
      <c r="Y564" s="1">
        <v>432643</v>
      </c>
      <c r="Z564" s="1">
        <v>439299</v>
      </c>
      <c r="AA564" s="1">
        <v>451805</v>
      </c>
      <c r="AB564" s="1">
        <v>458857</v>
      </c>
      <c r="AC564" s="1">
        <v>460747</v>
      </c>
      <c r="AD564" s="1">
        <v>463572</v>
      </c>
      <c r="AE564" s="1">
        <v>468403</v>
      </c>
      <c r="AF564" s="1">
        <v>505912</v>
      </c>
      <c r="AG564" s="1">
        <v>531494</v>
      </c>
      <c r="AH564" s="1">
        <v>536976</v>
      </c>
      <c r="AI564" s="1">
        <v>541658</v>
      </c>
      <c r="AJ564" s="1">
        <v>546888</v>
      </c>
      <c r="AK564" s="1">
        <v>552729</v>
      </c>
      <c r="AL564" s="1">
        <v>557081</v>
      </c>
      <c r="AM564" s="1">
        <v>561076</v>
      </c>
      <c r="AO564" s="7">
        <f t="shared" si="612"/>
        <v>39776</v>
      </c>
      <c r="AP564" s="8">
        <f t="shared" si="613"/>
        <v>0.12485364789488385</v>
      </c>
      <c r="AQ564" s="12">
        <f t="shared" si="614"/>
        <v>93448</v>
      </c>
      <c r="AR564" s="13">
        <f t="shared" si="615"/>
        <v>0.26076789346936158</v>
      </c>
      <c r="AS564" s="17">
        <f t="shared" si="616"/>
        <v>109271</v>
      </c>
      <c r="AT564" s="18">
        <f t="shared" si="617"/>
        <v>0.24185433981474302</v>
      </c>
    </row>
    <row r="565" spans="1:46" ht="14.25" hidden="1" customHeight="1">
      <c r="A565" t="s">
        <v>464</v>
      </c>
      <c r="B565">
        <v>820675</v>
      </c>
      <c r="C565">
        <v>100899</v>
      </c>
      <c r="D565" s="1">
        <v>101250</v>
      </c>
      <c r="E565" s="1">
        <v>101636</v>
      </c>
      <c r="F565" s="1">
        <v>63378</v>
      </c>
      <c r="G565" s="1">
        <v>63773</v>
      </c>
      <c r="H565" s="1">
        <v>64198</v>
      </c>
      <c r="I565" s="1">
        <v>64596</v>
      </c>
      <c r="J565" s="1">
        <v>64998</v>
      </c>
      <c r="K565" s="1">
        <v>65446</v>
      </c>
      <c r="L565" s="1">
        <v>65845</v>
      </c>
      <c r="M565" s="1">
        <v>49011</v>
      </c>
      <c r="N565" s="1">
        <v>49291</v>
      </c>
      <c r="O565" s="1">
        <v>36868</v>
      </c>
      <c r="P565" s="1">
        <v>36653</v>
      </c>
      <c r="Q565" s="1">
        <v>36817</v>
      </c>
      <c r="R565" s="1">
        <v>36989</v>
      </c>
      <c r="S565" s="1">
        <v>37159</v>
      </c>
      <c r="T565" s="1">
        <v>44024</v>
      </c>
      <c r="U565" s="1">
        <v>44703</v>
      </c>
      <c r="V565" s="1">
        <v>44915</v>
      </c>
      <c r="W565" s="1">
        <v>51353</v>
      </c>
      <c r="X565" s="1">
        <v>52365</v>
      </c>
      <c r="Y565" s="1">
        <v>52746</v>
      </c>
      <c r="Z565" s="1">
        <v>53557</v>
      </c>
      <c r="AA565" s="1">
        <v>55082</v>
      </c>
      <c r="AB565" s="1">
        <v>55941</v>
      </c>
      <c r="AC565" s="1">
        <v>56172</v>
      </c>
      <c r="AD565" s="1">
        <v>56516</v>
      </c>
      <c r="AE565" s="1">
        <v>57105</v>
      </c>
      <c r="AF565" s="1">
        <v>61678</v>
      </c>
      <c r="AG565" s="1">
        <v>64797</v>
      </c>
      <c r="AH565" s="1">
        <v>65465</v>
      </c>
      <c r="AI565" s="1">
        <v>66036</v>
      </c>
      <c r="AJ565" s="1">
        <v>66674</v>
      </c>
      <c r="AK565" s="1">
        <v>67386</v>
      </c>
      <c r="AL565" s="1">
        <v>67916</v>
      </c>
      <c r="AM565" s="1">
        <v>68403</v>
      </c>
      <c r="AO565" s="7">
        <f t="shared" si="612"/>
        <v>-64031</v>
      </c>
      <c r="AP565" s="8">
        <f t="shared" si="613"/>
        <v>-0.63460490193163466</v>
      </c>
      <c r="AQ565" s="12">
        <f t="shared" si="614"/>
        <v>18214</v>
      </c>
      <c r="AR565" s="13">
        <f t="shared" si="615"/>
        <v>0.49403276554193343</v>
      </c>
      <c r="AS565" s="17">
        <f t="shared" si="616"/>
        <v>13321</v>
      </c>
      <c r="AT565" s="18">
        <f t="shared" si="617"/>
        <v>0.24183943938128616</v>
      </c>
    </row>
    <row r="566" spans="1:46" ht="14.25" hidden="1" customHeight="1">
      <c r="A566" t="s">
        <v>465</v>
      </c>
      <c r="B566">
        <v>820680</v>
      </c>
      <c r="C566">
        <v>382721</v>
      </c>
      <c r="D566" s="1">
        <v>372316</v>
      </c>
      <c r="E566" s="1">
        <v>373518</v>
      </c>
      <c r="F566" s="1">
        <v>374886</v>
      </c>
      <c r="G566" s="1">
        <v>376275</v>
      </c>
      <c r="H566" s="1">
        <v>377743</v>
      </c>
      <c r="I566" s="1">
        <v>379180</v>
      </c>
      <c r="J566" s="1">
        <v>380646</v>
      </c>
      <c r="K566" s="1">
        <v>382077</v>
      </c>
      <c r="L566" s="1">
        <v>383447</v>
      </c>
      <c r="M566" s="1">
        <v>384852</v>
      </c>
      <c r="N566" s="1">
        <v>386190</v>
      </c>
      <c r="O566" s="1">
        <v>385141</v>
      </c>
      <c r="P566" s="1">
        <v>317729</v>
      </c>
      <c r="Q566" s="1">
        <v>318683</v>
      </c>
      <c r="R566" s="1">
        <v>319718</v>
      </c>
      <c r="S566" s="1">
        <v>320705</v>
      </c>
      <c r="T566" s="1">
        <v>723902</v>
      </c>
      <c r="U566" s="1">
        <v>891238</v>
      </c>
      <c r="V566" s="1">
        <v>811906</v>
      </c>
      <c r="W566" s="1">
        <v>814128</v>
      </c>
      <c r="X566" s="1">
        <v>830172</v>
      </c>
      <c r="Y566" s="1">
        <v>836201</v>
      </c>
      <c r="Z566" s="1">
        <v>849065</v>
      </c>
      <c r="AA566" s="1">
        <v>873238</v>
      </c>
      <c r="AB566" s="1">
        <v>886868</v>
      </c>
      <c r="AC566" s="1">
        <v>890521</v>
      </c>
      <c r="AD566" s="1">
        <v>895979</v>
      </c>
      <c r="AE566" s="1">
        <v>905316</v>
      </c>
      <c r="AF566" s="1">
        <v>977813</v>
      </c>
      <c r="AG566" s="1">
        <v>1027258</v>
      </c>
      <c r="AH566" s="1">
        <v>1037853</v>
      </c>
      <c r="AI566" s="1">
        <v>1046902</v>
      </c>
      <c r="AJ566" s="1">
        <v>1057012</v>
      </c>
      <c r="AK566" s="1">
        <v>1068301</v>
      </c>
      <c r="AL566" s="1">
        <v>1076713</v>
      </c>
      <c r="AM566" s="1">
        <v>1084433</v>
      </c>
      <c r="AO566" s="7">
        <f t="shared" si="612"/>
        <v>2420</v>
      </c>
      <c r="AP566" s="8">
        <f t="shared" si="613"/>
        <v>6.3231440135242956E-3</v>
      </c>
      <c r="AQ566" s="12">
        <f t="shared" si="614"/>
        <v>488097</v>
      </c>
      <c r="AR566" s="13">
        <f t="shared" si="615"/>
        <v>1.2673202801052081</v>
      </c>
      <c r="AS566" s="17">
        <f t="shared" si="616"/>
        <v>211195</v>
      </c>
      <c r="AT566" s="18">
        <f t="shared" si="617"/>
        <v>0.24185273659643758</v>
      </c>
    </row>
    <row r="567" spans="1:46" ht="14.25" hidden="1" customHeight="1">
      <c r="A567" t="s">
        <v>466</v>
      </c>
      <c r="B567">
        <v>820685</v>
      </c>
      <c r="C567">
        <v>772613</v>
      </c>
      <c r="D567" s="1">
        <v>773663</v>
      </c>
      <c r="E567" s="1">
        <v>620944</v>
      </c>
      <c r="F567" s="1">
        <v>621853</v>
      </c>
      <c r="G567" s="1">
        <v>622735</v>
      </c>
      <c r="H567" s="1">
        <v>623691</v>
      </c>
      <c r="I567" s="1">
        <v>625208</v>
      </c>
      <c r="J567" s="1">
        <v>626779</v>
      </c>
      <c r="K567" s="1">
        <v>628355</v>
      </c>
      <c r="L567" s="1">
        <v>736456</v>
      </c>
      <c r="M567" s="1">
        <v>738444</v>
      </c>
      <c r="N567" s="1">
        <v>740500</v>
      </c>
      <c r="O567" s="1">
        <v>742635</v>
      </c>
      <c r="P567" s="1">
        <v>744776</v>
      </c>
      <c r="Q567" s="1">
        <v>732802</v>
      </c>
      <c r="R567" s="1">
        <v>495564</v>
      </c>
      <c r="S567" s="1">
        <v>690086</v>
      </c>
      <c r="T567" s="1">
        <v>692112</v>
      </c>
      <c r="U567" s="1">
        <v>694090</v>
      </c>
      <c r="V567" s="1">
        <v>696140</v>
      </c>
      <c r="W567" s="1">
        <v>698196</v>
      </c>
      <c r="X567" s="1">
        <v>711956</v>
      </c>
      <c r="Y567" s="1">
        <v>717127</v>
      </c>
      <c r="Z567" s="1">
        <v>728159</v>
      </c>
      <c r="AA567" s="1">
        <v>748889</v>
      </c>
      <c r="AB567" s="1">
        <v>760578</v>
      </c>
      <c r="AC567" s="1">
        <v>763711</v>
      </c>
      <c r="AD567" s="1">
        <v>768392</v>
      </c>
      <c r="AE567" s="1">
        <v>776400</v>
      </c>
      <c r="AF567" s="1">
        <v>838573</v>
      </c>
      <c r="AG567" s="1">
        <v>880977</v>
      </c>
      <c r="AH567" s="1">
        <v>890064</v>
      </c>
      <c r="AI567" s="1">
        <v>897824</v>
      </c>
      <c r="AJ567" s="1">
        <v>906494</v>
      </c>
      <c r="AK567" s="1">
        <v>916176</v>
      </c>
      <c r="AL567" s="1">
        <v>923389</v>
      </c>
      <c r="AM567" s="1">
        <v>930010</v>
      </c>
      <c r="AO567" s="7">
        <f t="shared" si="612"/>
        <v>-29978</v>
      </c>
      <c r="AP567" s="8">
        <f t="shared" si="613"/>
        <v>-3.8800796776652713E-2</v>
      </c>
      <c r="AQ567" s="12">
        <f t="shared" si="614"/>
        <v>6254</v>
      </c>
      <c r="AR567" s="13">
        <f t="shared" si="615"/>
        <v>8.4213644657200604E-3</v>
      </c>
      <c r="AS567" s="17">
        <f t="shared" si="616"/>
        <v>181121</v>
      </c>
      <c r="AT567" s="18">
        <f t="shared" si="617"/>
        <v>0.2418529314758262</v>
      </c>
    </row>
    <row r="568" spans="1:46" ht="14.25" hidden="1" customHeight="1">
      <c r="A568" t="s">
        <v>467</v>
      </c>
      <c r="B568">
        <v>820686</v>
      </c>
      <c r="C568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O568" s="7">
        <f t="shared" si="612"/>
        <v>0</v>
      </c>
      <c r="AP568" s="8" t="e">
        <f t="shared" si="613"/>
        <v>#DIV/0!</v>
      </c>
      <c r="AQ568" s="12">
        <f t="shared" si="614"/>
        <v>0</v>
      </c>
      <c r="AR568" s="13" t="e">
        <f t="shared" si="615"/>
        <v>#DIV/0!</v>
      </c>
      <c r="AS568" s="17">
        <f t="shared" si="616"/>
        <v>0</v>
      </c>
      <c r="AT568" s="18" t="e">
        <f t="shared" si="617"/>
        <v>#DIV/0!</v>
      </c>
    </row>
    <row r="569" spans="1:46" ht="14.25" hidden="1" customHeight="1">
      <c r="A569" t="s">
        <v>11</v>
      </c>
      <c r="B569" t="s">
        <v>12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46" ht="14.25" hidden="1" customHeight="1"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46">
      <c r="A571" t="s">
        <v>468</v>
      </c>
      <c r="C571">
        <v>35307591</v>
      </c>
      <c r="D571" s="1">
        <v>35682467</v>
      </c>
      <c r="E571" s="1">
        <v>36700201</v>
      </c>
      <c r="F571" s="1">
        <v>37633127</v>
      </c>
      <c r="G571" s="1">
        <v>38009581</v>
      </c>
      <c r="H571" s="1">
        <v>38503899</v>
      </c>
      <c r="I571" s="1">
        <v>39049571</v>
      </c>
      <c r="J571" s="1">
        <v>38639360</v>
      </c>
      <c r="K571" s="1">
        <v>39577439</v>
      </c>
      <c r="L571" s="1">
        <v>39463689</v>
      </c>
      <c r="M571" s="1">
        <v>39563663</v>
      </c>
      <c r="N571" s="1">
        <v>40007590</v>
      </c>
      <c r="O571" s="1">
        <v>40204980</v>
      </c>
      <c r="P571" s="1">
        <v>39560866</v>
      </c>
      <c r="Q571" s="1">
        <v>38545726</v>
      </c>
      <c r="R571" s="1">
        <v>38762002</v>
      </c>
      <c r="S571" s="1">
        <v>38553328</v>
      </c>
      <c r="T571" s="1">
        <v>38757657</v>
      </c>
      <c r="U571" s="1">
        <v>38333536</v>
      </c>
      <c r="V571" s="1">
        <v>38863332</v>
      </c>
      <c r="W571" s="1">
        <v>38641946</v>
      </c>
      <c r="X571" s="1">
        <v>39403485</v>
      </c>
      <c r="Y571" s="1">
        <v>39679276</v>
      </c>
      <c r="Z571" s="1">
        <v>39906707</v>
      </c>
      <c r="AA571" s="1">
        <v>40088244</v>
      </c>
      <c r="AB571" s="1">
        <v>40180889</v>
      </c>
      <c r="AC571" s="1">
        <v>40345650</v>
      </c>
      <c r="AD571" s="1">
        <v>40592161</v>
      </c>
      <c r="AE571" s="1">
        <v>40983874</v>
      </c>
      <c r="AF571" s="1">
        <v>41364571</v>
      </c>
      <c r="AG571" s="1">
        <v>41708777</v>
      </c>
      <c r="AH571" s="1">
        <v>42037035</v>
      </c>
      <c r="AI571" s="1">
        <v>42357311</v>
      </c>
      <c r="AJ571" s="1">
        <v>42691059</v>
      </c>
      <c r="AK571" s="1">
        <v>43012694</v>
      </c>
      <c r="AL571" s="1">
        <v>43270259</v>
      </c>
      <c r="AM571" s="1">
        <v>43464079</v>
      </c>
      <c r="AO571" s="7">
        <f t="shared" ref="AO571" si="618">+O571-C571</f>
        <v>4897389</v>
      </c>
      <c r="AP571" s="8">
        <f t="shared" ref="AP571" si="619">+(O571/C571)-1</f>
        <v>0.13870640452360505</v>
      </c>
      <c r="AQ571" s="12">
        <f t="shared" ref="AQ571" si="620">+(AA571-O571)</f>
        <v>-116736</v>
      </c>
      <c r="AR571" s="13">
        <f t="shared" ref="AR571" si="621">+(AA571/O571)-1</f>
        <v>-2.9035209071115453E-3</v>
      </c>
      <c r="AS571" s="17">
        <f t="shared" ref="AS571" si="622">+AM571-AA571</f>
        <v>3375835</v>
      </c>
      <c r="AT571" s="18">
        <f t="shared" ref="AT571" si="623">+(AM571/AA571)-1</f>
        <v>8.4210099100374691E-2</v>
      </c>
    </row>
    <row r="572" spans="1:46" ht="14.25" hidden="1" customHeight="1"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46" ht="14.25" hidden="1" customHeight="1">
      <c r="A573" t="s">
        <v>469</v>
      </c>
      <c r="C573">
        <v>163683</v>
      </c>
      <c r="D573" s="1">
        <v>164414</v>
      </c>
      <c r="E573" s="1">
        <v>150935</v>
      </c>
      <c r="F573" s="1">
        <v>145124</v>
      </c>
      <c r="G573" s="1">
        <v>147812</v>
      </c>
      <c r="H573" s="1">
        <v>154095</v>
      </c>
      <c r="I573" s="1">
        <v>150582</v>
      </c>
      <c r="J573" s="1">
        <v>161400</v>
      </c>
      <c r="K573" s="1">
        <v>163735</v>
      </c>
      <c r="L573" s="1">
        <v>153344</v>
      </c>
      <c r="M573" s="1">
        <v>158562</v>
      </c>
      <c r="N573" s="1">
        <v>144204</v>
      </c>
      <c r="O573" s="1">
        <v>142834</v>
      </c>
      <c r="P573" s="1">
        <v>165299</v>
      </c>
      <c r="Q573" s="1">
        <v>138888</v>
      </c>
      <c r="R573" s="1">
        <v>140060</v>
      </c>
      <c r="S573" s="1">
        <v>144734</v>
      </c>
      <c r="T573" s="1">
        <v>150768</v>
      </c>
      <c r="U573" s="1">
        <v>151972</v>
      </c>
      <c r="V573" s="1">
        <v>152052</v>
      </c>
      <c r="W573" s="1">
        <v>171706</v>
      </c>
      <c r="X573" s="1">
        <v>178161</v>
      </c>
      <c r="Y573" s="1">
        <v>169533</v>
      </c>
      <c r="Z573" s="1">
        <v>161069</v>
      </c>
      <c r="AA573" s="1">
        <v>152612</v>
      </c>
      <c r="AB573" s="1">
        <v>154796</v>
      </c>
      <c r="AC573" s="1">
        <v>156954</v>
      </c>
      <c r="AD573" s="1">
        <v>158955</v>
      </c>
      <c r="AE573" s="1">
        <v>160659</v>
      </c>
      <c r="AF573" s="1">
        <v>162197</v>
      </c>
      <c r="AG573" s="1">
        <v>163830</v>
      </c>
      <c r="AH573" s="1">
        <v>165730</v>
      </c>
      <c r="AI573" s="1">
        <v>167560</v>
      </c>
      <c r="AJ573" s="1">
        <v>169362</v>
      </c>
      <c r="AK573" s="1">
        <v>170774</v>
      </c>
      <c r="AL573" s="1">
        <v>172266</v>
      </c>
      <c r="AM573" s="1">
        <v>173831</v>
      </c>
      <c r="AO573" s="7">
        <f t="shared" ref="AO573:AO582" si="624">+O573-C573</f>
        <v>-20849</v>
      </c>
      <c r="AP573" s="8">
        <f t="shared" ref="AP573:AP582" si="625">+(O573/C573)-1</f>
        <v>-0.12737425389319601</v>
      </c>
      <c r="AQ573" s="12">
        <f t="shared" ref="AQ573:AQ582" si="626">+(AA573-O573)</f>
        <v>9778</v>
      </c>
      <c r="AR573" s="13">
        <f t="shared" ref="AR573:AR582" si="627">+(AA573/O573)-1</f>
        <v>6.845709004858791E-2</v>
      </c>
      <c r="AS573" s="17">
        <f t="shared" ref="AS573:AS582" si="628">+AM573-AA573</f>
        <v>21219</v>
      </c>
      <c r="AT573" s="18">
        <f t="shared" ref="AT573:AT582" si="629">+(AM573/AA573)-1</f>
        <v>0.13903886981364511</v>
      </c>
    </row>
    <row r="574" spans="1:46" ht="14.25" hidden="1" customHeight="1">
      <c r="A574" t="s">
        <v>470</v>
      </c>
      <c r="B574">
        <v>820705</v>
      </c>
      <c r="C574">
        <v>12699518</v>
      </c>
      <c r="D574" s="1">
        <v>12706245</v>
      </c>
      <c r="E574" s="1">
        <v>12798264</v>
      </c>
      <c r="F574" s="1">
        <v>12686818</v>
      </c>
      <c r="G574" s="1">
        <v>12743159</v>
      </c>
      <c r="H574" s="1">
        <v>12744131</v>
      </c>
      <c r="I574" s="1">
        <v>12777640</v>
      </c>
      <c r="J574" s="1">
        <v>12728525</v>
      </c>
      <c r="K574" s="1">
        <v>12913170</v>
      </c>
      <c r="L574" s="1">
        <v>12951043</v>
      </c>
      <c r="M574" s="1">
        <v>13021564</v>
      </c>
      <c r="N574" s="1">
        <v>13149695</v>
      </c>
      <c r="O574" s="1">
        <v>12865249</v>
      </c>
      <c r="P574" s="1">
        <v>12917411</v>
      </c>
      <c r="Q574" s="1">
        <v>12897399</v>
      </c>
      <c r="R574" s="1">
        <v>12791991</v>
      </c>
      <c r="S574" s="1">
        <v>12882892</v>
      </c>
      <c r="T574" s="1">
        <v>12576467</v>
      </c>
      <c r="U574" s="1">
        <v>12641740</v>
      </c>
      <c r="V574" s="1">
        <v>12656816</v>
      </c>
      <c r="W574" s="1">
        <v>12662140</v>
      </c>
      <c r="X574" s="1">
        <v>13513826</v>
      </c>
      <c r="Y574" s="1">
        <v>13237904</v>
      </c>
      <c r="Z574" s="1">
        <v>12958455</v>
      </c>
      <c r="AA574" s="1">
        <v>12647872</v>
      </c>
      <c r="AB574" s="1">
        <v>13258011</v>
      </c>
      <c r="AC574" s="1">
        <v>13891369</v>
      </c>
      <c r="AD574" s="1">
        <v>14554078</v>
      </c>
      <c r="AE574" s="1">
        <v>15236000</v>
      </c>
      <c r="AF574" s="1">
        <v>15952157</v>
      </c>
      <c r="AG574" s="1">
        <v>16733173</v>
      </c>
      <c r="AH574" s="1">
        <v>17605143</v>
      </c>
      <c r="AI574" s="1">
        <v>18542034</v>
      </c>
      <c r="AJ574" s="1">
        <v>19557244</v>
      </c>
      <c r="AK574" s="1">
        <v>20617921</v>
      </c>
      <c r="AL574" s="1">
        <v>21789803</v>
      </c>
      <c r="AM574" s="1">
        <v>23088773</v>
      </c>
      <c r="AO574" s="7">
        <f t="shared" si="624"/>
        <v>165731</v>
      </c>
      <c r="AP574" s="8">
        <f t="shared" si="625"/>
        <v>1.3050180329678751E-2</v>
      </c>
      <c r="AQ574" s="12">
        <f t="shared" si="626"/>
        <v>-217377</v>
      </c>
      <c r="AR574" s="13">
        <f t="shared" si="627"/>
        <v>-1.689644716553873E-2</v>
      </c>
      <c r="AS574" s="17">
        <f t="shared" si="628"/>
        <v>10440901</v>
      </c>
      <c r="AT574" s="18">
        <f t="shared" si="629"/>
        <v>0.82550653580301891</v>
      </c>
    </row>
    <row r="575" spans="1:46" ht="14.25" hidden="1" customHeight="1">
      <c r="A575" t="s">
        <v>471</v>
      </c>
      <c r="C575">
        <v>78127261</v>
      </c>
      <c r="D575" s="1">
        <v>77926419</v>
      </c>
      <c r="E575" s="1">
        <v>78455924</v>
      </c>
      <c r="F575" s="1">
        <v>78818595</v>
      </c>
      <c r="G575" s="1">
        <v>78198526</v>
      </c>
      <c r="H575" s="1">
        <v>77560941</v>
      </c>
      <c r="I575" s="1">
        <v>76279201</v>
      </c>
      <c r="J575" s="1">
        <v>75768336</v>
      </c>
      <c r="K575" s="1">
        <v>74211762</v>
      </c>
      <c r="L575" s="1">
        <v>74450213</v>
      </c>
      <c r="M575" s="1">
        <v>73865865</v>
      </c>
      <c r="N575" s="1">
        <v>73964358</v>
      </c>
      <c r="O575" s="1">
        <v>73866335</v>
      </c>
      <c r="P575" s="1">
        <v>74835506</v>
      </c>
      <c r="Q575" s="1">
        <v>76511807</v>
      </c>
      <c r="R575" s="1">
        <v>76660849</v>
      </c>
      <c r="S575" s="1">
        <v>74318167</v>
      </c>
      <c r="T575" s="1">
        <v>74557214</v>
      </c>
      <c r="U575" s="1">
        <v>73437598</v>
      </c>
      <c r="V575" s="1">
        <v>72502144</v>
      </c>
      <c r="W575" s="1">
        <v>71066772</v>
      </c>
      <c r="X575" s="1">
        <v>73738353</v>
      </c>
      <c r="Y575" s="1">
        <v>70167289</v>
      </c>
      <c r="Z575" s="1">
        <v>66664185</v>
      </c>
      <c r="AA575" s="1">
        <v>63164147</v>
      </c>
      <c r="AB575" s="1">
        <v>64067977</v>
      </c>
      <c r="AC575" s="1">
        <v>64961166</v>
      </c>
      <c r="AD575" s="1">
        <v>65789384</v>
      </c>
      <c r="AE575" s="1">
        <v>66494648</v>
      </c>
      <c r="AF575" s="1">
        <v>67131191</v>
      </c>
      <c r="AG575" s="1">
        <v>67807070</v>
      </c>
      <c r="AH575" s="1">
        <v>68593608</v>
      </c>
      <c r="AI575" s="1">
        <v>69350859</v>
      </c>
      <c r="AJ575" s="1">
        <v>70096454</v>
      </c>
      <c r="AK575" s="1">
        <v>70681115</v>
      </c>
      <c r="AL575" s="1">
        <v>71298656</v>
      </c>
      <c r="AM575" s="1">
        <v>71946521</v>
      </c>
      <c r="AO575" s="7">
        <f t="shared" si="624"/>
        <v>-4260926</v>
      </c>
      <c r="AP575" s="8">
        <f t="shared" si="625"/>
        <v>-5.4538274418707733E-2</v>
      </c>
      <c r="AQ575" s="12">
        <f t="shared" si="626"/>
        <v>-10702188</v>
      </c>
      <c r="AR575" s="13">
        <f t="shared" si="627"/>
        <v>-0.1448858671545028</v>
      </c>
      <c r="AS575" s="17">
        <f t="shared" si="628"/>
        <v>8782374</v>
      </c>
      <c r="AT575" s="18">
        <f t="shared" si="629"/>
        <v>0.13904049080248004</v>
      </c>
    </row>
    <row r="576" spans="1:46" ht="14.25" hidden="1" customHeight="1">
      <c r="A576" t="s">
        <v>472</v>
      </c>
      <c r="C576">
        <v>70308517</v>
      </c>
      <c r="D576" s="1">
        <v>70296375</v>
      </c>
      <c r="E576" s="1">
        <v>69013059</v>
      </c>
      <c r="F576" s="1">
        <v>68252370</v>
      </c>
      <c r="G576" s="1">
        <v>66855695</v>
      </c>
      <c r="H576" s="1">
        <v>67070032</v>
      </c>
      <c r="I576" s="1">
        <v>65892157</v>
      </c>
      <c r="J576" s="1">
        <v>65412591</v>
      </c>
      <c r="K576" s="1">
        <v>64974723</v>
      </c>
      <c r="L576" s="1">
        <v>64938583</v>
      </c>
      <c r="M576" s="1">
        <v>64637072</v>
      </c>
      <c r="N576" s="1">
        <v>62786501</v>
      </c>
      <c r="O576" s="1">
        <v>62883494</v>
      </c>
      <c r="P576" s="1">
        <v>61578755</v>
      </c>
      <c r="Q576" s="1">
        <v>62940629</v>
      </c>
      <c r="R576" s="1">
        <v>62315900</v>
      </c>
      <c r="S576" s="1">
        <v>59387179</v>
      </c>
      <c r="T576" s="1">
        <v>59124438</v>
      </c>
      <c r="U576" s="1">
        <v>57978673</v>
      </c>
      <c r="V576" s="1">
        <v>55199321</v>
      </c>
      <c r="W576" s="1">
        <v>55450037</v>
      </c>
      <c r="X576" s="1">
        <v>57534546</v>
      </c>
      <c r="Y576" s="1">
        <v>54748213</v>
      </c>
      <c r="Z576" s="1">
        <v>52014908</v>
      </c>
      <c r="AA576" s="1">
        <v>49283993</v>
      </c>
      <c r="AB576" s="1">
        <v>49989209</v>
      </c>
      <c r="AC576" s="1">
        <v>50686122</v>
      </c>
      <c r="AD576" s="1">
        <v>51332342</v>
      </c>
      <c r="AE576" s="1">
        <v>51882626</v>
      </c>
      <c r="AF576" s="1">
        <v>52379290</v>
      </c>
      <c r="AG576" s="1">
        <v>52906647</v>
      </c>
      <c r="AH576" s="1">
        <v>53520345</v>
      </c>
      <c r="AI576" s="1">
        <v>54111192</v>
      </c>
      <c r="AJ576" s="1">
        <v>54692944</v>
      </c>
      <c r="AK576" s="1">
        <v>55149128</v>
      </c>
      <c r="AL576" s="1">
        <v>55630966</v>
      </c>
      <c r="AM576" s="1">
        <v>56136464</v>
      </c>
      <c r="AO576" s="7">
        <f t="shared" si="624"/>
        <v>-7425023</v>
      </c>
      <c r="AP576" s="8">
        <f t="shared" si="625"/>
        <v>-0.10560630940345395</v>
      </c>
      <c r="AQ576" s="12">
        <f t="shared" si="626"/>
        <v>-13599501</v>
      </c>
      <c r="AR576" s="13">
        <f t="shared" si="627"/>
        <v>-0.21626503450969181</v>
      </c>
      <c r="AS576" s="17">
        <f t="shared" si="628"/>
        <v>6852471</v>
      </c>
      <c r="AT576" s="18">
        <f t="shared" si="629"/>
        <v>0.13904049941732599</v>
      </c>
    </row>
    <row r="577" spans="1:46" ht="14.25" hidden="1" customHeight="1">
      <c r="A577" t="s">
        <v>473</v>
      </c>
      <c r="C577">
        <v>106199447</v>
      </c>
      <c r="D577" s="1">
        <v>104504438</v>
      </c>
      <c r="E577" s="1">
        <v>105867207</v>
      </c>
      <c r="F577" s="1">
        <v>107508824</v>
      </c>
      <c r="G577" s="1">
        <v>105772575</v>
      </c>
      <c r="H577" s="1">
        <v>100983103</v>
      </c>
      <c r="I577" s="1">
        <v>99288564</v>
      </c>
      <c r="J577" s="1">
        <v>99478825</v>
      </c>
      <c r="K577" s="1">
        <v>103707900</v>
      </c>
      <c r="L577" s="1">
        <v>102213259</v>
      </c>
      <c r="M577" s="1">
        <v>100237730</v>
      </c>
      <c r="N577" s="1">
        <v>101931426</v>
      </c>
      <c r="O577" s="1">
        <v>101658931</v>
      </c>
      <c r="P577" s="1">
        <v>101833402</v>
      </c>
      <c r="Q577" s="1">
        <v>102935673</v>
      </c>
      <c r="R577" s="1">
        <v>100301927</v>
      </c>
      <c r="S577" s="1">
        <v>97143876</v>
      </c>
      <c r="T577" s="1">
        <v>94466150</v>
      </c>
      <c r="U577" s="1">
        <v>92811997</v>
      </c>
      <c r="V577" s="1">
        <v>89591502</v>
      </c>
      <c r="W577" s="1">
        <v>85695252</v>
      </c>
      <c r="X577" s="1">
        <v>88916755</v>
      </c>
      <c r="Y577" s="1">
        <v>84610618</v>
      </c>
      <c r="Z577" s="1">
        <v>80386431</v>
      </c>
      <c r="AA577" s="1">
        <v>76165940</v>
      </c>
      <c r="AB577" s="1">
        <v>77255816</v>
      </c>
      <c r="AC577" s="1">
        <v>78332860</v>
      </c>
      <c r="AD577" s="1">
        <v>79331560</v>
      </c>
      <c r="AE577" s="1">
        <v>80181996</v>
      </c>
      <c r="AF577" s="1">
        <v>80949566</v>
      </c>
      <c r="AG577" s="1">
        <v>81764569</v>
      </c>
      <c r="AH577" s="1">
        <v>82713009</v>
      </c>
      <c r="AI577" s="1">
        <v>83626133</v>
      </c>
      <c r="AJ577" s="1">
        <v>84525202</v>
      </c>
      <c r="AK577" s="1">
        <v>85230211</v>
      </c>
      <c r="AL577" s="1">
        <v>85974868</v>
      </c>
      <c r="AM577" s="1">
        <v>86756090</v>
      </c>
      <c r="AO577" s="7">
        <f t="shared" si="624"/>
        <v>-4540516</v>
      </c>
      <c r="AP577" s="8">
        <f t="shared" si="625"/>
        <v>-4.2754610577209529E-2</v>
      </c>
      <c r="AQ577" s="12">
        <f t="shared" si="626"/>
        <v>-25492991</v>
      </c>
      <c r="AR577" s="13">
        <f t="shared" si="627"/>
        <v>-0.25076981185253655</v>
      </c>
      <c r="AS577" s="17">
        <f t="shared" si="628"/>
        <v>10590150</v>
      </c>
      <c r="AT577" s="18">
        <f t="shared" si="629"/>
        <v>0.13904049500340965</v>
      </c>
    </row>
    <row r="578" spans="1:46" ht="14.25" hidden="1" customHeight="1">
      <c r="A578" t="s">
        <v>474</v>
      </c>
      <c r="C578">
        <v>48993162</v>
      </c>
      <c r="D578" s="1">
        <v>49017420</v>
      </c>
      <c r="E578" s="1">
        <v>50015818</v>
      </c>
      <c r="F578" s="1">
        <v>49330211</v>
      </c>
      <c r="G578" s="1">
        <v>47792668</v>
      </c>
      <c r="H578" s="1">
        <v>47093520</v>
      </c>
      <c r="I578" s="1">
        <v>47267216</v>
      </c>
      <c r="J578" s="1">
        <v>47586102</v>
      </c>
      <c r="K578" s="1">
        <v>48702873</v>
      </c>
      <c r="L578" s="1">
        <v>48580200</v>
      </c>
      <c r="M578" s="1">
        <v>49051312</v>
      </c>
      <c r="N578" s="1">
        <v>48395007</v>
      </c>
      <c r="O578" s="1">
        <v>47908255</v>
      </c>
      <c r="P578" s="1">
        <v>48199869</v>
      </c>
      <c r="Q578" s="1">
        <v>47717696</v>
      </c>
      <c r="R578" s="1">
        <v>49550074</v>
      </c>
      <c r="S578" s="1">
        <v>46595223</v>
      </c>
      <c r="T578" s="1">
        <v>46558207</v>
      </c>
      <c r="U578" s="1">
        <v>44228688</v>
      </c>
      <c r="V578" s="1">
        <v>41760234</v>
      </c>
      <c r="W578" s="1">
        <v>43214350</v>
      </c>
      <c r="X578" s="1">
        <v>44838887</v>
      </c>
      <c r="Y578" s="1">
        <v>42667391</v>
      </c>
      <c r="Z578" s="1">
        <v>40537221</v>
      </c>
      <c r="AA578" s="1">
        <v>38408914</v>
      </c>
      <c r="AB578" s="1">
        <v>38958516</v>
      </c>
      <c r="AC578" s="1">
        <v>39501647</v>
      </c>
      <c r="AD578" s="1">
        <v>40005271</v>
      </c>
      <c r="AE578" s="1">
        <v>40434128</v>
      </c>
      <c r="AF578" s="1">
        <v>40821198</v>
      </c>
      <c r="AG578" s="1">
        <v>41232187</v>
      </c>
      <c r="AH578" s="1">
        <v>41710466</v>
      </c>
      <c r="AI578" s="1">
        <v>42170935</v>
      </c>
      <c r="AJ578" s="1">
        <v>42624318</v>
      </c>
      <c r="AK578" s="1">
        <v>42979839</v>
      </c>
      <c r="AL578" s="1">
        <v>43355354</v>
      </c>
      <c r="AM578" s="1">
        <v>43749308</v>
      </c>
      <c r="AO578" s="7">
        <f t="shared" si="624"/>
        <v>-1084907</v>
      </c>
      <c r="AP578" s="8">
        <f t="shared" si="625"/>
        <v>-2.2144049408364341E-2</v>
      </c>
      <c r="AQ578" s="12">
        <f t="shared" si="626"/>
        <v>-9499341</v>
      </c>
      <c r="AR578" s="13">
        <f t="shared" si="627"/>
        <v>-0.19828192448253434</v>
      </c>
      <c r="AS578" s="17">
        <f t="shared" si="628"/>
        <v>5340394</v>
      </c>
      <c r="AT578" s="18">
        <f t="shared" si="629"/>
        <v>0.13904048419593429</v>
      </c>
    </row>
    <row r="579" spans="1:46" ht="14.25" hidden="1" customHeight="1">
      <c r="A579" t="s">
        <v>475</v>
      </c>
      <c r="C579">
        <v>10553755</v>
      </c>
      <c r="D579" s="1">
        <v>11111802</v>
      </c>
      <c r="E579" s="1">
        <v>11561272</v>
      </c>
      <c r="F579" s="1">
        <v>11500888</v>
      </c>
      <c r="G579" s="1">
        <v>10991504</v>
      </c>
      <c r="H579" s="1">
        <v>11078629</v>
      </c>
      <c r="I579" s="1">
        <v>11074334</v>
      </c>
      <c r="J579" s="1">
        <v>10453718</v>
      </c>
      <c r="K579" s="1">
        <v>9575349</v>
      </c>
      <c r="L579" s="1">
        <v>10309465</v>
      </c>
      <c r="M579" s="1">
        <v>10947323</v>
      </c>
      <c r="N579" s="1">
        <v>10750245</v>
      </c>
      <c r="O579" s="1">
        <v>10281487</v>
      </c>
      <c r="P579" s="1">
        <v>10311483</v>
      </c>
      <c r="Q579" s="1">
        <v>11393880</v>
      </c>
      <c r="R579" s="1">
        <v>11093923</v>
      </c>
      <c r="S579" s="1">
        <v>10504790</v>
      </c>
      <c r="T579" s="1">
        <v>11009075</v>
      </c>
      <c r="U579" s="1">
        <v>13448957</v>
      </c>
      <c r="V579" s="1">
        <v>11077070</v>
      </c>
      <c r="W579" s="1">
        <v>9231695</v>
      </c>
      <c r="X579" s="1">
        <v>9578738</v>
      </c>
      <c r="Y579" s="1">
        <v>9114851</v>
      </c>
      <c r="Z579" s="1">
        <v>8659792</v>
      </c>
      <c r="AA579" s="1">
        <v>8205131</v>
      </c>
      <c r="AB579" s="1">
        <v>8322540</v>
      </c>
      <c r="AC579" s="1">
        <v>8438566</v>
      </c>
      <c r="AD579" s="1">
        <v>8546153</v>
      </c>
      <c r="AE579" s="1">
        <v>8637768</v>
      </c>
      <c r="AF579" s="1">
        <v>8720456</v>
      </c>
      <c r="AG579" s="1">
        <v>8808254</v>
      </c>
      <c r="AH579" s="1">
        <v>8910427</v>
      </c>
      <c r="AI579" s="1">
        <v>9008795</v>
      </c>
      <c r="AJ579" s="1">
        <v>9105649</v>
      </c>
      <c r="AK579" s="1">
        <v>9181598</v>
      </c>
      <c r="AL579" s="1">
        <v>9261817</v>
      </c>
      <c r="AM579" s="1">
        <v>9345976</v>
      </c>
      <c r="AO579" s="7">
        <f t="shared" si="624"/>
        <v>-272268</v>
      </c>
      <c r="AP579" s="8">
        <f t="shared" si="625"/>
        <v>-2.5798211158019058E-2</v>
      </c>
      <c r="AQ579" s="12">
        <f t="shared" si="626"/>
        <v>-2076356</v>
      </c>
      <c r="AR579" s="13">
        <f t="shared" si="627"/>
        <v>-0.20195094347733944</v>
      </c>
      <c r="AS579" s="17">
        <f t="shared" si="628"/>
        <v>1140845</v>
      </c>
      <c r="AT579" s="18">
        <f t="shared" si="629"/>
        <v>0.1390404370143512</v>
      </c>
    </row>
    <row r="580" spans="1:46" ht="14.25" hidden="1" customHeight="1">
      <c r="A580" t="s">
        <v>476</v>
      </c>
      <c r="C580">
        <v>1030041</v>
      </c>
      <c r="D580" s="1">
        <v>2035542</v>
      </c>
      <c r="E580" s="1">
        <v>1035881</v>
      </c>
      <c r="F580" s="1">
        <v>1038912</v>
      </c>
      <c r="G580" s="1">
        <v>1041854</v>
      </c>
      <c r="H580" s="1">
        <v>1044902</v>
      </c>
      <c r="I580" s="1">
        <v>1047860</v>
      </c>
      <c r="J580" s="1">
        <v>1050926</v>
      </c>
      <c r="K580" s="1">
        <v>1053683</v>
      </c>
      <c r="L580" s="1">
        <v>1053256</v>
      </c>
      <c r="M580" s="1">
        <v>1055894</v>
      </c>
      <c r="N580" s="1">
        <v>1055449</v>
      </c>
      <c r="O580" s="1">
        <v>1054087</v>
      </c>
      <c r="P580" s="1">
        <v>1054566</v>
      </c>
      <c r="Q580" s="1">
        <v>1055761</v>
      </c>
      <c r="R580" s="1">
        <v>1056192</v>
      </c>
      <c r="S580" s="1">
        <v>1054192</v>
      </c>
      <c r="T580" s="1">
        <v>1054192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O580" s="7">
        <f t="shared" si="624"/>
        <v>24046</v>
      </c>
      <c r="AP580" s="8">
        <f t="shared" si="625"/>
        <v>2.334470181284054E-2</v>
      </c>
      <c r="AQ580" s="12">
        <f t="shared" si="626"/>
        <v>-1054087</v>
      </c>
      <c r="AR580" s="13">
        <f t="shared" si="627"/>
        <v>-1</v>
      </c>
      <c r="AS580" s="17">
        <f t="shared" si="628"/>
        <v>0</v>
      </c>
      <c r="AT580" s="18" t="e">
        <f t="shared" si="629"/>
        <v>#DIV/0!</v>
      </c>
    </row>
    <row r="581" spans="1:46" ht="14.25" hidden="1" customHeight="1">
      <c r="A581" t="s">
        <v>11</v>
      </c>
      <c r="B581" t="s">
        <v>12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O581" s="7">
        <f t="shared" si="624"/>
        <v>0</v>
      </c>
      <c r="AP581" s="8" t="e">
        <f t="shared" si="625"/>
        <v>#DIV/0!</v>
      </c>
      <c r="AQ581" s="12">
        <f t="shared" si="626"/>
        <v>0</v>
      </c>
      <c r="AR581" s="13" t="e">
        <f t="shared" si="627"/>
        <v>#DIV/0!</v>
      </c>
      <c r="AS581" s="17">
        <f t="shared" si="628"/>
        <v>0</v>
      </c>
      <c r="AT581" s="18" t="e">
        <f t="shared" si="629"/>
        <v>#DIV/0!</v>
      </c>
    </row>
    <row r="582" spans="1:46" ht="14.25" hidden="1" customHeight="1">
      <c r="A582" t="s">
        <v>477</v>
      </c>
      <c r="C582">
        <v>328075383</v>
      </c>
      <c r="D582" s="1">
        <v>327762654</v>
      </c>
      <c r="E582" s="1">
        <v>328898361</v>
      </c>
      <c r="F582" s="1">
        <v>329281744</v>
      </c>
      <c r="G582" s="1">
        <v>323543792</v>
      </c>
      <c r="H582" s="1">
        <v>317729353</v>
      </c>
      <c r="I582" s="1">
        <v>313777554</v>
      </c>
      <c r="J582" s="1">
        <v>312640423</v>
      </c>
      <c r="K582" s="1">
        <v>315303195</v>
      </c>
      <c r="L582" s="1">
        <v>314649363</v>
      </c>
      <c r="M582" s="1">
        <v>312975323</v>
      </c>
      <c r="N582" s="1">
        <v>312176885</v>
      </c>
      <c r="O582" s="1">
        <v>310660671</v>
      </c>
      <c r="P582" s="1">
        <v>310896290</v>
      </c>
      <c r="Q582" s="1">
        <v>315591734</v>
      </c>
      <c r="R582" s="1">
        <v>313910916</v>
      </c>
      <c r="S582" s="1">
        <v>302031053</v>
      </c>
      <c r="T582" s="1">
        <v>299496510</v>
      </c>
      <c r="U582" s="1">
        <v>294699625</v>
      </c>
      <c r="V582" s="1">
        <v>282939140</v>
      </c>
      <c r="W582" s="1">
        <v>277491951</v>
      </c>
      <c r="X582" s="1">
        <v>288299265</v>
      </c>
      <c r="Y582" s="1">
        <v>274715799</v>
      </c>
      <c r="Z582" s="1">
        <v>261382061</v>
      </c>
      <c r="AA582" s="1">
        <v>248028609</v>
      </c>
      <c r="AB582" s="1">
        <v>252006866</v>
      </c>
      <c r="AC582" s="1">
        <v>255968684</v>
      </c>
      <c r="AD582" s="1">
        <v>259717744</v>
      </c>
      <c r="AE582" s="1">
        <v>263027824</v>
      </c>
      <c r="AF582" s="1">
        <v>266116056</v>
      </c>
      <c r="AG582" s="1">
        <v>269415730</v>
      </c>
      <c r="AH582" s="1">
        <v>273218728</v>
      </c>
      <c r="AI582" s="1">
        <v>276977507</v>
      </c>
      <c r="AJ582" s="1">
        <v>280771173</v>
      </c>
      <c r="AK582" s="1">
        <v>284010585</v>
      </c>
      <c r="AL582" s="1">
        <v>287483731</v>
      </c>
      <c r="AM582" s="1">
        <v>291196964</v>
      </c>
      <c r="AO582" s="7">
        <f t="shared" si="624"/>
        <v>-17414712</v>
      </c>
      <c r="AP582" s="8">
        <f t="shared" si="625"/>
        <v>-5.3081434640891656E-2</v>
      </c>
      <c r="AQ582" s="12">
        <f t="shared" si="626"/>
        <v>-62632062</v>
      </c>
      <c r="AR582" s="13">
        <f t="shared" si="627"/>
        <v>-0.20160924071396213</v>
      </c>
      <c r="AS582" s="17">
        <f t="shared" si="628"/>
        <v>43168355</v>
      </c>
      <c r="AT582" s="18">
        <f t="shared" si="629"/>
        <v>0.17404586984560311</v>
      </c>
    </row>
    <row r="583" spans="1:46" ht="14.25" hidden="1" customHeight="1"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46" ht="14.25" hidden="1" customHeight="1">
      <c r="A584" t="s">
        <v>478</v>
      </c>
      <c r="B584">
        <v>820706</v>
      </c>
      <c r="C584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29954694</v>
      </c>
      <c r="V584" s="1">
        <v>64329306</v>
      </c>
      <c r="W584" s="1">
        <v>88677178</v>
      </c>
      <c r="X584" s="1">
        <v>92130835</v>
      </c>
      <c r="Y584" s="1">
        <v>142905626</v>
      </c>
      <c r="Z584" s="1">
        <v>195156522</v>
      </c>
      <c r="AA584" s="1">
        <v>433975584</v>
      </c>
      <c r="AB584" s="1">
        <v>440447429</v>
      </c>
      <c r="AC584" s="1">
        <v>446790603</v>
      </c>
      <c r="AD584" s="1">
        <v>452715173</v>
      </c>
      <c r="AE584" s="1">
        <v>458002942</v>
      </c>
      <c r="AF584" s="1">
        <v>462833079</v>
      </c>
      <c r="AG584" s="1">
        <v>467963806</v>
      </c>
      <c r="AH584" s="1">
        <v>473953553</v>
      </c>
      <c r="AI584" s="1">
        <v>479788798</v>
      </c>
      <c r="AJ584" s="1">
        <v>485607967</v>
      </c>
      <c r="AK584" s="1">
        <v>491319087</v>
      </c>
      <c r="AL584" s="1">
        <v>497337558</v>
      </c>
      <c r="AM584" s="1">
        <v>500822051</v>
      </c>
      <c r="AO584" s="7">
        <f t="shared" ref="AO584" si="630">+O584-C584</f>
        <v>0</v>
      </c>
      <c r="AP584" s="8" t="e">
        <f t="shared" ref="AP584" si="631">+(O584/C584)-1</f>
        <v>#DIV/0!</v>
      </c>
      <c r="AQ584" s="12">
        <f t="shared" ref="AQ584" si="632">+(AA584-O584)</f>
        <v>433975584</v>
      </c>
      <c r="AR584" s="13" t="e">
        <f t="shared" ref="AR584" si="633">+(AA584/O584)-1</f>
        <v>#DIV/0!</v>
      </c>
      <c r="AS584" s="17">
        <f t="shared" ref="AS584" si="634">+AM584-AA584</f>
        <v>66846467</v>
      </c>
      <c r="AT584" s="18">
        <f t="shared" ref="AT584" si="635">+(AM584/AA584)-1</f>
        <v>0.15403278309776991</v>
      </c>
    </row>
    <row r="585" spans="1:46" ht="14.25" hidden="1" customHeight="1"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46" ht="14.25" hidden="1" customHeight="1">
      <c r="A586" t="s">
        <v>479</v>
      </c>
      <c r="C586">
        <v>9772</v>
      </c>
      <c r="D586" s="1">
        <v>11942</v>
      </c>
      <c r="E586" s="1">
        <v>12331</v>
      </c>
      <c r="F586" s="1">
        <v>9484</v>
      </c>
      <c r="G586" s="1">
        <v>13141</v>
      </c>
      <c r="H586" s="1">
        <v>11899</v>
      </c>
      <c r="I586" s="1">
        <v>14905</v>
      </c>
      <c r="J586" s="1">
        <v>16906</v>
      </c>
      <c r="K586" s="1">
        <v>20218</v>
      </c>
      <c r="L586" s="1">
        <v>24982</v>
      </c>
      <c r="M586" s="1">
        <v>31131</v>
      </c>
      <c r="N586" s="1">
        <v>27677</v>
      </c>
      <c r="O586" s="1">
        <v>36317</v>
      </c>
      <c r="P586" s="1">
        <v>45988</v>
      </c>
      <c r="Q586" s="1">
        <v>42177</v>
      </c>
      <c r="R586" s="1">
        <v>38944</v>
      </c>
      <c r="S586" s="1">
        <v>42678</v>
      </c>
      <c r="T586" s="1">
        <v>53511</v>
      </c>
      <c r="U586" s="1">
        <v>63833</v>
      </c>
      <c r="V586" s="1">
        <v>60674</v>
      </c>
      <c r="W586" s="1">
        <v>66661</v>
      </c>
      <c r="X586" s="1">
        <v>64808</v>
      </c>
      <c r="Y586" s="1">
        <v>62955</v>
      </c>
      <c r="Z586" s="1">
        <v>61101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O586" s="7">
        <f t="shared" ref="AO586:AO593" si="636">+O586-C586</f>
        <v>26545</v>
      </c>
      <c r="AP586" s="8">
        <f t="shared" ref="AP586:AP593" si="637">+(O586/C586)-1</f>
        <v>2.7164347114203848</v>
      </c>
      <c r="AQ586" s="12">
        <f t="shared" ref="AQ586:AQ593" si="638">+(AA586-O586)</f>
        <v>-36317</v>
      </c>
      <c r="AR586" s="13">
        <f t="shared" ref="AR586:AR593" si="639">+(AA586/O586)-1</f>
        <v>-1</v>
      </c>
      <c r="AS586" s="17">
        <f t="shared" ref="AS586:AS593" si="640">+AM586-AA586</f>
        <v>0</v>
      </c>
      <c r="AT586" s="18" t="e">
        <f t="shared" ref="AT586:AT593" si="641">+(AM586/AA586)-1</f>
        <v>#DIV/0!</v>
      </c>
    </row>
    <row r="587" spans="1:46" ht="14.25" hidden="1" customHeight="1">
      <c r="A587" t="s">
        <v>480</v>
      </c>
      <c r="B587">
        <v>820711</v>
      </c>
      <c r="C587">
        <v>409144</v>
      </c>
      <c r="D587" s="1">
        <v>476295</v>
      </c>
      <c r="E587" s="1">
        <v>592526</v>
      </c>
      <c r="F587" s="1">
        <v>700569</v>
      </c>
      <c r="G587" s="1">
        <v>876703</v>
      </c>
      <c r="H587" s="1">
        <v>1052394</v>
      </c>
      <c r="I587" s="1">
        <v>1128166</v>
      </c>
      <c r="J587" s="1">
        <v>1216940</v>
      </c>
      <c r="K587" s="1">
        <v>1409148</v>
      </c>
      <c r="L587" s="1">
        <v>1527222</v>
      </c>
      <c r="M587" s="1">
        <v>1552887</v>
      </c>
      <c r="N587" s="1">
        <v>1691294</v>
      </c>
      <c r="O587" s="1">
        <v>1883029</v>
      </c>
      <c r="P587" s="1">
        <v>2079013</v>
      </c>
      <c r="Q587" s="1">
        <v>2110930</v>
      </c>
      <c r="R587" s="1">
        <v>2255357</v>
      </c>
      <c r="S587" s="1">
        <v>2705020</v>
      </c>
      <c r="T587" s="1">
        <v>3037503</v>
      </c>
      <c r="U587" s="1">
        <v>3267852</v>
      </c>
      <c r="V587" s="1">
        <v>3508013</v>
      </c>
      <c r="W587" s="1">
        <v>3540372</v>
      </c>
      <c r="X587" s="1">
        <v>3441950</v>
      </c>
      <c r="Y587" s="1">
        <v>3343527</v>
      </c>
      <c r="Z587" s="1">
        <v>3245105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O587" s="7">
        <f t="shared" si="636"/>
        <v>1473885</v>
      </c>
      <c r="AP587" s="8">
        <f t="shared" si="637"/>
        <v>3.6023624934008565</v>
      </c>
      <c r="AQ587" s="12">
        <f t="shared" si="638"/>
        <v>-1883029</v>
      </c>
      <c r="AR587" s="13">
        <f t="shared" si="639"/>
        <v>-1</v>
      </c>
      <c r="AS587" s="17">
        <f t="shared" si="640"/>
        <v>0</v>
      </c>
      <c r="AT587" s="18" t="e">
        <f t="shared" si="641"/>
        <v>#DIV/0!</v>
      </c>
    </row>
    <row r="588" spans="1:46" ht="14.25" hidden="1" customHeight="1">
      <c r="A588" t="s">
        <v>481</v>
      </c>
      <c r="C588">
        <v>7583056</v>
      </c>
      <c r="D588" s="1">
        <v>8908176</v>
      </c>
      <c r="E588" s="1">
        <v>10073349</v>
      </c>
      <c r="F588" s="1">
        <v>11424672</v>
      </c>
      <c r="G588" s="1">
        <v>12332218</v>
      </c>
      <c r="H588" s="1">
        <v>13870508</v>
      </c>
      <c r="I588" s="1">
        <v>16179953</v>
      </c>
      <c r="J588" s="1">
        <v>17883167</v>
      </c>
      <c r="K588" s="1">
        <v>18828022</v>
      </c>
      <c r="L588" s="1">
        <v>21038863</v>
      </c>
      <c r="M588" s="1">
        <v>22131737</v>
      </c>
      <c r="N588" s="1">
        <v>23152063</v>
      </c>
      <c r="O588" s="1">
        <v>24406409</v>
      </c>
      <c r="P588" s="1">
        <v>26421711</v>
      </c>
      <c r="Q588" s="1">
        <v>28079611</v>
      </c>
      <c r="R588" s="1">
        <v>29889867</v>
      </c>
      <c r="S588" s="1">
        <v>32343693</v>
      </c>
      <c r="T588" s="1">
        <v>34643936</v>
      </c>
      <c r="U588" s="1">
        <v>34550768</v>
      </c>
      <c r="V588" s="1">
        <v>33478827</v>
      </c>
      <c r="W588" s="1">
        <v>32066901</v>
      </c>
      <c r="X588" s="1">
        <v>31175441</v>
      </c>
      <c r="Y588" s="1">
        <v>30283981</v>
      </c>
      <c r="Z588" s="1">
        <v>29392522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O588" s="7">
        <f t="shared" si="636"/>
        <v>16823353</v>
      </c>
      <c r="AP588" s="8">
        <f t="shared" si="637"/>
        <v>2.2185452672379053</v>
      </c>
      <c r="AQ588" s="12">
        <f t="shared" si="638"/>
        <v>-24406409</v>
      </c>
      <c r="AR588" s="13">
        <f t="shared" si="639"/>
        <v>-1</v>
      </c>
      <c r="AS588" s="17">
        <f t="shared" si="640"/>
        <v>0</v>
      </c>
      <c r="AT588" s="18" t="e">
        <f t="shared" si="641"/>
        <v>#DIV/0!</v>
      </c>
    </row>
    <row r="589" spans="1:46" ht="14.25" hidden="1" customHeight="1">
      <c r="A589" t="s">
        <v>482</v>
      </c>
      <c r="C589">
        <v>11736044</v>
      </c>
      <c r="D589" s="1">
        <v>11422566</v>
      </c>
      <c r="E589" s="1">
        <v>12529853</v>
      </c>
      <c r="F589" s="1">
        <v>14083244</v>
      </c>
      <c r="G589" s="1">
        <v>16942038</v>
      </c>
      <c r="H589" s="1">
        <v>18140774</v>
      </c>
      <c r="I589" s="1">
        <v>18998000</v>
      </c>
      <c r="J589" s="1">
        <v>20980600</v>
      </c>
      <c r="K589" s="1">
        <v>22612622</v>
      </c>
      <c r="L589" s="1">
        <v>24704243</v>
      </c>
      <c r="M589" s="1">
        <v>26033778</v>
      </c>
      <c r="N589" s="1">
        <v>27267127</v>
      </c>
      <c r="O589" s="1">
        <v>29947844</v>
      </c>
      <c r="P589" s="1">
        <v>31423215</v>
      </c>
      <c r="Q589" s="1">
        <v>34910139</v>
      </c>
      <c r="R589" s="1">
        <v>35485886</v>
      </c>
      <c r="S589" s="1">
        <v>36969535</v>
      </c>
      <c r="T589" s="1">
        <v>38977205</v>
      </c>
      <c r="U589" s="1">
        <v>37682157</v>
      </c>
      <c r="V589" s="1">
        <v>36915564</v>
      </c>
      <c r="W589" s="1">
        <v>37410965</v>
      </c>
      <c r="X589" s="1">
        <v>36370939</v>
      </c>
      <c r="Y589" s="1">
        <v>35330914</v>
      </c>
      <c r="Z589" s="1">
        <v>34290890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O589" s="7">
        <f t="shared" si="636"/>
        <v>18211800</v>
      </c>
      <c r="AP589" s="8">
        <f t="shared" si="637"/>
        <v>1.5517835481871063</v>
      </c>
      <c r="AQ589" s="12">
        <f t="shared" si="638"/>
        <v>-29947844</v>
      </c>
      <c r="AR589" s="13">
        <f t="shared" si="639"/>
        <v>-1</v>
      </c>
      <c r="AS589" s="17">
        <f t="shared" si="640"/>
        <v>0</v>
      </c>
      <c r="AT589" s="18" t="e">
        <f t="shared" si="641"/>
        <v>#DIV/0!</v>
      </c>
    </row>
    <row r="590" spans="1:46" ht="14.25" hidden="1" customHeight="1">
      <c r="A590" t="s">
        <v>483</v>
      </c>
      <c r="C590">
        <v>27721117</v>
      </c>
      <c r="D590" s="1">
        <v>31195387</v>
      </c>
      <c r="E590" s="1">
        <v>32891171</v>
      </c>
      <c r="F590" s="1">
        <v>34687727</v>
      </c>
      <c r="G590" s="1">
        <v>36473704</v>
      </c>
      <c r="H590" s="1">
        <v>41296222</v>
      </c>
      <c r="I590" s="1">
        <v>45773922</v>
      </c>
      <c r="J590" s="1">
        <v>50071609</v>
      </c>
      <c r="K590" s="1">
        <v>55564329</v>
      </c>
      <c r="L590" s="1">
        <v>58794855</v>
      </c>
      <c r="M590" s="1">
        <v>61282110</v>
      </c>
      <c r="N590" s="1">
        <v>64632620</v>
      </c>
      <c r="O590" s="1">
        <v>69753652</v>
      </c>
      <c r="P590" s="1">
        <v>73499921</v>
      </c>
      <c r="Q590" s="1">
        <v>76622362</v>
      </c>
      <c r="R590" s="1">
        <v>81145806</v>
      </c>
      <c r="S590" s="1">
        <v>87152933</v>
      </c>
      <c r="T590" s="1">
        <v>89354971</v>
      </c>
      <c r="U590" s="1">
        <v>89560195</v>
      </c>
      <c r="V590" s="1">
        <v>88589554</v>
      </c>
      <c r="W590" s="1">
        <v>87421566</v>
      </c>
      <c r="X590" s="1">
        <v>100020296</v>
      </c>
      <c r="Y590" s="1">
        <v>82560927</v>
      </c>
      <c r="Z590" s="1">
        <v>80130608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O590" s="7">
        <f t="shared" si="636"/>
        <v>42032535</v>
      </c>
      <c r="AP590" s="8">
        <f t="shared" si="637"/>
        <v>1.5162641173514042</v>
      </c>
      <c r="AQ590" s="12">
        <f t="shared" si="638"/>
        <v>-69753652</v>
      </c>
      <c r="AR590" s="13">
        <f t="shared" si="639"/>
        <v>-1</v>
      </c>
      <c r="AS590" s="17">
        <f t="shared" si="640"/>
        <v>0</v>
      </c>
      <c r="AT590" s="18" t="e">
        <f t="shared" si="641"/>
        <v>#DIV/0!</v>
      </c>
    </row>
    <row r="591" spans="1:46" ht="14.25" hidden="1" customHeight="1">
      <c r="A591" t="s">
        <v>484</v>
      </c>
      <c r="C591">
        <v>20440725</v>
      </c>
      <c r="D591" s="1">
        <v>23759013</v>
      </c>
      <c r="E591" s="1">
        <v>26430938</v>
      </c>
      <c r="F591" s="1">
        <v>30239631</v>
      </c>
      <c r="G591" s="1">
        <v>30270422</v>
      </c>
      <c r="H591" s="1">
        <v>33709954</v>
      </c>
      <c r="I591" s="1">
        <v>34766751</v>
      </c>
      <c r="J591" s="1">
        <v>34692661</v>
      </c>
      <c r="K591" s="1">
        <v>38100001</v>
      </c>
      <c r="L591" s="1">
        <v>41175127</v>
      </c>
      <c r="M591" s="1">
        <v>44497060</v>
      </c>
      <c r="N591" s="1">
        <v>48067723</v>
      </c>
      <c r="O591" s="1">
        <v>48918477</v>
      </c>
      <c r="P591" s="1">
        <v>51023216</v>
      </c>
      <c r="Q591" s="1">
        <v>52642319</v>
      </c>
      <c r="R591" s="1">
        <v>51094951</v>
      </c>
      <c r="S591" s="1">
        <v>54483780</v>
      </c>
      <c r="T591" s="1">
        <v>58081031</v>
      </c>
      <c r="U591" s="1">
        <v>57094060</v>
      </c>
      <c r="V591" s="1">
        <v>57245887</v>
      </c>
      <c r="W591" s="1">
        <v>57540297</v>
      </c>
      <c r="X591" s="1">
        <v>55940677</v>
      </c>
      <c r="Y591" s="1">
        <v>54341057</v>
      </c>
      <c r="Z591" s="1">
        <v>52741436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O591" s="7">
        <f t="shared" si="636"/>
        <v>28477752</v>
      </c>
      <c r="AP591" s="8">
        <f t="shared" si="637"/>
        <v>1.393186983338409</v>
      </c>
      <c r="AQ591" s="12">
        <f t="shared" si="638"/>
        <v>-48918477</v>
      </c>
      <c r="AR591" s="13">
        <f t="shared" si="639"/>
        <v>-1</v>
      </c>
      <c r="AS591" s="17">
        <f t="shared" si="640"/>
        <v>0</v>
      </c>
      <c r="AT591" s="18" t="e">
        <f t="shared" si="641"/>
        <v>#DIV/0!</v>
      </c>
    </row>
    <row r="592" spans="1:46" ht="14.25" hidden="1" customHeight="1">
      <c r="A592" t="s">
        <v>485</v>
      </c>
      <c r="C592">
        <v>18060197</v>
      </c>
      <c r="D592" s="1">
        <v>17387781</v>
      </c>
      <c r="E592" s="1">
        <v>16843992</v>
      </c>
      <c r="F592" s="1">
        <v>16499513</v>
      </c>
      <c r="G592" s="1">
        <v>15829160</v>
      </c>
      <c r="H592" s="1">
        <v>14161619</v>
      </c>
      <c r="I592" s="1">
        <v>14530912</v>
      </c>
      <c r="J592" s="1">
        <v>15850481</v>
      </c>
      <c r="K592" s="1">
        <v>19568252</v>
      </c>
      <c r="L592" s="1">
        <v>21981560</v>
      </c>
      <c r="M592" s="1">
        <v>20733061</v>
      </c>
      <c r="N592" s="1">
        <v>25913601</v>
      </c>
      <c r="O592" s="1">
        <v>28812790</v>
      </c>
      <c r="P592" s="1">
        <v>26512367</v>
      </c>
      <c r="Q592" s="1">
        <v>26749489</v>
      </c>
      <c r="R592" s="1">
        <v>28686714</v>
      </c>
      <c r="S592" s="1">
        <v>29435252</v>
      </c>
      <c r="T592" s="1">
        <v>30871819</v>
      </c>
      <c r="U592" s="1">
        <v>32097707</v>
      </c>
      <c r="V592" s="1">
        <v>30871077</v>
      </c>
      <c r="W592" s="1">
        <v>30792808</v>
      </c>
      <c r="X592" s="1">
        <v>29936768</v>
      </c>
      <c r="Y592" s="1">
        <v>29080728</v>
      </c>
      <c r="Z592" s="1">
        <v>28224688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O592" s="7">
        <f t="shared" si="636"/>
        <v>10752593</v>
      </c>
      <c r="AP592" s="8">
        <f t="shared" si="637"/>
        <v>0.59537517780121663</v>
      </c>
      <c r="AQ592" s="12">
        <f t="shared" si="638"/>
        <v>-28812790</v>
      </c>
      <c r="AR592" s="13">
        <f t="shared" si="639"/>
        <v>-1</v>
      </c>
      <c r="AS592" s="17">
        <f t="shared" si="640"/>
        <v>0</v>
      </c>
      <c r="AT592" s="18" t="e">
        <f t="shared" si="641"/>
        <v>#DIV/0!</v>
      </c>
    </row>
    <row r="593" spans="1:46" ht="14.25" hidden="1" customHeight="1">
      <c r="A593" t="s">
        <v>486</v>
      </c>
      <c r="C593">
        <v>9061729</v>
      </c>
      <c r="D593" s="1">
        <v>9461946</v>
      </c>
      <c r="E593" s="1">
        <v>9470946</v>
      </c>
      <c r="F593" s="1">
        <v>9493129</v>
      </c>
      <c r="G593" s="1">
        <v>9673895</v>
      </c>
      <c r="H593" s="1">
        <v>11160567</v>
      </c>
      <c r="I593" s="1">
        <v>11113442</v>
      </c>
      <c r="J593" s="1">
        <v>10990095</v>
      </c>
      <c r="K593" s="1">
        <v>15705755</v>
      </c>
      <c r="L593" s="1">
        <v>20205509</v>
      </c>
      <c r="M593" s="1">
        <v>14527268</v>
      </c>
      <c r="N593" s="1">
        <v>14128420</v>
      </c>
      <c r="O593" s="1">
        <v>14379454</v>
      </c>
      <c r="P593" s="1">
        <v>12631717</v>
      </c>
      <c r="Q593" s="1">
        <v>13382825</v>
      </c>
      <c r="R593" s="1">
        <v>13281255</v>
      </c>
      <c r="S593" s="1">
        <v>12927123</v>
      </c>
      <c r="T593" s="1">
        <v>14407140</v>
      </c>
      <c r="U593" s="1">
        <v>16057572</v>
      </c>
      <c r="V593" s="1">
        <v>17785465</v>
      </c>
      <c r="W593" s="1">
        <v>17599388</v>
      </c>
      <c r="X593" s="1">
        <v>20135718</v>
      </c>
      <c r="Y593" s="1">
        <v>16620862</v>
      </c>
      <c r="Z593" s="1">
        <v>16131599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O593" s="7">
        <f t="shared" si="636"/>
        <v>5317725</v>
      </c>
      <c r="AP593" s="8">
        <f t="shared" si="637"/>
        <v>0.58683337363101451</v>
      </c>
      <c r="AQ593" s="12">
        <f t="shared" si="638"/>
        <v>-14379454</v>
      </c>
      <c r="AR593" s="13">
        <f t="shared" si="639"/>
        <v>-1</v>
      </c>
      <c r="AS593" s="17">
        <f t="shared" si="640"/>
        <v>0</v>
      </c>
      <c r="AT593" s="18" t="e">
        <f t="shared" si="641"/>
        <v>#DIV/0!</v>
      </c>
    </row>
    <row r="594" spans="1:46" ht="14.25" hidden="1" customHeight="1">
      <c r="A594" t="s">
        <v>11</v>
      </c>
      <c r="B594" t="s">
        <v>12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46" ht="14.25" hidden="1" customHeight="1">
      <c r="A595" t="s">
        <v>487</v>
      </c>
      <c r="C595">
        <v>95021784</v>
      </c>
      <c r="D595" s="1">
        <v>102623106</v>
      </c>
      <c r="E595" s="1">
        <v>108845106</v>
      </c>
      <c r="F595" s="1">
        <v>117137970</v>
      </c>
      <c r="G595" s="1">
        <v>122411281</v>
      </c>
      <c r="H595" s="1">
        <v>133403937</v>
      </c>
      <c r="I595" s="1">
        <v>142506051</v>
      </c>
      <c r="J595" s="1">
        <v>151702459</v>
      </c>
      <c r="K595" s="1">
        <v>171808348</v>
      </c>
      <c r="L595" s="1">
        <v>189452361</v>
      </c>
      <c r="M595" s="1">
        <v>190789032</v>
      </c>
      <c r="N595" s="1">
        <v>204880525</v>
      </c>
      <c r="O595" s="1">
        <v>218137973</v>
      </c>
      <c r="P595" s="1">
        <v>223637149</v>
      </c>
      <c r="Q595" s="1">
        <v>234539853</v>
      </c>
      <c r="R595" s="1">
        <v>241878780</v>
      </c>
      <c r="S595" s="1">
        <v>256060015</v>
      </c>
      <c r="T595" s="1">
        <v>269427116</v>
      </c>
      <c r="U595" s="1">
        <v>270374145</v>
      </c>
      <c r="V595" s="1">
        <v>268455062</v>
      </c>
      <c r="W595" s="1">
        <v>266438960</v>
      </c>
      <c r="X595" s="1">
        <v>277086597</v>
      </c>
      <c r="Y595" s="1">
        <v>251624951</v>
      </c>
      <c r="Z595" s="1">
        <v>244217949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O595" s="7">
        <f t="shared" ref="AO595" si="642">+O595-C595</f>
        <v>123116189</v>
      </c>
      <c r="AP595" s="8">
        <f t="shared" ref="AP595" si="643">+(O595/C595)-1</f>
        <v>1.2956627819153552</v>
      </c>
      <c r="AQ595" s="12">
        <f t="shared" ref="AQ595" si="644">+(AA595-O595)</f>
        <v>-218137973</v>
      </c>
      <c r="AR595" s="13">
        <f t="shared" ref="AR595" si="645">+(AA595/O595)-1</f>
        <v>-1</v>
      </c>
      <c r="AS595" s="17">
        <f t="shared" ref="AS595" si="646">+AM595-AA595</f>
        <v>0</v>
      </c>
      <c r="AT595" s="18" t="e">
        <f t="shared" ref="AT595" si="647">+(AM595/AA595)-1</f>
        <v>#DIV/0!</v>
      </c>
    </row>
    <row r="596" spans="1:46" ht="14.25" hidden="1" customHeight="1"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46" ht="14.25" hidden="1" customHeight="1">
      <c r="A597" t="s">
        <v>488</v>
      </c>
      <c r="C597">
        <v>4629</v>
      </c>
      <c r="D597" s="1">
        <v>4343</v>
      </c>
      <c r="E597" s="1">
        <v>4165</v>
      </c>
      <c r="F597" s="1">
        <v>3583</v>
      </c>
      <c r="G597" s="1">
        <v>3406</v>
      </c>
      <c r="H597" s="1">
        <v>4574</v>
      </c>
      <c r="I597" s="1">
        <v>3528</v>
      </c>
      <c r="J597" s="1">
        <v>3573</v>
      </c>
      <c r="K597" s="1">
        <v>4417</v>
      </c>
      <c r="L597" s="1">
        <v>2553</v>
      </c>
      <c r="M597" s="1">
        <v>2294</v>
      </c>
      <c r="N597" s="1">
        <v>2015</v>
      </c>
      <c r="O597" s="1">
        <v>2144</v>
      </c>
      <c r="P597" s="1">
        <v>3170</v>
      </c>
      <c r="Q597" s="1">
        <v>3067</v>
      </c>
      <c r="R597" s="1">
        <v>3941</v>
      </c>
      <c r="S597" s="1">
        <v>3403</v>
      </c>
      <c r="T597" s="1">
        <v>2013</v>
      </c>
      <c r="U597" s="1">
        <v>1922</v>
      </c>
      <c r="V597" s="1">
        <v>1998</v>
      </c>
      <c r="W597" s="1">
        <v>3903</v>
      </c>
      <c r="X597" s="1">
        <v>3795</v>
      </c>
      <c r="Y597" s="1">
        <v>3481</v>
      </c>
      <c r="Z597" s="1">
        <v>3315</v>
      </c>
      <c r="AA597" s="1">
        <v>3072</v>
      </c>
      <c r="AB597" s="1">
        <v>2986</v>
      </c>
      <c r="AC597" s="1">
        <v>2891</v>
      </c>
      <c r="AD597" s="1">
        <v>2789</v>
      </c>
      <c r="AE597" s="1">
        <v>2708</v>
      </c>
      <c r="AF597" s="1">
        <v>2616</v>
      </c>
      <c r="AG597" s="1">
        <v>2513</v>
      </c>
      <c r="AH597" s="1">
        <v>2405</v>
      </c>
      <c r="AI597" s="1">
        <v>2285</v>
      </c>
      <c r="AJ597" s="1">
        <v>2152</v>
      </c>
      <c r="AK597" s="1">
        <v>1999</v>
      </c>
      <c r="AL597" s="1">
        <v>1829</v>
      </c>
      <c r="AM597" s="1">
        <v>1649</v>
      </c>
      <c r="AO597" s="7">
        <f t="shared" ref="AO597:AO604" si="648">+O597-C597</f>
        <v>-2485</v>
      </c>
      <c r="AP597" s="8">
        <f t="shared" ref="AP597:AP604" si="649">+(O597/C597)-1</f>
        <v>-0.53683300928926336</v>
      </c>
      <c r="AQ597" s="12">
        <f t="shared" ref="AQ597:AQ604" si="650">+(AA597-O597)</f>
        <v>928</v>
      </c>
      <c r="AR597" s="13">
        <f t="shared" ref="AR597:AR604" si="651">+(AA597/O597)-1</f>
        <v>0.43283582089552231</v>
      </c>
      <c r="AS597" s="17">
        <f t="shared" ref="AS597:AS604" si="652">+AM597-AA597</f>
        <v>-1423</v>
      </c>
      <c r="AT597" s="18">
        <f t="shared" ref="AT597:AT604" si="653">+(AM597/AA597)-1</f>
        <v>-0.46321614583333337</v>
      </c>
    </row>
    <row r="598" spans="1:46" ht="14.25" hidden="1" customHeight="1">
      <c r="A598" t="s">
        <v>489</v>
      </c>
      <c r="B598">
        <v>820710</v>
      </c>
      <c r="C598">
        <v>237456</v>
      </c>
      <c r="D598" s="1">
        <v>228007</v>
      </c>
      <c r="E598" s="1">
        <v>224512</v>
      </c>
      <c r="F598" s="1">
        <v>279936</v>
      </c>
      <c r="G598" s="1">
        <v>258430</v>
      </c>
      <c r="H598" s="1">
        <v>304851</v>
      </c>
      <c r="I598" s="1">
        <v>297261</v>
      </c>
      <c r="J598" s="1">
        <v>312385</v>
      </c>
      <c r="K598" s="1">
        <v>320480</v>
      </c>
      <c r="L598" s="1">
        <v>347432</v>
      </c>
      <c r="M598" s="1">
        <v>314037</v>
      </c>
      <c r="N598" s="1">
        <v>333369</v>
      </c>
      <c r="O598" s="1">
        <v>327470</v>
      </c>
      <c r="P598" s="1">
        <v>308693</v>
      </c>
      <c r="Q598" s="1">
        <v>318996</v>
      </c>
      <c r="R598" s="1">
        <v>308394</v>
      </c>
      <c r="S598" s="1">
        <v>334519</v>
      </c>
      <c r="T598" s="1">
        <v>346119</v>
      </c>
      <c r="U598" s="1">
        <v>349064</v>
      </c>
      <c r="V598" s="1">
        <v>403168</v>
      </c>
      <c r="W598" s="1">
        <v>349358</v>
      </c>
      <c r="X598" s="1">
        <v>339645</v>
      </c>
      <c r="Y598" s="1">
        <v>311567</v>
      </c>
      <c r="Z598" s="1">
        <v>296733</v>
      </c>
      <c r="AA598" s="1">
        <v>274984</v>
      </c>
      <c r="AB598" s="1">
        <v>267216</v>
      </c>
      <c r="AC598" s="1">
        <v>258748</v>
      </c>
      <c r="AD598" s="1">
        <v>249580</v>
      </c>
      <c r="AE598" s="1">
        <v>242401</v>
      </c>
      <c r="AF598" s="1">
        <v>234173</v>
      </c>
      <c r="AG598" s="1">
        <v>224894</v>
      </c>
      <c r="AH598" s="1">
        <v>215286</v>
      </c>
      <c r="AI598" s="1">
        <v>204512</v>
      </c>
      <c r="AJ598" s="1">
        <v>192571</v>
      </c>
      <c r="AK598" s="1">
        <v>178917</v>
      </c>
      <c r="AL598" s="1">
        <v>163724</v>
      </c>
      <c r="AM598" s="1">
        <v>147598</v>
      </c>
      <c r="AO598" s="7">
        <f t="shared" si="648"/>
        <v>90014</v>
      </c>
      <c r="AP598" s="8">
        <f t="shared" si="649"/>
        <v>0.37907654470722996</v>
      </c>
      <c r="AQ598" s="12">
        <f t="shared" si="650"/>
        <v>-52486</v>
      </c>
      <c r="AR598" s="13">
        <f t="shared" si="651"/>
        <v>-0.16027727730784502</v>
      </c>
      <c r="AS598" s="17">
        <f t="shared" si="652"/>
        <v>-127386</v>
      </c>
      <c r="AT598" s="18">
        <f t="shared" si="653"/>
        <v>-0.46324877083757598</v>
      </c>
    </row>
    <row r="599" spans="1:46" ht="14.25" hidden="1" customHeight="1">
      <c r="A599" t="s">
        <v>490</v>
      </c>
      <c r="C599">
        <v>647679</v>
      </c>
      <c r="D599" s="1">
        <v>568221</v>
      </c>
      <c r="E599" s="1">
        <v>527108</v>
      </c>
      <c r="F599" s="1">
        <v>475058</v>
      </c>
      <c r="G599" s="1">
        <v>493873</v>
      </c>
      <c r="H599" s="1">
        <v>552977</v>
      </c>
      <c r="I599" s="1">
        <v>630870</v>
      </c>
      <c r="J599" s="1">
        <v>603006</v>
      </c>
      <c r="K599" s="1">
        <v>560224</v>
      </c>
      <c r="L599" s="1">
        <v>521149</v>
      </c>
      <c r="M599" s="1">
        <v>750777</v>
      </c>
      <c r="N599" s="1">
        <v>668001</v>
      </c>
      <c r="O599" s="1">
        <v>679747</v>
      </c>
      <c r="P599" s="1">
        <v>687581</v>
      </c>
      <c r="Q599" s="1">
        <v>707515</v>
      </c>
      <c r="R599" s="1">
        <v>655824</v>
      </c>
      <c r="S599" s="1">
        <v>727265</v>
      </c>
      <c r="T599" s="1">
        <v>650089</v>
      </c>
      <c r="U599" s="1">
        <v>656647</v>
      </c>
      <c r="V599" s="1">
        <v>681520</v>
      </c>
      <c r="W599" s="1">
        <v>739323</v>
      </c>
      <c r="X599" s="1">
        <v>718770</v>
      </c>
      <c r="Y599" s="1">
        <v>659350</v>
      </c>
      <c r="Z599" s="1">
        <v>627957</v>
      </c>
      <c r="AA599" s="1">
        <v>581931</v>
      </c>
      <c r="AB599" s="1">
        <v>565492</v>
      </c>
      <c r="AC599" s="1">
        <v>547571</v>
      </c>
      <c r="AD599" s="1">
        <v>528169</v>
      </c>
      <c r="AE599" s="1">
        <v>512978</v>
      </c>
      <c r="AF599" s="1">
        <v>495564</v>
      </c>
      <c r="AG599" s="1">
        <v>475928</v>
      </c>
      <c r="AH599" s="1">
        <v>455597</v>
      </c>
      <c r="AI599" s="1">
        <v>432796</v>
      </c>
      <c r="AJ599" s="1">
        <v>407526</v>
      </c>
      <c r="AK599" s="1">
        <v>378630</v>
      </c>
      <c r="AL599" s="1">
        <v>346479</v>
      </c>
      <c r="AM599" s="1">
        <v>312352</v>
      </c>
      <c r="AO599" s="7">
        <f t="shared" si="648"/>
        <v>32068</v>
      </c>
      <c r="AP599" s="8">
        <f t="shared" si="649"/>
        <v>4.9512181188520854E-2</v>
      </c>
      <c r="AQ599" s="12">
        <f t="shared" si="650"/>
        <v>-97816</v>
      </c>
      <c r="AR599" s="13">
        <f t="shared" si="651"/>
        <v>-0.14390059831084212</v>
      </c>
      <c r="AS599" s="17">
        <f t="shared" si="652"/>
        <v>-269579</v>
      </c>
      <c r="AT599" s="18">
        <f t="shared" si="653"/>
        <v>-0.4632490793582057</v>
      </c>
    </row>
    <row r="600" spans="1:46" ht="14.25" hidden="1" customHeight="1">
      <c r="A600" t="s">
        <v>491</v>
      </c>
      <c r="C600">
        <v>1895024</v>
      </c>
      <c r="D600" s="1">
        <v>2088511</v>
      </c>
      <c r="E600" s="1">
        <v>2080751</v>
      </c>
      <c r="F600" s="1">
        <v>2170701</v>
      </c>
      <c r="G600" s="1">
        <v>2137082</v>
      </c>
      <c r="H600" s="1">
        <v>1915353</v>
      </c>
      <c r="I600" s="1">
        <v>1983614</v>
      </c>
      <c r="J600" s="1">
        <v>1933939</v>
      </c>
      <c r="K600" s="1">
        <v>2027700</v>
      </c>
      <c r="L600" s="1">
        <v>2274698</v>
      </c>
      <c r="M600" s="1">
        <v>2125573</v>
      </c>
      <c r="N600" s="1">
        <v>2343757</v>
      </c>
      <c r="O600" s="1">
        <v>2088625</v>
      </c>
      <c r="P600" s="1">
        <v>2042654</v>
      </c>
      <c r="Q600" s="1">
        <v>2030954</v>
      </c>
      <c r="R600" s="1">
        <v>2169244</v>
      </c>
      <c r="S600" s="1">
        <v>2257939</v>
      </c>
      <c r="T600" s="1">
        <v>2284632</v>
      </c>
      <c r="U600" s="1">
        <v>2302510</v>
      </c>
      <c r="V600" s="1">
        <v>2218134</v>
      </c>
      <c r="W600" s="1">
        <v>2108965</v>
      </c>
      <c r="X600" s="1">
        <v>2050336</v>
      </c>
      <c r="Y600" s="1">
        <v>1880837</v>
      </c>
      <c r="Z600" s="1">
        <v>1791288</v>
      </c>
      <c r="AA600" s="1">
        <v>1659995</v>
      </c>
      <c r="AB600" s="1">
        <v>1613102</v>
      </c>
      <c r="AC600" s="1">
        <v>1561982</v>
      </c>
      <c r="AD600" s="1">
        <v>1506636</v>
      </c>
      <c r="AE600" s="1">
        <v>1463302</v>
      </c>
      <c r="AF600" s="1">
        <v>1413628</v>
      </c>
      <c r="AG600" s="1">
        <v>1357615</v>
      </c>
      <c r="AH600" s="1">
        <v>1299618</v>
      </c>
      <c r="AI600" s="1">
        <v>1234577</v>
      </c>
      <c r="AJ600" s="1">
        <v>1162493</v>
      </c>
      <c r="AK600" s="1">
        <v>1080066</v>
      </c>
      <c r="AL600" s="1">
        <v>988352</v>
      </c>
      <c r="AM600" s="1">
        <v>891004</v>
      </c>
      <c r="AO600" s="7">
        <f t="shared" si="648"/>
        <v>193601</v>
      </c>
      <c r="AP600" s="8">
        <f t="shared" si="649"/>
        <v>0.10216282221227813</v>
      </c>
      <c r="AQ600" s="12">
        <f t="shared" si="650"/>
        <v>-428630</v>
      </c>
      <c r="AR600" s="13">
        <f t="shared" si="651"/>
        <v>-0.20522113830869593</v>
      </c>
      <c r="AS600" s="17">
        <f t="shared" si="652"/>
        <v>-768991</v>
      </c>
      <c r="AT600" s="18">
        <f t="shared" si="653"/>
        <v>-0.46324898568971595</v>
      </c>
    </row>
    <row r="601" spans="1:46" ht="14.25" hidden="1" customHeight="1">
      <c r="A601" t="s">
        <v>492</v>
      </c>
      <c r="C601">
        <v>3435737</v>
      </c>
      <c r="D601" s="1">
        <v>3070518</v>
      </c>
      <c r="E601" s="1">
        <v>3194838</v>
      </c>
      <c r="F601" s="1">
        <v>3250673</v>
      </c>
      <c r="G601" s="1">
        <v>2982985</v>
      </c>
      <c r="H601" s="1">
        <v>2469164</v>
      </c>
      <c r="I601" s="1">
        <v>2553661</v>
      </c>
      <c r="J601" s="1">
        <v>2683626</v>
      </c>
      <c r="K601" s="1">
        <v>2817560</v>
      </c>
      <c r="L601" s="1">
        <v>3256329</v>
      </c>
      <c r="M601" s="1">
        <v>3341242</v>
      </c>
      <c r="N601" s="1">
        <v>2878699</v>
      </c>
      <c r="O601" s="1">
        <v>2379893</v>
      </c>
      <c r="P601" s="1">
        <v>2825873</v>
      </c>
      <c r="Q601" s="1">
        <v>2779690</v>
      </c>
      <c r="R601" s="1">
        <v>3170504</v>
      </c>
      <c r="S601" s="1">
        <v>2655584</v>
      </c>
      <c r="T601" s="1">
        <v>2721846</v>
      </c>
      <c r="U601" s="1">
        <v>2438546</v>
      </c>
      <c r="V601" s="1">
        <v>2685016</v>
      </c>
      <c r="W601" s="1">
        <v>2785036</v>
      </c>
      <c r="X601" s="1">
        <v>2707612</v>
      </c>
      <c r="Y601" s="1">
        <v>2483777</v>
      </c>
      <c r="Z601" s="1">
        <v>2365522</v>
      </c>
      <c r="AA601" s="1">
        <v>2192140</v>
      </c>
      <c r="AB601" s="1">
        <v>2130214</v>
      </c>
      <c r="AC601" s="1">
        <v>2062707</v>
      </c>
      <c r="AD601" s="1">
        <v>1989619</v>
      </c>
      <c r="AE601" s="1">
        <v>1932393</v>
      </c>
      <c r="AF601" s="1">
        <v>1866795</v>
      </c>
      <c r="AG601" s="1">
        <v>1792825</v>
      </c>
      <c r="AH601" s="1">
        <v>1716237</v>
      </c>
      <c r="AI601" s="1">
        <v>1630346</v>
      </c>
      <c r="AJ601" s="1">
        <v>1535154</v>
      </c>
      <c r="AK601" s="1">
        <v>1426303</v>
      </c>
      <c r="AL601" s="1">
        <v>1305189</v>
      </c>
      <c r="AM601" s="1">
        <v>1176633</v>
      </c>
      <c r="AO601" s="7">
        <f t="shared" si="648"/>
        <v>-1055844</v>
      </c>
      <c r="AP601" s="8">
        <f t="shared" si="649"/>
        <v>-0.30731223024346743</v>
      </c>
      <c r="AQ601" s="12">
        <f t="shared" si="650"/>
        <v>-187753</v>
      </c>
      <c r="AR601" s="13">
        <f t="shared" si="651"/>
        <v>-7.8891361922573844E-2</v>
      </c>
      <c r="AS601" s="17">
        <f t="shared" si="652"/>
        <v>-1015507</v>
      </c>
      <c r="AT601" s="18">
        <f t="shared" si="653"/>
        <v>-0.46324915379492182</v>
      </c>
    </row>
    <row r="602" spans="1:46" ht="14.25" hidden="1" customHeight="1">
      <c r="A602" t="s">
        <v>493</v>
      </c>
      <c r="C602">
        <v>694848</v>
      </c>
      <c r="D602" s="1">
        <v>916856</v>
      </c>
      <c r="E602" s="1">
        <v>874041</v>
      </c>
      <c r="F602" s="1">
        <v>625315</v>
      </c>
      <c r="G602" s="1">
        <v>876960</v>
      </c>
      <c r="H602" s="1">
        <v>1443126</v>
      </c>
      <c r="I602" s="1">
        <v>1422648</v>
      </c>
      <c r="J602" s="1">
        <v>452831</v>
      </c>
      <c r="K602" s="1">
        <v>383491</v>
      </c>
      <c r="L602" s="1">
        <v>390952</v>
      </c>
      <c r="M602" s="1">
        <v>669539</v>
      </c>
      <c r="N602" s="1">
        <v>871982</v>
      </c>
      <c r="O602" s="1">
        <v>876803</v>
      </c>
      <c r="P602" s="1">
        <v>933796</v>
      </c>
      <c r="Q602" s="1">
        <v>914116</v>
      </c>
      <c r="R602" s="1">
        <v>665535</v>
      </c>
      <c r="S602" s="1">
        <v>968460</v>
      </c>
      <c r="T602" s="1">
        <v>532314</v>
      </c>
      <c r="U602" s="1">
        <v>522201</v>
      </c>
      <c r="V602" s="1">
        <v>255786</v>
      </c>
      <c r="W602" s="1">
        <v>273595</v>
      </c>
      <c r="X602" s="1">
        <v>265989</v>
      </c>
      <c r="Y602" s="1">
        <v>244000</v>
      </c>
      <c r="Z602" s="1">
        <v>232383</v>
      </c>
      <c r="AA602" s="1">
        <v>215350</v>
      </c>
      <c r="AB602" s="1">
        <v>209267</v>
      </c>
      <c r="AC602" s="1">
        <v>202635</v>
      </c>
      <c r="AD602" s="1">
        <v>195455</v>
      </c>
      <c r="AE602" s="1">
        <v>189833</v>
      </c>
      <c r="AF602" s="1">
        <v>183389</v>
      </c>
      <c r="AG602" s="1">
        <v>176122</v>
      </c>
      <c r="AH602" s="1">
        <v>168599</v>
      </c>
      <c r="AI602" s="1">
        <v>160161</v>
      </c>
      <c r="AJ602" s="1">
        <v>150810</v>
      </c>
      <c r="AK602" s="1">
        <v>140116</v>
      </c>
      <c r="AL602" s="1">
        <v>128218</v>
      </c>
      <c r="AM602" s="1">
        <v>115589</v>
      </c>
      <c r="AO602" s="7">
        <f t="shared" si="648"/>
        <v>181955</v>
      </c>
      <c r="AP602" s="8">
        <f t="shared" si="649"/>
        <v>0.26186302615823887</v>
      </c>
      <c r="AQ602" s="12">
        <f t="shared" si="650"/>
        <v>-661453</v>
      </c>
      <c r="AR602" s="13">
        <f t="shared" si="651"/>
        <v>-0.75439180750978263</v>
      </c>
      <c r="AS602" s="17">
        <f t="shared" si="652"/>
        <v>-99761</v>
      </c>
      <c r="AT602" s="18">
        <f t="shared" si="653"/>
        <v>-0.46325052240538656</v>
      </c>
    </row>
    <row r="603" spans="1:46" ht="14.25" hidden="1" customHeight="1">
      <c r="A603" t="s">
        <v>494</v>
      </c>
      <c r="C603">
        <v>1441235</v>
      </c>
      <c r="D603" s="1">
        <v>1114160</v>
      </c>
      <c r="E603" s="1">
        <v>1110480</v>
      </c>
      <c r="F603" s="1">
        <v>1653746</v>
      </c>
      <c r="G603" s="1">
        <v>548961</v>
      </c>
      <c r="H603" s="1">
        <v>0</v>
      </c>
      <c r="I603" s="1">
        <v>0</v>
      </c>
      <c r="J603" s="1">
        <v>537937</v>
      </c>
      <c r="K603" s="1">
        <v>579299</v>
      </c>
      <c r="L603" s="1">
        <v>590623</v>
      </c>
      <c r="M603" s="1">
        <v>592001</v>
      </c>
      <c r="N603" s="1">
        <v>628390</v>
      </c>
      <c r="O603" s="1">
        <v>629864</v>
      </c>
      <c r="P603" s="1">
        <v>611179</v>
      </c>
      <c r="Q603" s="1">
        <v>572276</v>
      </c>
      <c r="R603" s="1">
        <v>583489</v>
      </c>
      <c r="S603" s="1">
        <v>584586</v>
      </c>
      <c r="T603" s="1">
        <v>655778</v>
      </c>
      <c r="U603" s="1">
        <v>697041</v>
      </c>
      <c r="V603" s="1">
        <v>728422</v>
      </c>
      <c r="W603" s="1">
        <v>759849</v>
      </c>
      <c r="X603" s="1">
        <v>738725</v>
      </c>
      <c r="Y603" s="1">
        <v>677656</v>
      </c>
      <c r="Z603" s="1">
        <v>645392</v>
      </c>
      <c r="AA603" s="1">
        <v>598087</v>
      </c>
      <c r="AB603" s="1">
        <v>581192</v>
      </c>
      <c r="AC603" s="1">
        <v>562774</v>
      </c>
      <c r="AD603" s="1">
        <v>542833</v>
      </c>
      <c r="AE603" s="1">
        <v>527220</v>
      </c>
      <c r="AF603" s="1">
        <v>509323</v>
      </c>
      <c r="AG603" s="1">
        <v>489141</v>
      </c>
      <c r="AH603" s="1">
        <v>468245</v>
      </c>
      <c r="AI603" s="1">
        <v>444812</v>
      </c>
      <c r="AJ603" s="1">
        <v>418840</v>
      </c>
      <c r="AK603" s="1">
        <v>389142</v>
      </c>
      <c r="AL603" s="1">
        <v>356098</v>
      </c>
      <c r="AM603" s="1">
        <v>321024</v>
      </c>
      <c r="AO603" s="7">
        <f t="shared" si="648"/>
        <v>-811371</v>
      </c>
      <c r="AP603" s="8">
        <f t="shared" si="649"/>
        <v>-0.56296925900356287</v>
      </c>
      <c r="AQ603" s="12">
        <f t="shared" si="650"/>
        <v>-31777</v>
      </c>
      <c r="AR603" s="13">
        <f t="shared" si="651"/>
        <v>-5.0450573457127224E-2</v>
      </c>
      <c r="AS603" s="17">
        <f t="shared" si="652"/>
        <v>-277063</v>
      </c>
      <c r="AT603" s="18">
        <f t="shared" si="653"/>
        <v>-0.46324865780396496</v>
      </c>
    </row>
    <row r="604" spans="1:46" ht="14.25" hidden="1" customHeight="1">
      <c r="A604" t="s">
        <v>495</v>
      </c>
      <c r="C604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O604" s="7">
        <f t="shared" si="648"/>
        <v>0</v>
      </c>
      <c r="AP604" s="8" t="e">
        <f t="shared" si="649"/>
        <v>#DIV/0!</v>
      </c>
      <c r="AQ604" s="12">
        <f t="shared" si="650"/>
        <v>0</v>
      </c>
      <c r="AR604" s="13" t="e">
        <f t="shared" si="651"/>
        <v>#DIV/0!</v>
      </c>
      <c r="AS604" s="17">
        <f t="shared" si="652"/>
        <v>0</v>
      </c>
      <c r="AT604" s="18" t="e">
        <f t="shared" si="653"/>
        <v>#DIV/0!</v>
      </c>
    </row>
    <row r="605" spans="1:46" ht="14.25" hidden="1" customHeight="1">
      <c r="A605" t="s">
        <v>11</v>
      </c>
      <c r="B605" t="s">
        <v>12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46" ht="14.25" hidden="1" customHeight="1">
      <c r="A606" t="s">
        <v>496</v>
      </c>
      <c r="C606">
        <v>8356607</v>
      </c>
      <c r="D606" s="1">
        <v>7990617</v>
      </c>
      <c r="E606" s="1">
        <v>8015895</v>
      </c>
      <c r="F606" s="1">
        <v>8459012</v>
      </c>
      <c r="G606" s="1">
        <v>7301698</v>
      </c>
      <c r="H606" s="1">
        <v>6690045</v>
      </c>
      <c r="I606" s="1">
        <v>6891583</v>
      </c>
      <c r="J606" s="1">
        <v>6527297</v>
      </c>
      <c r="K606" s="1">
        <v>6693170</v>
      </c>
      <c r="L606" s="1">
        <v>7383738</v>
      </c>
      <c r="M606" s="1">
        <v>7795462</v>
      </c>
      <c r="N606" s="1">
        <v>7726213</v>
      </c>
      <c r="O606" s="1">
        <v>6984546</v>
      </c>
      <c r="P606" s="1">
        <v>7412946</v>
      </c>
      <c r="Q606" s="1">
        <v>7326614</v>
      </c>
      <c r="R606" s="1">
        <v>7556931</v>
      </c>
      <c r="S606" s="1">
        <v>7531755</v>
      </c>
      <c r="T606" s="1">
        <v>7192790</v>
      </c>
      <c r="U606" s="1">
        <v>6967931</v>
      </c>
      <c r="V606" s="1">
        <v>6974043</v>
      </c>
      <c r="W606" s="1">
        <v>7020029</v>
      </c>
      <c r="X606" s="1">
        <v>6824872</v>
      </c>
      <c r="Y606" s="1">
        <v>6260667</v>
      </c>
      <c r="Z606" s="1">
        <v>5962591</v>
      </c>
      <c r="AA606" s="1">
        <v>5525560</v>
      </c>
      <c r="AB606" s="1">
        <v>5369468</v>
      </c>
      <c r="AC606" s="1">
        <v>5199309</v>
      </c>
      <c r="AD606" s="1">
        <v>5015082</v>
      </c>
      <c r="AE606" s="1">
        <v>4870835</v>
      </c>
      <c r="AF606" s="1">
        <v>4705488</v>
      </c>
      <c r="AG606" s="1">
        <v>4519039</v>
      </c>
      <c r="AH606" s="1">
        <v>4325987</v>
      </c>
      <c r="AI606" s="1">
        <v>4109490</v>
      </c>
      <c r="AJ606" s="1">
        <v>3869546</v>
      </c>
      <c r="AK606" s="1">
        <v>3595174</v>
      </c>
      <c r="AL606" s="1">
        <v>3289890</v>
      </c>
      <c r="AM606" s="1">
        <v>2965850</v>
      </c>
      <c r="AO606" s="7">
        <f t="shared" ref="AO606" si="654">+O606-C606</f>
        <v>-1372061</v>
      </c>
      <c r="AP606" s="8">
        <f t="shared" ref="AP606" si="655">+(O606/C606)-1</f>
        <v>-0.16418876704384922</v>
      </c>
      <c r="AQ606" s="12">
        <f t="shared" ref="AQ606" si="656">+(AA606-O606)</f>
        <v>-1458986</v>
      </c>
      <c r="AR606" s="13">
        <f t="shared" ref="AR606" si="657">+(AA606/O606)-1</f>
        <v>-0.20888773586715581</v>
      </c>
      <c r="AS606" s="17">
        <f t="shared" ref="AS606" si="658">+AM606-AA606</f>
        <v>-2559710</v>
      </c>
      <c r="AT606" s="18">
        <f t="shared" ref="AT606" si="659">+(AM606/AA606)-1</f>
        <v>-0.46324897385966313</v>
      </c>
    </row>
    <row r="607" spans="1:46" ht="14.25" hidden="1" customHeight="1"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46" ht="14.25" hidden="1" customHeight="1">
      <c r="A608" t="s">
        <v>497</v>
      </c>
      <c r="B608">
        <v>820709</v>
      </c>
      <c r="C608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1406109</v>
      </c>
      <c r="V608" s="1">
        <v>3268878</v>
      </c>
      <c r="W608" s="1">
        <v>3738609</v>
      </c>
      <c r="X608" s="1">
        <v>5413167</v>
      </c>
      <c r="Y608" s="1">
        <v>7248092</v>
      </c>
      <c r="Z608" s="1">
        <v>8912944</v>
      </c>
      <c r="AA608" s="1">
        <v>18163718</v>
      </c>
      <c r="AB608" s="1">
        <v>18193991</v>
      </c>
      <c r="AC608" s="1">
        <v>18224314</v>
      </c>
      <c r="AD608" s="1">
        <v>18254688</v>
      </c>
      <c r="AE608" s="1">
        <v>18285112</v>
      </c>
      <c r="AF608" s="1">
        <v>18315588</v>
      </c>
      <c r="AG608" s="1">
        <v>18346114</v>
      </c>
      <c r="AH608" s="1">
        <v>18376690</v>
      </c>
      <c r="AI608" s="1">
        <v>18407318</v>
      </c>
      <c r="AJ608" s="1">
        <v>18437997</v>
      </c>
      <c r="AK608" s="1">
        <v>18468727</v>
      </c>
      <c r="AL608" s="1">
        <v>18499508</v>
      </c>
      <c r="AM608" s="1">
        <v>18530341</v>
      </c>
      <c r="AO608" s="7">
        <f t="shared" ref="AO608" si="660">+O608-C608</f>
        <v>0</v>
      </c>
      <c r="AP608" s="8" t="e">
        <f t="shared" ref="AP608" si="661">+(O608/C608)-1</f>
        <v>#DIV/0!</v>
      </c>
      <c r="AQ608" s="12">
        <f t="shared" ref="AQ608" si="662">+(AA608-O608)</f>
        <v>18163718</v>
      </c>
      <c r="AR608" s="13" t="e">
        <f t="shared" ref="AR608" si="663">+(AA608/O608)-1</f>
        <v>#DIV/0!</v>
      </c>
      <c r="AS608" s="17">
        <f t="shared" ref="AS608" si="664">+AM608-AA608</f>
        <v>366623</v>
      </c>
      <c r="AT608" s="18">
        <f t="shared" ref="AT608" si="665">+(AM608/AA608)-1</f>
        <v>2.018435873096025E-2</v>
      </c>
    </row>
    <row r="609" spans="1:46" ht="14.25" hidden="1" customHeight="1"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46" ht="14.25" hidden="1" customHeight="1">
      <c r="A610" t="s">
        <v>498</v>
      </c>
      <c r="C610">
        <v>0</v>
      </c>
      <c r="D610" s="1">
        <v>0</v>
      </c>
      <c r="E610" s="1">
        <v>0</v>
      </c>
      <c r="F610" s="1">
        <v>105</v>
      </c>
      <c r="G610" s="1">
        <v>208</v>
      </c>
      <c r="H610" s="1">
        <v>109</v>
      </c>
      <c r="I610" s="1">
        <v>1167</v>
      </c>
      <c r="J610" s="1">
        <v>1167</v>
      </c>
      <c r="K610" s="1">
        <v>1296</v>
      </c>
      <c r="L610" s="1">
        <v>2188</v>
      </c>
      <c r="M610" s="1">
        <v>1565</v>
      </c>
      <c r="N610" s="1">
        <v>2921</v>
      </c>
      <c r="O610" s="1">
        <v>2966</v>
      </c>
      <c r="P610" s="1">
        <v>2302</v>
      </c>
      <c r="Q610" s="1">
        <v>1745</v>
      </c>
      <c r="R610" s="1">
        <v>1112</v>
      </c>
      <c r="S610" s="1">
        <v>1688</v>
      </c>
      <c r="T610" s="1">
        <v>1966</v>
      </c>
      <c r="U610" s="1">
        <v>1753</v>
      </c>
      <c r="V610" s="1">
        <v>2638</v>
      </c>
      <c r="W610" s="1">
        <v>3572</v>
      </c>
      <c r="X610" s="1">
        <v>3473</v>
      </c>
      <c r="Y610" s="1">
        <v>3373</v>
      </c>
      <c r="Z610" s="1">
        <v>3274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O610" s="7">
        <f t="shared" ref="AO610:AO617" si="666">+O610-C610</f>
        <v>2966</v>
      </c>
      <c r="AP610" s="8" t="e">
        <f t="shared" ref="AP610:AP617" si="667">+(O610/C610)-1</f>
        <v>#DIV/0!</v>
      </c>
      <c r="AQ610" s="12">
        <f t="shared" ref="AQ610:AQ617" si="668">+(AA610-O610)</f>
        <v>-2966</v>
      </c>
      <c r="AR610" s="13">
        <f t="shared" ref="AR610:AR617" si="669">+(AA610/O610)-1</f>
        <v>-1</v>
      </c>
      <c r="AS610" s="17">
        <f t="shared" ref="AS610:AS617" si="670">+AM610-AA610</f>
        <v>0</v>
      </c>
      <c r="AT610" s="18" t="e">
        <f t="shared" ref="AT610:AT617" si="671">+(AM610/AA610)-1</f>
        <v>#DIV/0!</v>
      </c>
    </row>
    <row r="611" spans="1:46" ht="14.25" hidden="1" customHeight="1">
      <c r="A611" t="s">
        <v>499</v>
      </c>
      <c r="B611">
        <v>820712</v>
      </c>
      <c r="C611">
        <v>13913</v>
      </c>
      <c r="D611" s="1">
        <v>12940</v>
      </c>
      <c r="E611" s="1">
        <v>17250</v>
      </c>
      <c r="F611" s="1">
        <v>39035</v>
      </c>
      <c r="G611" s="1">
        <v>45197</v>
      </c>
      <c r="H611" s="1">
        <v>37458</v>
      </c>
      <c r="I611" s="1">
        <v>48846</v>
      </c>
      <c r="J611" s="1">
        <v>56098</v>
      </c>
      <c r="K611" s="1">
        <v>43193</v>
      </c>
      <c r="L611" s="1">
        <v>50493</v>
      </c>
      <c r="M611" s="1">
        <v>71900</v>
      </c>
      <c r="N611" s="1">
        <v>66200</v>
      </c>
      <c r="O611" s="1">
        <v>76257</v>
      </c>
      <c r="P611" s="1">
        <v>71426</v>
      </c>
      <c r="Q611" s="1">
        <v>69462</v>
      </c>
      <c r="R611" s="1">
        <v>73116</v>
      </c>
      <c r="S611" s="1">
        <v>113662</v>
      </c>
      <c r="T611" s="1">
        <v>125463</v>
      </c>
      <c r="U611" s="1">
        <v>95104</v>
      </c>
      <c r="V611" s="1">
        <v>108332</v>
      </c>
      <c r="W611" s="1">
        <v>111039</v>
      </c>
      <c r="X611" s="1">
        <v>107952</v>
      </c>
      <c r="Y611" s="1">
        <v>104865</v>
      </c>
      <c r="Z611" s="1">
        <v>101778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O611" s="7">
        <f t="shared" si="666"/>
        <v>62344</v>
      </c>
      <c r="AP611" s="8">
        <f t="shared" si="667"/>
        <v>4.4809890030906345</v>
      </c>
      <c r="AQ611" s="12">
        <f t="shared" si="668"/>
        <v>-76257</v>
      </c>
      <c r="AR611" s="13">
        <f t="shared" si="669"/>
        <v>-1</v>
      </c>
      <c r="AS611" s="17">
        <f t="shared" si="670"/>
        <v>0</v>
      </c>
      <c r="AT611" s="18" t="e">
        <f t="shared" si="671"/>
        <v>#DIV/0!</v>
      </c>
    </row>
    <row r="612" spans="1:46" ht="14.25" hidden="1" customHeight="1">
      <c r="A612" t="s">
        <v>500</v>
      </c>
      <c r="C612">
        <v>342037</v>
      </c>
      <c r="D612" s="1">
        <v>408992</v>
      </c>
      <c r="E612" s="1">
        <v>496575</v>
      </c>
      <c r="F612" s="1">
        <v>540740</v>
      </c>
      <c r="G612" s="1">
        <v>636098</v>
      </c>
      <c r="H612" s="1">
        <v>612005</v>
      </c>
      <c r="I612" s="1">
        <v>772086</v>
      </c>
      <c r="J612" s="1">
        <v>749188</v>
      </c>
      <c r="K612" s="1">
        <v>790228</v>
      </c>
      <c r="L612" s="1">
        <v>715777</v>
      </c>
      <c r="M612" s="1">
        <v>744076</v>
      </c>
      <c r="N612" s="1">
        <v>895103</v>
      </c>
      <c r="O612" s="1">
        <v>998259</v>
      </c>
      <c r="P612" s="1">
        <v>1033869</v>
      </c>
      <c r="Q612" s="1">
        <v>1146781</v>
      </c>
      <c r="R612" s="1">
        <v>1329024</v>
      </c>
      <c r="S612" s="1">
        <v>1484955</v>
      </c>
      <c r="T612" s="1">
        <v>1582398</v>
      </c>
      <c r="U612" s="1">
        <v>1492205</v>
      </c>
      <c r="V612" s="1">
        <v>1314484</v>
      </c>
      <c r="W612" s="1">
        <v>1297189</v>
      </c>
      <c r="X612" s="1">
        <v>1261127</v>
      </c>
      <c r="Y612" s="1">
        <v>1225065</v>
      </c>
      <c r="Z612" s="1">
        <v>1189003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O612" s="7">
        <f t="shared" si="666"/>
        <v>656222</v>
      </c>
      <c r="AP612" s="8">
        <f t="shared" si="667"/>
        <v>1.9185702131640729</v>
      </c>
      <c r="AQ612" s="12">
        <f t="shared" si="668"/>
        <v>-998259</v>
      </c>
      <c r="AR612" s="13">
        <f t="shared" si="669"/>
        <v>-1</v>
      </c>
      <c r="AS612" s="17">
        <f t="shared" si="670"/>
        <v>0</v>
      </c>
      <c r="AT612" s="18" t="e">
        <f t="shared" si="671"/>
        <v>#DIV/0!</v>
      </c>
    </row>
    <row r="613" spans="1:46" ht="14.25" hidden="1" customHeight="1">
      <c r="A613" t="s">
        <v>501</v>
      </c>
      <c r="C613">
        <v>779589</v>
      </c>
      <c r="D613" s="1">
        <v>679758</v>
      </c>
      <c r="E613" s="1">
        <v>619922</v>
      </c>
      <c r="F613" s="1">
        <v>368490</v>
      </c>
      <c r="G613" s="1">
        <v>674556</v>
      </c>
      <c r="H613" s="1">
        <v>873858</v>
      </c>
      <c r="I613" s="1">
        <v>979047</v>
      </c>
      <c r="J613" s="1">
        <v>1122674</v>
      </c>
      <c r="K613" s="1">
        <v>1098516</v>
      </c>
      <c r="L613" s="1">
        <v>1314412</v>
      </c>
      <c r="M613" s="1">
        <v>1295498</v>
      </c>
      <c r="N613" s="1">
        <v>1351311</v>
      </c>
      <c r="O613" s="1">
        <v>1578643</v>
      </c>
      <c r="P613" s="1">
        <v>1426209</v>
      </c>
      <c r="Q613" s="1">
        <v>1569490</v>
      </c>
      <c r="R613" s="1">
        <v>1328846</v>
      </c>
      <c r="S613" s="1">
        <v>1793046</v>
      </c>
      <c r="T613" s="1">
        <v>2061894</v>
      </c>
      <c r="U613" s="1">
        <v>2061061</v>
      </c>
      <c r="V613" s="1">
        <v>1811697</v>
      </c>
      <c r="W613" s="1">
        <v>1657461</v>
      </c>
      <c r="X613" s="1">
        <v>1611384</v>
      </c>
      <c r="Y613" s="1">
        <v>1565306</v>
      </c>
      <c r="Z613" s="1">
        <v>1519229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O613" s="7">
        <f t="shared" si="666"/>
        <v>799054</v>
      </c>
      <c r="AP613" s="8">
        <f t="shared" si="667"/>
        <v>1.0249682845704595</v>
      </c>
      <c r="AQ613" s="12">
        <f t="shared" si="668"/>
        <v>-1578643</v>
      </c>
      <c r="AR613" s="13">
        <f t="shared" si="669"/>
        <v>-1</v>
      </c>
      <c r="AS613" s="17">
        <f t="shared" si="670"/>
        <v>0</v>
      </c>
      <c r="AT613" s="18" t="e">
        <f t="shared" si="671"/>
        <v>#DIV/0!</v>
      </c>
    </row>
    <row r="614" spans="1:46" ht="14.25" hidden="1" customHeight="1">
      <c r="A614" t="s">
        <v>502</v>
      </c>
      <c r="C614">
        <v>1106049</v>
      </c>
      <c r="D614" s="1">
        <v>1146137</v>
      </c>
      <c r="E614" s="1">
        <v>1015813</v>
      </c>
      <c r="F614" s="1">
        <v>1655862</v>
      </c>
      <c r="G614" s="1">
        <v>1741346</v>
      </c>
      <c r="H614" s="1">
        <v>2444051</v>
      </c>
      <c r="I614" s="1">
        <v>2536569</v>
      </c>
      <c r="J614" s="1">
        <v>2266121</v>
      </c>
      <c r="K614" s="1">
        <v>3043964</v>
      </c>
      <c r="L614" s="1">
        <v>3624778</v>
      </c>
      <c r="M614" s="1">
        <v>3552481</v>
      </c>
      <c r="N614" s="1">
        <v>3674726</v>
      </c>
      <c r="O614" s="1">
        <v>3238273</v>
      </c>
      <c r="P614" s="1">
        <v>4655551</v>
      </c>
      <c r="Q614" s="1">
        <v>3851504</v>
      </c>
      <c r="R614" s="1">
        <v>4447107</v>
      </c>
      <c r="S614" s="1">
        <v>3682327</v>
      </c>
      <c r="T614" s="1">
        <v>3895664</v>
      </c>
      <c r="U614" s="1">
        <v>4276835</v>
      </c>
      <c r="V614" s="1">
        <v>4688621</v>
      </c>
      <c r="W614" s="1">
        <v>4712854</v>
      </c>
      <c r="X614" s="1">
        <v>4581837</v>
      </c>
      <c r="Y614" s="1">
        <v>4450819</v>
      </c>
      <c r="Z614" s="1">
        <v>4319802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O614" s="7">
        <f t="shared" si="666"/>
        <v>2132224</v>
      </c>
      <c r="AP614" s="8">
        <f t="shared" si="667"/>
        <v>1.9277843929156844</v>
      </c>
      <c r="AQ614" s="12">
        <f t="shared" si="668"/>
        <v>-3238273</v>
      </c>
      <c r="AR614" s="13">
        <f t="shared" si="669"/>
        <v>-1</v>
      </c>
      <c r="AS614" s="17">
        <f t="shared" si="670"/>
        <v>0</v>
      </c>
      <c r="AT614" s="18" t="e">
        <f t="shared" si="671"/>
        <v>#DIV/0!</v>
      </c>
    </row>
    <row r="615" spans="1:46" ht="14.25" hidden="1" customHeight="1">
      <c r="A615" t="s">
        <v>503</v>
      </c>
      <c r="C615">
        <v>1311118</v>
      </c>
      <c r="D615" s="1">
        <v>866315</v>
      </c>
      <c r="E615" s="1">
        <v>1566610</v>
      </c>
      <c r="F615" s="1">
        <v>1671678</v>
      </c>
      <c r="G615" s="1">
        <v>1253649</v>
      </c>
      <c r="H615" s="1">
        <v>1257573</v>
      </c>
      <c r="I615" s="1">
        <v>1261385</v>
      </c>
      <c r="J615" s="1">
        <v>1607588</v>
      </c>
      <c r="K615" s="1">
        <v>1339505</v>
      </c>
      <c r="L615" s="1">
        <v>891677</v>
      </c>
      <c r="M615" s="1">
        <v>863305</v>
      </c>
      <c r="N615" s="1">
        <v>2134966</v>
      </c>
      <c r="O615" s="1">
        <v>2594637</v>
      </c>
      <c r="P615" s="1">
        <v>3189215</v>
      </c>
      <c r="Q615" s="1">
        <v>4120664</v>
      </c>
      <c r="R615" s="1">
        <v>3853565</v>
      </c>
      <c r="S615" s="1">
        <v>3998129</v>
      </c>
      <c r="T615" s="1">
        <v>3354430</v>
      </c>
      <c r="U615" s="1">
        <v>3597973</v>
      </c>
      <c r="V615" s="1">
        <v>2294306</v>
      </c>
      <c r="W615" s="1">
        <v>2784161</v>
      </c>
      <c r="X615" s="1">
        <v>2706761</v>
      </c>
      <c r="Y615" s="1">
        <v>2629362</v>
      </c>
      <c r="Z615" s="1">
        <v>2551962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O615" s="7">
        <f t="shared" si="666"/>
        <v>1283519</v>
      </c>
      <c r="AP615" s="8">
        <f t="shared" si="667"/>
        <v>0.97895002585579638</v>
      </c>
      <c r="AQ615" s="12">
        <f t="shared" si="668"/>
        <v>-2594637</v>
      </c>
      <c r="AR615" s="13">
        <f t="shared" si="669"/>
        <v>-1</v>
      </c>
      <c r="AS615" s="17">
        <f t="shared" si="670"/>
        <v>0</v>
      </c>
      <c r="AT615" s="18" t="e">
        <f t="shared" si="671"/>
        <v>#DIV/0!</v>
      </c>
    </row>
    <row r="616" spans="1:46" ht="14.25" hidden="1" customHeight="1">
      <c r="A616" t="s">
        <v>504</v>
      </c>
      <c r="C616">
        <v>0</v>
      </c>
      <c r="D616" s="1">
        <v>569091</v>
      </c>
      <c r="E616" s="1">
        <v>0</v>
      </c>
      <c r="F616" s="1">
        <v>0</v>
      </c>
      <c r="G616" s="1">
        <v>694514</v>
      </c>
      <c r="H616" s="1">
        <v>661509</v>
      </c>
      <c r="I616" s="1">
        <v>718539</v>
      </c>
      <c r="J616" s="1">
        <v>620542</v>
      </c>
      <c r="K616" s="1">
        <v>669769</v>
      </c>
      <c r="L616" s="1">
        <v>1467453</v>
      </c>
      <c r="M616" s="1">
        <v>1308763</v>
      </c>
      <c r="N616" s="1">
        <v>617175</v>
      </c>
      <c r="O616" s="1">
        <v>1880503</v>
      </c>
      <c r="P616" s="1">
        <v>1212868</v>
      </c>
      <c r="Q616" s="1">
        <v>1200813</v>
      </c>
      <c r="R616" s="1">
        <v>1766029</v>
      </c>
      <c r="S616" s="1">
        <v>2274963</v>
      </c>
      <c r="T616" s="1">
        <v>2841513</v>
      </c>
      <c r="U616" s="1">
        <v>2411324</v>
      </c>
      <c r="V616" s="1">
        <v>2913019</v>
      </c>
      <c r="W616" s="1">
        <v>3365943</v>
      </c>
      <c r="X616" s="1">
        <v>3272370</v>
      </c>
      <c r="Y616" s="1">
        <v>3178797</v>
      </c>
      <c r="Z616" s="1">
        <v>3085223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O616" s="7">
        <f t="shared" si="666"/>
        <v>1880503</v>
      </c>
      <c r="AP616" s="8" t="e">
        <f t="shared" si="667"/>
        <v>#DIV/0!</v>
      </c>
      <c r="AQ616" s="12">
        <f t="shared" si="668"/>
        <v>-1880503</v>
      </c>
      <c r="AR616" s="13">
        <f t="shared" si="669"/>
        <v>-1</v>
      </c>
      <c r="AS616" s="17">
        <f t="shared" si="670"/>
        <v>0</v>
      </c>
      <c r="AT616" s="18" t="e">
        <f t="shared" si="671"/>
        <v>#DIV/0!</v>
      </c>
    </row>
    <row r="617" spans="1:46" ht="14.25" hidden="1" customHeight="1">
      <c r="A617" t="s">
        <v>505</v>
      </c>
      <c r="C617">
        <v>1004591</v>
      </c>
      <c r="D617" s="1">
        <v>1007942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1144480</v>
      </c>
      <c r="L617" s="1">
        <v>0</v>
      </c>
      <c r="M617" s="1">
        <v>1451375</v>
      </c>
      <c r="N617" s="1">
        <v>1450778</v>
      </c>
      <c r="O617" s="1">
        <v>2978607</v>
      </c>
      <c r="P617" s="1">
        <v>3083043</v>
      </c>
      <c r="Q617" s="1">
        <v>3416648</v>
      </c>
      <c r="R617" s="1">
        <v>3492113</v>
      </c>
      <c r="S617" s="1">
        <v>3470199</v>
      </c>
      <c r="T617" s="1">
        <v>3576896</v>
      </c>
      <c r="U617" s="1">
        <v>3297681</v>
      </c>
      <c r="V617" s="1">
        <v>3333628</v>
      </c>
      <c r="W617" s="1">
        <v>3186200</v>
      </c>
      <c r="X617" s="1">
        <v>3097624</v>
      </c>
      <c r="Y617" s="1">
        <v>3009047</v>
      </c>
      <c r="Z617" s="1">
        <v>2920471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O617" s="7">
        <f t="shared" si="666"/>
        <v>1974016</v>
      </c>
      <c r="AP617" s="8">
        <f t="shared" si="667"/>
        <v>1.9649947092896514</v>
      </c>
      <c r="AQ617" s="12">
        <f t="shared" si="668"/>
        <v>-2978607</v>
      </c>
      <c r="AR617" s="13">
        <f t="shared" si="669"/>
        <v>-1</v>
      </c>
      <c r="AS617" s="17">
        <f t="shared" si="670"/>
        <v>0</v>
      </c>
      <c r="AT617" s="18" t="e">
        <f t="shared" si="671"/>
        <v>#DIV/0!</v>
      </c>
    </row>
    <row r="618" spans="1:46" ht="14.25" hidden="1" customHeight="1">
      <c r="A618" t="s">
        <v>11</v>
      </c>
      <c r="B618" t="s">
        <v>12</v>
      </c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46" ht="14.25" hidden="1" customHeight="1">
      <c r="A619" t="s">
        <v>506</v>
      </c>
      <c r="C619">
        <v>4557296</v>
      </c>
      <c r="D619" s="1">
        <v>4691175</v>
      </c>
      <c r="E619" s="1">
        <v>3716170</v>
      </c>
      <c r="F619" s="1">
        <v>4275909</v>
      </c>
      <c r="G619" s="1">
        <v>5045568</v>
      </c>
      <c r="H619" s="1">
        <v>5886564</v>
      </c>
      <c r="I619" s="1">
        <v>6317640</v>
      </c>
      <c r="J619" s="1">
        <v>6423379</v>
      </c>
      <c r="K619" s="1">
        <v>8130951</v>
      </c>
      <c r="L619" s="1">
        <v>8066779</v>
      </c>
      <c r="M619" s="1">
        <v>9288963</v>
      </c>
      <c r="N619" s="1">
        <v>10193180</v>
      </c>
      <c r="O619" s="1">
        <v>13348147</v>
      </c>
      <c r="P619" s="1">
        <v>14674483</v>
      </c>
      <c r="Q619" s="1">
        <v>15377107</v>
      </c>
      <c r="R619" s="1">
        <v>16290912</v>
      </c>
      <c r="S619" s="1">
        <v>16818969</v>
      </c>
      <c r="T619" s="1">
        <v>17440222</v>
      </c>
      <c r="U619" s="1">
        <v>17233937</v>
      </c>
      <c r="V619" s="1">
        <v>16466726</v>
      </c>
      <c r="W619" s="1">
        <v>17118419</v>
      </c>
      <c r="X619" s="1">
        <v>16642527</v>
      </c>
      <c r="Y619" s="1">
        <v>16166635</v>
      </c>
      <c r="Z619" s="1">
        <v>15690743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O619" s="7">
        <f t="shared" ref="AO619" si="672">+O619-C619</f>
        <v>8790851</v>
      </c>
      <c r="AP619" s="8">
        <f t="shared" ref="AP619" si="673">+(O619/C619)-1</f>
        <v>1.9289620424040921</v>
      </c>
      <c r="AQ619" s="12">
        <f t="shared" ref="AQ619" si="674">+(AA619-O619)</f>
        <v>-13348147</v>
      </c>
      <c r="AR619" s="13">
        <f t="shared" ref="AR619" si="675">+(AA619/O619)-1</f>
        <v>-1</v>
      </c>
      <c r="AS619" s="17">
        <f t="shared" ref="AS619" si="676">+AM619-AA619</f>
        <v>0</v>
      </c>
      <c r="AT619" s="18" t="e">
        <f t="shared" ref="AT619" si="677">+(AM619/AA619)-1</f>
        <v>#DIV/0!</v>
      </c>
    </row>
    <row r="620" spans="1:46" ht="14.25" hidden="1" customHeight="1">
      <c r="A620" t="s">
        <v>11</v>
      </c>
      <c r="B620" t="s">
        <v>12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46">
      <c r="A621" t="s">
        <v>507</v>
      </c>
      <c r="C621">
        <v>436011071</v>
      </c>
      <c r="D621" s="1">
        <v>443067552</v>
      </c>
      <c r="E621" s="1">
        <v>449475532</v>
      </c>
      <c r="F621" s="1">
        <v>459154634</v>
      </c>
      <c r="G621" s="1">
        <v>458302339</v>
      </c>
      <c r="H621" s="1">
        <v>463709899</v>
      </c>
      <c r="I621" s="1">
        <v>469492828</v>
      </c>
      <c r="J621" s="1">
        <v>477293558</v>
      </c>
      <c r="K621" s="1">
        <v>501935664</v>
      </c>
      <c r="L621" s="1">
        <v>519552240</v>
      </c>
      <c r="M621" s="1">
        <v>520848780</v>
      </c>
      <c r="N621" s="1">
        <v>534976803</v>
      </c>
      <c r="O621" s="1">
        <v>549131337</v>
      </c>
      <c r="P621" s="1">
        <v>556620868</v>
      </c>
      <c r="Q621" s="1">
        <v>572835308</v>
      </c>
      <c r="R621" s="1">
        <v>579637539</v>
      </c>
      <c r="S621" s="1">
        <v>582441792</v>
      </c>
      <c r="T621" s="1">
        <v>593556638</v>
      </c>
      <c r="U621" s="1">
        <v>620636440</v>
      </c>
      <c r="V621" s="1">
        <v>642433156</v>
      </c>
      <c r="W621" s="1">
        <v>660485146</v>
      </c>
      <c r="X621" s="1">
        <v>686397264</v>
      </c>
      <c r="Y621" s="1">
        <v>698921771</v>
      </c>
      <c r="Z621" s="1">
        <v>731322810</v>
      </c>
      <c r="AA621" s="1">
        <v>705693472</v>
      </c>
      <c r="AB621" s="1">
        <v>716017754</v>
      </c>
      <c r="AC621" s="1">
        <v>726182910</v>
      </c>
      <c r="AD621" s="1">
        <v>735702687</v>
      </c>
      <c r="AE621" s="1">
        <v>744186714</v>
      </c>
      <c r="AF621" s="1">
        <v>751970210</v>
      </c>
      <c r="AG621" s="1">
        <v>760244689</v>
      </c>
      <c r="AH621" s="1">
        <v>769874958</v>
      </c>
      <c r="AI621" s="1">
        <v>779283114</v>
      </c>
      <c r="AJ621" s="1">
        <v>788686683</v>
      </c>
      <c r="AK621" s="1">
        <v>797393573</v>
      </c>
      <c r="AL621" s="1">
        <v>806610688</v>
      </c>
      <c r="AM621" s="1">
        <v>813515205</v>
      </c>
      <c r="AO621" s="7">
        <f t="shared" ref="AO621" si="678">+O621-C621</f>
        <v>113120266</v>
      </c>
      <c r="AP621" s="8">
        <f t="shared" ref="AP621" si="679">+(O621/C621)-1</f>
        <v>0.25944356353281672</v>
      </c>
      <c r="AQ621" s="12">
        <f t="shared" ref="AQ621" si="680">+(AA621-O621)</f>
        <v>156562135</v>
      </c>
      <c r="AR621" s="13">
        <f t="shared" ref="AR621" si="681">+(AA621/O621)-1</f>
        <v>0.28510872436333012</v>
      </c>
      <c r="AS621" s="17">
        <f t="shared" ref="AS621" si="682">+AM621-AA621</f>
        <v>107821733</v>
      </c>
      <c r="AT621" s="18">
        <f t="shared" ref="AT621" si="683">+(AM621/AA621)-1</f>
        <v>0.15278833839063766</v>
      </c>
    </row>
    <row r="622" spans="1:46"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46">
      <c r="A623" t="s">
        <v>508</v>
      </c>
      <c r="C623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O623" s="7">
        <f t="shared" ref="AO623:AO624" si="684">+O623-C623</f>
        <v>0</v>
      </c>
      <c r="AP623" s="8" t="e">
        <f t="shared" ref="AP623:AP624" si="685">+(O623/C623)-1</f>
        <v>#DIV/0!</v>
      </c>
      <c r="AQ623" s="12">
        <f t="shared" ref="AQ623:AQ624" si="686">+(AA623-O623)</f>
        <v>0</v>
      </c>
      <c r="AR623" s="13" t="e">
        <f t="shared" ref="AR623:AR624" si="687">+(AA623/O623)-1</f>
        <v>#DIV/0!</v>
      </c>
      <c r="AS623" s="17">
        <f t="shared" ref="AS623:AS624" si="688">+AM623-AA623</f>
        <v>0</v>
      </c>
      <c r="AT623" s="18" t="e">
        <f t="shared" ref="AT623:AT624" si="689">+(AM623/AA623)-1</f>
        <v>#DIV/0!</v>
      </c>
    </row>
    <row r="624" spans="1:46">
      <c r="A624" t="s">
        <v>509</v>
      </c>
      <c r="B624">
        <v>820690</v>
      </c>
      <c r="C624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O624" s="7">
        <f t="shared" si="684"/>
        <v>0</v>
      </c>
      <c r="AP624" s="8" t="e">
        <f t="shared" si="685"/>
        <v>#DIV/0!</v>
      </c>
      <c r="AQ624" s="12">
        <f t="shared" si="686"/>
        <v>0</v>
      </c>
      <c r="AR624" s="13" t="e">
        <f t="shared" si="687"/>
        <v>#DIV/0!</v>
      </c>
      <c r="AS624" s="17">
        <f t="shared" si="688"/>
        <v>0</v>
      </c>
      <c r="AT624" s="18" t="e">
        <f t="shared" si="689"/>
        <v>#DIV/0!</v>
      </c>
    </row>
    <row r="625" spans="1:46">
      <c r="A625" t="s">
        <v>11</v>
      </c>
      <c r="B625" t="s">
        <v>12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46">
      <c r="A626" t="s">
        <v>510</v>
      </c>
      <c r="C626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O626" s="7">
        <f t="shared" ref="AO626" si="690">+O626-C626</f>
        <v>0</v>
      </c>
      <c r="AP626" s="8" t="e">
        <f t="shared" ref="AP626" si="691">+(O626/C626)-1</f>
        <v>#DIV/0!</v>
      </c>
      <c r="AQ626" s="12">
        <f t="shared" ref="AQ626" si="692">+(AA626-O626)</f>
        <v>0</v>
      </c>
      <c r="AR626" s="13" t="e">
        <f t="shared" ref="AR626" si="693">+(AA626/O626)-1</f>
        <v>#DIV/0!</v>
      </c>
      <c r="AS626" s="17">
        <f t="shared" ref="AS626" si="694">+AM626-AA626</f>
        <v>0</v>
      </c>
      <c r="AT626" s="18" t="e">
        <f t="shared" ref="AT626" si="695">+(AM626/AA626)-1</f>
        <v>#DIV/0!</v>
      </c>
    </row>
    <row r="627" spans="1:46">
      <c r="A627" t="s">
        <v>11</v>
      </c>
      <c r="B627" t="s">
        <v>12</v>
      </c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46">
      <c r="A628" t="s">
        <v>511</v>
      </c>
      <c r="C628">
        <v>2000491309</v>
      </c>
      <c r="D628" s="1">
        <v>1996439673</v>
      </c>
      <c r="E628" s="1">
        <v>2040432641</v>
      </c>
      <c r="F628" s="1">
        <v>2050079583</v>
      </c>
      <c r="G628" s="1">
        <v>2039276056</v>
      </c>
      <c r="H628" s="1">
        <v>2052089455</v>
      </c>
      <c r="I628" s="1">
        <v>2058931115</v>
      </c>
      <c r="J628" s="1">
        <v>2044327420</v>
      </c>
      <c r="K628" s="1">
        <v>2056142705</v>
      </c>
      <c r="L628" s="1">
        <v>2043531688</v>
      </c>
      <c r="M628" s="1">
        <v>2050246261</v>
      </c>
      <c r="N628" s="1">
        <v>2048313064</v>
      </c>
      <c r="O628" s="1">
        <v>2054186655</v>
      </c>
      <c r="P628" s="1">
        <v>2069316383</v>
      </c>
      <c r="Q628" s="1">
        <v>2077076069</v>
      </c>
      <c r="R628" s="1">
        <v>2069303133</v>
      </c>
      <c r="S628" s="1">
        <v>2052396120</v>
      </c>
      <c r="T628" s="1">
        <v>2056853331</v>
      </c>
      <c r="U628" s="1">
        <v>2069457255</v>
      </c>
      <c r="V628" s="1">
        <v>2120709681</v>
      </c>
      <c r="W628" s="1">
        <v>2132677405</v>
      </c>
      <c r="X628" s="1">
        <v>2159420400</v>
      </c>
      <c r="Y628" s="1">
        <v>2175392751</v>
      </c>
      <c r="Z628" s="1">
        <v>2209728464</v>
      </c>
      <c r="AA628" s="1">
        <v>2185030640</v>
      </c>
      <c r="AB628" s="1">
        <v>2194771895</v>
      </c>
      <c r="AC628" s="1">
        <v>2205173962</v>
      </c>
      <c r="AD628" s="1">
        <v>2215576030</v>
      </c>
      <c r="AE628" s="1">
        <v>2228343354</v>
      </c>
      <c r="AF628" s="1">
        <v>2241912716</v>
      </c>
      <c r="AG628" s="1">
        <v>2256857000</v>
      </c>
      <c r="AH628" s="1">
        <v>2275053105</v>
      </c>
      <c r="AI628" s="1">
        <v>2293249250</v>
      </c>
      <c r="AJ628" s="1">
        <v>2312032587</v>
      </c>
      <c r="AK628" s="1">
        <v>2329470046</v>
      </c>
      <c r="AL628" s="1">
        <v>2346104974</v>
      </c>
      <c r="AM628" s="1">
        <v>2359833091</v>
      </c>
      <c r="AO628" s="7">
        <f t="shared" ref="AO628" si="696">+O628-C628</f>
        <v>53695346</v>
      </c>
      <c r="AP628" s="8">
        <f t="shared" ref="AP628" si="697">+(O628/C628)-1</f>
        <v>2.6841079368068455E-2</v>
      </c>
      <c r="AQ628" s="12">
        <f t="shared" ref="AQ628" si="698">+(AA628-O628)</f>
        <v>130843985</v>
      </c>
      <c r="AR628" s="13">
        <f t="shared" ref="AR628" si="699">+(AA628/O628)-1</f>
        <v>6.3696249160960505E-2</v>
      </c>
      <c r="AS628" s="17">
        <f t="shared" ref="AS628" si="700">+AM628-AA628</f>
        <v>174802451</v>
      </c>
      <c r="AT628" s="18">
        <f t="shared" ref="AT628" si="701">+(AM628/AA628)-1</f>
        <v>7.9999999908468178E-2</v>
      </c>
    </row>
    <row r="629" spans="1:46"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46">
      <c r="A630" t="s">
        <v>512</v>
      </c>
      <c r="C630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O630" s="7">
        <f t="shared" ref="AO630" si="702">+O630-C630</f>
        <v>0</v>
      </c>
      <c r="AP630" s="8" t="e">
        <f t="shared" ref="AP630" si="703">+(O630/C630)-1</f>
        <v>#DIV/0!</v>
      </c>
      <c r="AQ630" s="12">
        <f t="shared" ref="AQ630" si="704">+(AA630-O630)</f>
        <v>0</v>
      </c>
      <c r="AR630" s="13" t="e">
        <f t="shared" ref="AR630" si="705">+(AA630/O630)-1</f>
        <v>#DIV/0!</v>
      </c>
      <c r="AS630" s="17">
        <f t="shared" ref="AS630" si="706">+AM630-AA630</f>
        <v>0</v>
      </c>
      <c r="AT630" s="18" t="e">
        <f t="shared" ref="AT630" si="707">+(AM630/AA630)-1</f>
        <v>#DIV/0!</v>
      </c>
    </row>
    <row r="631" spans="1:46">
      <c r="A631" t="s">
        <v>11</v>
      </c>
      <c r="B631" t="s">
        <v>12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46">
      <c r="A632" t="s">
        <v>513</v>
      </c>
      <c r="C632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O632" s="7">
        <f t="shared" ref="AO632" si="708">+O632-C632</f>
        <v>0</v>
      </c>
      <c r="AP632" s="8" t="e">
        <f t="shared" ref="AP632" si="709">+(O632/C632)-1</f>
        <v>#DIV/0!</v>
      </c>
      <c r="AQ632" s="12">
        <f t="shared" ref="AQ632" si="710">+(AA632-O632)</f>
        <v>0</v>
      </c>
      <c r="AR632" s="13" t="e">
        <f t="shared" ref="AR632" si="711">+(AA632/O632)-1</f>
        <v>#DIV/0!</v>
      </c>
      <c r="AS632" s="17">
        <f t="shared" ref="AS632" si="712">+AM632-AA632</f>
        <v>0</v>
      </c>
      <c r="AT632" s="18" t="e">
        <f t="shared" ref="AT632" si="713">+(AM632/AA632)-1</f>
        <v>#DIV/0!</v>
      </c>
    </row>
    <row r="633" spans="1:46"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46">
      <c r="A634" t="s">
        <v>514</v>
      </c>
      <c r="B634">
        <v>820715</v>
      </c>
      <c r="C634">
        <v>25000000</v>
      </c>
      <c r="D634" s="1">
        <v>35000000</v>
      </c>
      <c r="E634" s="1">
        <v>40000000</v>
      </c>
      <c r="F634" s="1">
        <v>50000000</v>
      </c>
      <c r="G634" s="1">
        <v>15000000</v>
      </c>
      <c r="H634" s="1">
        <v>27000000</v>
      </c>
      <c r="I634" s="1">
        <v>20000000</v>
      </c>
      <c r="J634" s="1">
        <v>22000000</v>
      </c>
      <c r="K634" s="1">
        <v>36000000</v>
      </c>
      <c r="L634" s="1">
        <v>27000000</v>
      </c>
      <c r="M634" s="1">
        <v>24000000</v>
      </c>
      <c r="N634" s="1">
        <v>25000000</v>
      </c>
      <c r="O634" s="1">
        <v>15000000</v>
      </c>
      <c r="P634" s="1">
        <v>20000000</v>
      </c>
      <c r="Q634" s="1">
        <v>6000000</v>
      </c>
      <c r="R634" s="1">
        <v>0</v>
      </c>
      <c r="S634" s="1">
        <v>21000000</v>
      </c>
      <c r="T634" s="1">
        <v>15000000</v>
      </c>
      <c r="U634" s="1">
        <v>40000000</v>
      </c>
      <c r="V634" s="1">
        <v>25000000</v>
      </c>
      <c r="W634" s="1">
        <v>25000000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O634" s="7">
        <f t="shared" ref="AO634:AO640" si="714">+O634-C634</f>
        <v>-10000000</v>
      </c>
      <c r="AP634" s="8">
        <f t="shared" ref="AP634:AP640" si="715">+(O634/C634)-1</f>
        <v>-0.4</v>
      </c>
      <c r="AQ634" s="12">
        <f t="shared" ref="AQ634:AQ640" si="716">+(AA634-O634)</f>
        <v>-15000000</v>
      </c>
      <c r="AR634" s="13">
        <f t="shared" ref="AR634:AR640" si="717">+(AA634/O634)-1</f>
        <v>-1</v>
      </c>
      <c r="AS634" s="17">
        <f t="shared" ref="AS634:AS640" si="718">+AM634-AA634</f>
        <v>0</v>
      </c>
      <c r="AT634" s="18" t="e">
        <f t="shared" ref="AT634:AT640" si="719">+(AM634/AA634)-1</f>
        <v>#DIV/0!</v>
      </c>
    </row>
    <row r="635" spans="1:46">
      <c r="A635" t="s">
        <v>515</v>
      </c>
      <c r="B635">
        <v>820716</v>
      </c>
      <c r="C635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O635" s="7">
        <f t="shared" si="714"/>
        <v>0</v>
      </c>
      <c r="AP635" s="8" t="e">
        <f t="shared" si="715"/>
        <v>#DIV/0!</v>
      </c>
      <c r="AQ635" s="12">
        <f t="shared" si="716"/>
        <v>0</v>
      </c>
      <c r="AR635" s="13" t="e">
        <f t="shared" si="717"/>
        <v>#DIV/0!</v>
      </c>
      <c r="AS635" s="17">
        <f t="shared" si="718"/>
        <v>0</v>
      </c>
      <c r="AT635" s="18" t="e">
        <f t="shared" si="719"/>
        <v>#DIV/0!</v>
      </c>
    </row>
    <row r="636" spans="1:46">
      <c r="A636" t="s">
        <v>516</v>
      </c>
      <c r="B636">
        <v>820717</v>
      </c>
      <c r="C636">
        <v>99000000</v>
      </c>
      <c r="D636" s="1">
        <v>99000000</v>
      </c>
      <c r="E636" s="1">
        <v>99000000</v>
      </c>
      <c r="F636" s="1">
        <v>99000000</v>
      </c>
      <c r="G636" s="1">
        <v>99000000</v>
      </c>
      <c r="H636" s="1">
        <v>99000000</v>
      </c>
      <c r="I636" s="1">
        <v>99000000</v>
      </c>
      <c r="J636" s="1">
        <v>99000000</v>
      </c>
      <c r="K636" s="1">
        <v>99000000</v>
      </c>
      <c r="L636" s="1">
        <v>99000000</v>
      </c>
      <c r="M636" s="1">
        <v>99000000</v>
      </c>
      <c r="N636" s="1">
        <v>99000000</v>
      </c>
      <c r="O636" s="1">
        <v>99000000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O636" s="7">
        <f t="shared" si="714"/>
        <v>0</v>
      </c>
      <c r="AP636" s="8">
        <f t="shared" si="715"/>
        <v>0</v>
      </c>
      <c r="AQ636" s="12">
        <f t="shared" si="716"/>
        <v>-99000000</v>
      </c>
      <c r="AR636" s="13">
        <f t="shared" si="717"/>
        <v>-1</v>
      </c>
      <c r="AS636" s="17">
        <f t="shared" si="718"/>
        <v>0</v>
      </c>
      <c r="AT636" s="18" t="e">
        <f t="shared" si="719"/>
        <v>#DIV/0!</v>
      </c>
    </row>
    <row r="637" spans="1:46">
      <c r="A637" t="s">
        <v>517</v>
      </c>
      <c r="B637">
        <v>820720</v>
      </c>
      <c r="C637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O637" s="7">
        <f t="shared" si="714"/>
        <v>0</v>
      </c>
      <c r="AP637" s="8" t="e">
        <f t="shared" si="715"/>
        <v>#DIV/0!</v>
      </c>
      <c r="AQ637" s="12">
        <f t="shared" si="716"/>
        <v>0</v>
      </c>
      <c r="AR637" s="13" t="e">
        <f t="shared" si="717"/>
        <v>#DIV/0!</v>
      </c>
      <c r="AS637" s="17">
        <f t="shared" si="718"/>
        <v>0</v>
      </c>
      <c r="AT637" s="18" t="e">
        <f t="shared" si="719"/>
        <v>#DIV/0!</v>
      </c>
    </row>
    <row r="638" spans="1:46">
      <c r="A638" t="s">
        <v>518</v>
      </c>
      <c r="B638">
        <v>820725</v>
      </c>
      <c r="C638">
        <v>87000000</v>
      </c>
      <c r="D638" s="1">
        <v>55000000</v>
      </c>
      <c r="E638" s="1">
        <v>40000000</v>
      </c>
      <c r="F638" s="1">
        <v>10000000</v>
      </c>
      <c r="G638" s="1">
        <v>30000000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104000000</v>
      </c>
      <c r="Q638" s="1">
        <v>104000000</v>
      </c>
      <c r="R638" s="1">
        <v>104000000</v>
      </c>
      <c r="S638" s="1">
        <v>104000000</v>
      </c>
      <c r="T638" s="1">
        <v>114000000</v>
      </c>
      <c r="U638" s="1">
        <v>74000000</v>
      </c>
      <c r="V638" s="1">
        <v>74000000</v>
      </c>
      <c r="W638" s="1">
        <v>74000000</v>
      </c>
      <c r="X638" s="1">
        <v>74000000</v>
      </c>
      <c r="Y638" s="1">
        <v>74000000</v>
      </c>
      <c r="Z638" s="1">
        <v>74000000</v>
      </c>
      <c r="AA638" s="1">
        <v>99000000</v>
      </c>
      <c r="AB638" s="1">
        <v>99000000</v>
      </c>
      <c r="AC638" s="1">
        <v>99000000</v>
      </c>
      <c r="AD638" s="1">
        <v>99000000</v>
      </c>
      <c r="AE638" s="1">
        <v>99000000</v>
      </c>
      <c r="AF638" s="1">
        <v>99000000</v>
      </c>
      <c r="AG638" s="1">
        <v>99000000</v>
      </c>
      <c r="AH638" s="1">
        <v>99000000</v>
      </c>
      <c r="AI638" s="1">
        <v>99000000</v>
      </c>
      <c r="AJ638" s="1">
        <v>99000000</v>
      </c>
      <c r="AK638" s="1">
        <v>99000000</v>
      </c>
      <c r="AL638" s="1">
        <v>99000000</v>
      </c>
      <c r="AM638" s="1">
        <v>99000000</v>
      </c>
      <c r="AO638" s="7">
        <f t="shared" si="714"/>
        <v>-87000000</v>
      </c>
      <c r="AP638" s="8">
        <f t="shared" si="715"/>
        <v>-1</v>
      </c>
      <c r="AQ638" s="12">
        <f t="shared" si="716"/>
        <v>99000000</v>
      </c>
      <c r="AR638" s="13" t="e">
        <f t="shared" si="717"/>
        <v>#DIV/0!</v>
      </c>
      <c r="AS638" s="17">
        <f t="shared" si="718"/>
        <v>0</v>
      </c>
      <c r="AT638" s="18">
        <f t="shared" si="719"/>
        <v>0</v>
      </c>
    </row>
    <row r="639" spans="1:46">
      <c r="A639" t="s">
        <v>519</v>
      </c>
      <c r="B639">
        <v>820730</v>
      </c>
      <c r="C639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O639" s="7">
        <f t="shared" si="714"/>
        <v>0</v>
      </c>
      <c r="AP639" s="8" t="e">
        <f t="shared" si="715"/>
        <v>#DIV/0!</v>
      </c>
      <c r="AQ639" s="12">
        <f t="shared" si="716"/>
        <v>0</v>
      </c>
      <c r="AR639" s="13" t="e">
        <f t="shared" si="717"/>
        <v>#DIV/0!</v>
      </c>
      <c r="AS639" s="17">
        <f t="shared" si="718"/>
        <v>0</v>
      </c>
      <c r="AT639" s="18" t="e">
        <f t="shared" si="719"/>
        <v>#DIV/0!</v>
      </c>
    </row>
    <row r="640" spans="1:46">
      <c r="A640" t="s">
        <v>41</v>
      </c>
      <c r="C640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25000000</v>
      </c>
      <c r="Y640" s="1">
        <v>25000000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O640" s="7">
        <f t="shared" si="714"/>
        <v>0</v>
      </c>
      <c r="AP640" s="8" t="e">
        <f t="shared" si="715"/>
        <v>#DIV/0!</v>
      </c>
      <c r="AQ640" s="12">
        <f t="shared" si="716"/>
        <v>0</v>
      </c>
      <c r="AR640" s="13" t="e">
        <f t="shared" si="717"/>
        <v>#DIV/0!</v>
      </c>
      <c r="AS640" s="17">
        <f t="shared" si="718"/>
        <v>0</v>
      </c>
      <c r="AT640" s="18" t="e">
        <f t="shared" si="719"/>
        <v>#DIV/0!</v>
      </c>
    </row>
    <row r="641" spans="1:46">
      <c r="A641" t="s">
        <v>11</v>
      </c>
      <c r="B641" t="s">
        <v>12</v>
      </c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46">
      <c r="A642" t="s">
        <v>520</v>
      </c>
      <c r="C642">
        <v>211000000</v>
      </c>
      <c r="D642" s="1">
        <v>189000000</v>
      </c>
      <c r="E642" s="1">
        <v>179000000</v>
      </c>
      <c r="F642" s="1">
        <v>159000000</v>
      </c>
      <c r="G642" s="1">
        <v>144000000</v>
      </c>
      <c r="H642" s="1">
        <v>126000000</v>
      </c>
      <c r="I642" s="1">
        <v>119000000</v>
      </c>
      <c r="J642" s="1">
        <v>121000000</v>
      </c>
      <c r="K642" s="1">
        <v>135000000</v>
      </c>
      <c r="L642" s="1">
        <v>126000000</v>
      </c>
      <c r="M642" s="1">
        <v>123000000</v>
      </c>
      <c r="N642" s="1">
        <v>124000000</v>
      </c>
      <c r="O642" s="1">
        <v>114000000</v>
      </c>
      <c r="P642" s="1">
        <v>124000000</v>
      </c>
      <c r="Q642" s="1">
        <v>110000000</v>
      </c>
      <c r="R642" s="1">
        <v>104000000</v>
      </c>
      <c r="S642" s="1">
        <v>125000000</v>
      </c>
      <c r="T642" s="1">
        <v>129000000</v>
      </c>
      <c r="U642" s="1">
        <v>114000000</v>
      </c>
      <c r="V642" s="1">
        <v>99000000</v>
      </c>
      <c r="W642" s="1">
        <v>99000000</v>
      </c>
      <c r="X642" s="1">
        <v>99000000</v>
      </c>
      <c r="Y642" s="1">
        <v>99000000</v>
      </c>
      <c r="Z642" s="1">
        <v>74000000</v>
      </c>
      <c r="AA642" s="1">
        <v>99000000</v>
      </c>
      <c r="AB642" s="1">
        <v>99000000</v>
      </c>
      <c r="AC642" s="1">
        <v>99000000</v>
      </c>
      <c r="AD642" s="1">
        <v>99000000</v>
      </c>
      <c r="AE642" s="1">
        <v>99000000</v>
      </c>
      <c r="AF642" s="1">
        <v>99000000</v>
      </c>
      <c r="AG642" s="1">
        <v>99000000</v>
      </c>
      <c r="AH642" s="1">
        <v>99000000</v>
      </c>
      <c r="AI642" s="1">
        <v>99000000</v>
      </c>
      <c r="AJ642" s="1">
        <v>99000000</v>
      </c>
      <c r="AK642" s="1">
        <v>99000000</v>
      </c>
      <c r="AL642" s="1">
        <v>99000000</v>
      </c>
      <c r="AM642" s="1">
        <v>99000000</v>
      </c>
      <c r="AO642" s="7">
        <f t="shared" ref="AO642" si="720">+O642-C642</f>
        <v>-97000000</v>
      </c>
      <c r="AP642" s="8">
        <f t="shared" ref="AP642" si="721">+(O642/C642)-1</f>
        <v>-0.45971563981042651</v>
      </c>
      <c r="AQ642" s="12">
        <f t="shared" ref="AQ642" si="722">+(AA642-O642)</f>
        <v>-15000000</v>
      </c>
      <c r="AR642" s="13">
        <f t="shared" ref="AR642" si="723">+(AA642/O642)-1</f>
        <v>-0.13157894736842102</v>
      </c>
      <c r="AS642" s="17">
        <f t="shared" ref="AS642" si="724">+AM642-AA642</f>
        <v>0</v>
      </c>
      <c r="AT642" s="18">
        <f t="shared" ref="AT642" si="725">+(AM642/AA642)-1</f>
        <v>0</v>
      </c>
    </row>
    <row r="643" spans="1:46"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46">
      <c r="A644" t="s">
        <v>521</v>
      </c>
      <c r="B644" t="s">
        <v>522</v>
      </c>
      <c r="C644">
        <v>4647971</v>
      </c>
      <c r="D644" s="1">
        <v>2994413</v>
      </c>
      <c r="E644" s="1">
        <v>3235093</v>
      </c>
      <c r="F644" s="1">
        <v>3528117</v>
      </c>
      <c r="G644" s="1">
        <v>3126774</v>
      </c>
      <c r="H644" s="1">
        <v>2956549</v>
      </c>
      <c r="I644" s="1">
        <v>3864336</v>
      </c>
      <c r="J644" s="1">
        <v>4239952</v>
      </c>
      <c r="K644" s="1">
        <v>4147836</v>
      </c>
      <c r="L644" s="1">
        <v>5647404</v>
      </c>
      <c r="M644" s="1">
        <v>3070793</v>
      </c>
      <c r="N644" s="1">
        <v>3286507</v>
      </c>
      <c r="O644" s="1">
        <v>3379891</v>
      </c>
      <c r="P644" s="1">
        <v>4153441</v>
      </c>
      <c r="Q644" s="1">
        <v>5210636</v>
      </c>
      <c r="R644" s="1">
        <v>4043835</v>
      </c>
      <c r="S644" s="1">
        <v>3382934</v>
      </c>
      <c r="T644" s="1">
        <v>3780976</v>
      </c>
      <c r="U644" s="1">
        <v>4807807</v>
      </c>
      <c r="V644" s="1">
        <v>2815588</v>
      </c>
      <c r="W644" s="1">
        <v>4034417</v>
      </c>
      <c r="X644" s="1">
        <v>4034417</v>
      </c>
      <c r="Y644" s="1">
        <v>4034417</v>
      </c>
      <c r="Z644" s="1">
        <v>4034417</v>
      </c>
      <c r="AA644" s="1">
        <v>4034417</v>
      </c>
      <c r="AB644" s="1">
        <v>4034417</v>
      </c>
      <c r="AC644" s="1">
        <v>4034417</v>
      </c>
      <c r="AD644" s="1">
        <v>4034417</v>
      </c>
      <c r="AE644" s="1">
        <v>4034417</v>
      </c>
      <c r="AF644" s="1">
        <v>4034417</v>
      </c>
      <c r="AG644" s="1">
        <v>4034417</v>
      </c>
      <c r="AH644" s="1">
        <v>4034417</v>
      </c>
      <c r="AI644" s="1">
        <v>4034417</v>
      </c>
      <c r="AJ644" s="1">
        <v>4034417</v>
      </c>
      <c r="AK644" s="1">
        <v>4034417</v>
      </c>
      <c r="AL644" s="1">
        <v>4034417</v>
      </c>
      <c r="AM644" s="1">
        <v>4034417</v>
      </c>
      <c r="AO644" s="7">
        <f t="shared" ref="AO644:AO650" si="726">+O644-C644</f>
        <v>-1268080</v>
      </c>
      <c r="AP644" s="8">
        <f t="shared" ref="AP644:AP650" si="727">+(O644/C644)-1</f>
        <v>-0.2728244216670026</v>
      </c>
      <c r="AQ644" s="12">
        <f t="shared" ref="AQ644:AQ650" si="728">+(AA644-O644)</f>
        <v>654526</v>
      </c>
      <c r="AR644" s="13">
        <f t="shared" ref="AR644:AR650" si="729">+(AA644/O644)-1</f>
        <v>0.19365299058460761</v>
      </c>
      <c r="AS644" s="17">
        <f t="shared" ref="AS644:AS650" si="730">+AM644-AA644</f>
        <v>0</v>
      </c>
      <c r="AT644" s="18">
        <f t="shared" ref="AT644:AT650" si="731">+(AM644/AA644)-1</f>
        <v>0</v>
      </c>
    </row>
    <row r="645" spans="1:46">
      <c r="A645" t="s">
        <v>523</v>
      </c>
      <c r="B645" t="s">
        <v>524</v>
      </c>
      <c r="C645">
        <v>7624</v>
      </c>
      <c r="D645" s="1">
        <v>8203</v>
      </c>
      <c r="E645" s="1">
        <v>9284</v>
      </c>
      <c r="F645" s="1">
        <v>7415</v>
      </c>
      <c r="G645" s="1">
        <v>4388</v>
      </c>
      <c r="H645" s="1">
        <v>8788</v>
      </c>
      <c r="I645" s="1">
        <v>16316</v>
      </c>
      <c r="J645" s="1">
        <v>14722</v>
      </c>
      <c r="K645" s="1">
        <v>14267</v>
      </c>
      <c r="L645" s="1">
        <v>20077</v>
      </c>
      <c r="M645" s="1">
        <v>20472</v>
      </c>
      <c r="N645" s="1">
        <v>18550</v>
      </c>
      <c r="O645" s="1">
        <v>23543</v>
      </c>
      <c r="P645" s="1">
        <v>22052</v>
      </c>
      <c r="Q645" s="1">
        <v>35407</v>
      </c>
      <c r="R645" s="1">
        <v>17916</v>
      </c>
      <c r="S645" s="1">
        <v>7328</v>
      </c>
      <c r="T645" s="1">
        <v>9521</v>
      </c>
      <c r="U645" s="1">
        <v>13184</v>
      </c>
      <c r="V645" s="1">
        <v>15209</v>
      </c>
      <c r="W645" s="1">
        <v>15582</v>
      </c>
      <c r="X645" s="1">
        <v>15582</v>
      </c>
      <c r="Y645" s="1">
        <v>15582</v>
      </c>
      <c r="Z645" s="1">
        <v>15582</v>
      </c>
      <c r="AA645" s="1">
        <v>15582</v>
      </c>
      <c r="AB645" s="1">
        <v>15582</v>
      </c>
      <c r="AC645" s="1">
        <v>15582</v>
      </c>
      <c r="AD645" s="1">
        <v>15582</v>
      </c>
      <c r="AE645" s="1">
        <v>15582</v>
      </c>
      <c r="AF645" s="1">
        <v>15582</v>
      </c>
      <c r="AG645" s="1">
        <v>15582</v>
      </c>
      <c r="AH645" s="1">
        <v>15582</v>
      </c>
      <c r="AI645" s="1">
        <v>15582</v>
      </c>
      <c r="AJ645" s="1">
        <v>15582</v>
      </c>
      <c r="AK645" s="1">
        <v>15582</v>
      </c>
      <c r="AL645" s="1">
        <v>15582</v>
      </c>
      <c r="AM645" s="1">
        <v>15582</v>
      </c>
      <c r="AO645" s="7">
        <f t="shared" si="726"/>
        <v>15919</v>
      </c>
      <c r="AP645" s="8">
        <f t="shared" si="727"/>
        <v>2.0880115424973766</v>
      </c>
      <c r="AQ645" s="12">
        <f t="shared" si="728"/>
        <v>-7961</v>
      </c>
      <c r="AR645" s="13">
        <f t="shared" si="729"/>
        <v>-0.33814721998046127</v>
      </c>
      <c r="AS645" s="17">
        <f t="shared" si="730"/>
        <v>0</v>
      </c>
      <c r="AT645" s="18">
        <f t="shared" si="731"/>
        <v>0</v>
      </c>
    </row>
    <row r="646" spans="1:46">
      <c r="A646" t="s">
        <v>525</v>
      </c>
      <c r="B646">
        <v>830005</v>
      </c>
      <c r="C646">
        <v>724599</v>
      </c>
      <c r="D646" s="1">
        <v>513722</v>
      </c>
      <c r="E646" s="1">
        <v>814717</v>
      </c>
      <c r="F646" s="1">
        <v>1153593</v>
      </c>
      <c r="G646" s="1">
        <v>1375416</v>
      </c>
      <c r="H646" s="1">
        <v>1772924</v>
      </c>
      <c r="I646" s="1">
        <v>2165316</v>
      </c>
      <c r="J646" s="1">
        <v>2559722</v>
      </c>
      <c r="K646" s="1">
        <v>2967651</v>
      </c>
      <c r="L646" s="1">
        <v>3347734</v>
      </c>
      <c r="M646" s="1">
        <v>3747501</v>
      </c>
      <c r="N646" s="1">
        <v>4138094</v>
      </c>
      <c r="O646" s="1">
        <v>4533566</v>
      </c>
      <c r="P646" s="1">
        <v>235979</v>
      </c>
      <c r="Q646" s="1">
        <v>194863</v>
      </c>
      <c r="R646" s="1">
        <v>232703</v>
      </c>
      <c r="S646" s="1">
        <v>222558</v>
      </c>
      <c r="T646" s="1">
        <v>119078</v>
      </c>
      <c r="U646" s="1">
        <v>72841</v>
      </c>
      <c r="V646" s="1">
        <v>98854</v>
      </c>
      <c r="W646" s="1">
        <v>106341</v>
      </c>
      <c r="X646" s="1">
        <v>106341</v>
      </c>
      <c r="Y646" s="1">
        <v>106341</v>
      </c>
      <c r="Z646" s="1">
        <v>106341</v>
      </c>
      <c r="AA646" s="1">
        <v>106341</v>
      </c>
      <c r="AB646" s="1">
        <v>106341</v>
      </c>
      <c r="AC646" s="1">
        <v>106341</v>
      </c>
      <c r="AD646" s="1">
        <v>106341</v>
      </c>
      <c r="AE646" s="1">
        <v>106341</v>
      </c>
      <c r="AF646" s="1">
        <v>106341</v>
      </c>
      <c r="AG646" s="1">
        <v>106341</v>
      </c>
      <c r="AH646" s="1">
        <v>106341</v>
      </c>
      <c r="AI646" s="1">
        <v>106341</v>
      </c>
      <c r="AJ646" s="1">
        <v>106341</v>
      </c>
      <c r="AK646" s="1">
        <v>106341</v>
      </c>
      <c r="AL646" s="1">
        <v>106341</v>
      </c>
      <c r="AM646" s="1">
        <v>106341</v>
      </c>
      <c r="AO646" s="7">
        <f t="shared" si="726"/>
        <v>3808967</v>
      </c>
      <c r="AP646" s="8">
        <f t="shared" si="727"/>
        <v>5.256655060247116</v>
      </c>
      <c r="AQ646" s="12">
        <f t="shared" si="728"/>
        <v>-4427225</v>
      </c>
      <c r="AR646" s="13">
        <f t="shared" si="729"/>
        <v>-0.97654363033426672</v>
      </c>
      <c r="AS646" s="17">
        <f t="shared" si="730"/>
        <v>0</v>
      </c>
      <c r="AT646" s="18">
        <f t="shared" si="731"/>
        <v>0</v>
      </c>
    </row>
    <row r="647" spans="1:46">
      <c r="A647" t="s">
        <v>526</v>
      </c>
      <c r="B647" t="s">
        <v>527</v>
      </c>
      <c r="C647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O647" s="7">
        <f t="shared" si="726"/>
        <v>0</v>
      </c>
      <c r="AP647" s="8" t="e">
        <f t="shared" si="727"/>
        <v>#DIV/0!</v>
      </c>
      <c r="AQ647" s="12">
        <f t="shared" si="728"/>
        <v>0</v>
      </c>
      <c r="AR647" s="13" t="e">
        <f t="shared" si="729"/>
        <v>#DIV/0!</v>
      </c>
      <c r="AS647" s="17">
        <f t="shared" si="730"/>
        <v>0</v>
      </c>
      <c r="AT647" s="18" t="e">
        <f t="shared" si="731"/>
        <v>#DIV/0!</v>
      </c>
    </row>
    <row r="648" spans="1:46">
      <c r="A648" t="s">
        <v>528</v>
      </c>
      <c r="B648" t="s">
        <v>529</v>
      </c>
      <c r="C648">
        <v>19470337</v>
      </c>
      <c r="D648" s="1">
        <v>13465997</v>
      </c>
      <c r="E648" s="1">
        <v>14069429</v>
      </c>
      <c r="F648" s="1">
        <v>19258824</v>
      </c>
      <c r="G648" s="1">
        <v>11155549</v>
      </c>
      <c r="H648" s="1">
        <v>11739164</v>
      </c>
      <c r="I648" s="1">
        <v>18672532</v>
      </c>
      <c r="J648" s="1">
        <v>14362336</v>
      </c>
      <c r="K648" s="1">
        <v>17898641</v>
      </c>
      <c r="L648" s="1">
        <v>12636738</v>
      </c>
      <c r="M648" s="1">
        <v>13958210</v>
      </c>
      <c r="N648" s="1">
        <v>16886977</v>
      </c>
      <c r="O648" s="1">
        <v>12538582</v>
      </c>
      <c r="P648" s="1">
        <v>12321280</v>
      </c>
      <c r="Q648" s="1">
        <v>13845268</v>
      </c>
      <c r="R648" s="1">
        <v>12268269</v>
      </c>
      <c r="S648" s="1">
        <v>10770862</v>
      </c>
      <c r="T648" s="1">
        <v>15150068</v>
      </c>
      <c r="U648" s="1">
        <v>12978059</v>
      </c>
      <c r="V648" s="1">
        <v>17009243</v>
      </c>
      <c r="W648" s="1">
        <v>22772098</v>
      </c>
      <c r="X648" s="1">
        <v>22772098</v>
      </c>
      <c r="Y648" s="1">
        <v>22772098</v>
      </c>
      <c r="Z648" s="1">
        <v>22772098</v>
      </c>
      <c r="AA648" s="1">
        <v>22772098</v>
      </c>
      <c r="AB648" s="1">
        <v>22772098</v>
      </c>
      <c r="AC648" s="1">
        <v>22772098</v>
      </c>
      <c r="AD648" s="1">
        <v>22772098</v>
      </c>
      <c r="AE648" s="1">
        <v>22772098</v>
      </c>
      <c r="AF648" s="1">
        <v>22772098</v>
      </c>
      <c r="AG648" s="1">
        <v>22772098</v>
      </c>
      <c r="AH648" s="1">
        <v>22772098</v>
      </c>
      <c r="AI648" s="1">
        <v>22772098</v>
      </c>
      <c r="AJ648" s="1">
        <v>22772098</v>
      </c>
      <c r="AK648" s="1">
        <v>22772098</v>
      </c>
      <c r="AL648" s="1">
        <v>22772098</v>
      </c>
      <c r="AM648" s="1">
        <v>22772098</v>
      </c>
      <c r="AO648" s="7">
        <f t="shared" si="726"/>
        <v>-6931755</v>
      </c>
      <c r="AP648" s="8">
        <f t="shared" si="727"/>
        <v>-0.35601617989457501</v>
      </c>
      <c r="AQ648" s="12">
        <f t="shared" si="728"/>
        <v>10233516</v>
      </c>
      <c r="AR648" s="13">
        <f t="shared" si="729"/>
        <v>0.81616214656489872</v>
      </c>
      <c r="AS648" s="17">
        <f t="shared" si="730"/>
        <v>0</v>
      </c>
      <c r="AT648" s="18">
        <f t="shared" si="731"/>
        <v>0</v>
      </c>
    </row>
    <row r="649" spans="1:46">
      <c r="A649" t="s">
        <v>530</v>
      </c>
      <c r="C649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O649" s="7">
        <f t="shared" si="726"/>
        <v>0</v>
      </c>
      <c r="AP649" s="8" t="e">
        <f t="shared" si="727"/>
        <v>#DIV/0!</v>
      </c>
      <c r="AQ649" s="12">
        <f t="shared" si="728"/>
        <v>0</v>
      </c>
      <c r="AR649" s="13" t="e">
        <f t="shared" si="729"/>
        <v>#DIV/0!</v>
      </c>
      <c r="AS649" s="17">
        <f t="shared" si="730"/>
        <v>0</v>
      </c>
      <c r="AT649" s="18" t="e">
        <f t="shared" si="731"/>
        <v>#DIV/0!</v>
      </c>
    </row>
    <row r="650" spans="1:46">
      <c r="A650" t="s">
        <v>531</v>
      </c>
      <c r="B650" t="s">
        <v>532</v>
      </c>
      <c r="C650">
        <v>1846851</v>
      </c>
      <c r="D650" s="1">
        <v>1797740</v>
      </c>
      <c r="E650" s="1">
        <v>1726204</v>
      </c>
      <c r="F650" s="1">
        <v>1654462</v>
      </c>
      <c r="G650" s="1">
        <v>1604995</v>
      </c>
      <c r="H650" s="1">
        <v>1533253</v>
      </c>
      <c r="I650" s="1">
        <v>1460939</v>
      </c>
      <c r="J650" s="1">
        <v>1137824</v>
      </c>
      <c r="K650" s="1">
        <v>1631261</v>
      </c>
      <c r="L650" s="1">
        <v>1562272</v>
      </c>
      <c r="M650" s="1">
        <v>1511999</v>
      </c>
      <c r="N650" s="1">
        <v>1439230</v>
      </c>
      <c r="O650" s="1">
        <v>1997973</v>
      </c>
      <c r="P650" s="1">
        <v>1947123</v>
      </c>
      <c r="Q650" s="1">
        <v>1873746</v>
      </c>
      <c r="R650" s="1">
        <v>1800242</v>
      </c>
      <c r="S650" s="1">
        <v>2368947</v>
      </c>
      <c r="T650" s="1">
        <v>2284718</v>
      </c>
      <c r="U650" s="1">
        <v>2199982</v>
      </c>
      <c r="V650" s="1">
        <v>2247551</v>
      </c>
      <c r="W650" s="1">
        <v>2054221</v>
      </c>
      <c r="X650" s="1">
        <v>2054221</v>
      </c>
      <c r="Y650" s="1">
        <v>2054221</v>
      </c>
      <c r="Z650" s="1">
        <v>2054221</v>
      </c>
      <c r="AA650" s="1">
        <v>2054221</v>
      </c>
      <c r="AB650" s="1">
        <v>2054221</v>
      </c>
      <c r="AC650" s="1">
        <v>2054221</v>
      </c>
      <c r="AD650" s="1">
        <v>2054221</v>
      </c>
      <c r="AE650" s="1">
        <v>2054221</v>
      </c>
      <c r="AF650" s="1">
        <v>2054221</v>
      </c>
      <c r="AG650" s="1">
        <v>2054221</v>
      </c>
      <c r="AH650" s="1">
        <v>2054221</v>
      </c>
      <c r="AI650" s="1">
        <v>2054221</v>
      </c>
      <c r="AJ650" s="1">
        <v>2054221</v>
      </c>
      <c r="AK650" s="1">
        <v>2054221</v>
      </c>
      <c r="AL650" s="1">
        <v>2054221</v>
      </c>
      <c r="AM650" s="1">
        <v>2054221</v>
      </c>
      <c r="AO650" s="7">
        <f t="shared" si="726"/>
        <v>151122</v>
      </c>
      <c r="AP650" s="8">
        <f t="shared" si="727"/>
        <v>8.1826850135717555E-2</v>
      </c>
      <c r="AQ650" s="12">
        <f t="shared" si="728"/>
        <v>56248</v>
      </c>
      <c r="AR650" s="13">
        <f t="shared" si="729"/>
        <v>2.8152532591781743E-2</v>
      </c>
      <c r="AS650" s="17">
        <f t="shared" si="730"/>
        <v>0</v>
      </c>
      <c r="AT650" s="18">
        <f t="shared" si="731"/>
        <v>0</v>
      </c>
    </row>
    <row r="651" spans="1:46">
      <c r="A651" t="s">
        <v>11</v>
      </c>
      <c r="B651" t="s">
        <v>12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46">
      <c r="A652" t="s">
        <v>533</v>
      </c>
      <c r="C652">
        <v>26697382</v>
      </c>
      <c r="D652" s="1">
        <v>18780076</v>
      </c>
      <c r="E652" s="1">
        <v>19854726</v>
      </c>
      <c r="F652" s="1">
        <v>25602411</v>
      </c>
      <c r="G652" s="1">
        <v>17267122</v>
      </c>
      <c r="H652" s="1">
        <v>18010679</v>
      </c>
      <c r="I652" s="1">
        <v>26179439</v>
      </c>
      <c r="J652" s="1">
        <v>22314556</v>
      </c>
      <c r="K652" s="1">
        <v>26659656</v>
      </c>
      <c r="L652" s="1">
        <v>23214225</v>
      </c>
      <c r="M652" s="1">
        <v>22308975</v>
      </c>
      <c r="N652" s="1">
        <v>25769357</v>
      </c>
      <c r="O652" s="1">
        <v>22473555</v>
      </c>
      <c r="P652" s="1">
        <v>18679875</v>
      </c>
      <c r="Q652" s="1">
        <v>21159920</v>
      </c>
      <c r="R652" s="1">
        <v>18362964</v>
      </c>
      <c r="S652" s="1">
        <v>16752629</v>
      </c>
      <c r="T652" s="1">
        <v>21344361</v>
      </c>
      <c r="U652" s="1">
        <v>20071873</v>
      </c>
      <c r="V652" s="1">
        <v>22186446</v>
      </c>
      <c r="W652" s="1">
        <v>28982659</v>
      </c>
      <c r="X652" s="1">
        <v>28982659</v>
      </c>
      <c r="Y652" s="1">
        <v>28982659</v>
      </c>
      <c r="Z652" s="1">
        <v>28982659</v>
      </c>
      <c r="AA652" s="1">
        <v>28982659</v>
      </c>
      <c r="AB652" s="1">
        <v>28982659</v>
      </c>
      <c r="AC652" s="1">
        <v>28982659</v>
      </c>
      <c r="AD652" s="1">
        <v>28982659</v>
      </c>
      <c r="AE652" s="1">
        <v>28982659</v>
      </c>
      <c r="AF652" s="1">
        <v>28982659</v>
      </c>
      <c r="AG652" s="1">
        <v>28982659</v>
      </c>
      <c r="AH652" s="1">
        <v>28982659</v>
      </c>
      <c r="AI652" s="1">
        <v>28982659</v>
      </c>
      <c r="AJ652" s="1">
        <v>28982659</v>
      </c>
      <c r="AK652" s="1">
        <v>28982659</v>
      </c>
      <c r="AL652" s="1">
        <v>28982659</v>
      </c>
      <c r="AM652" s="1">
        <v>28982659</v>
      </c>
      <c r="AO652" s="7">
        <f t="shared" ref="AO652" si="732">+O652-C652</f>
        <v>-4223827</v>
      </c>
      <c r="AP652" s="8">
        <f t="shared" ref="AP652" si="733">+(O652/C652)-1</f>
        <v>-0.15821128079150237</v>
      </c>
      <c r="AQ652" s="12">
        <f t="shared" ref="AQ652" si="734">+(AA652-O652)</f>
        <v>6509104</v>
      </c>
      <c r="AR652" s="13">
        <f t="shared" ref="AR652" si="735">+(AA652/O652)-1</f>
        <v>0.28963392752059036</v>
      </c>
      <c r="AS652" s="17">
        <f t="shared" ref="AS652" si="736">+AM652-AA652</f>
        <v>0</v>
      </c>
      <c r="AT652" s="18">
        <f t="shared" ref="AT652" si="737">+(AM652/AA652)-1</f>
        <v>0</v>
      </c>
    </row>
    <row r="653" spans="1:46">
      <c r="A653" t="s">
        <v>11</v>
      </c>
      <c r="B653" t="s">
        <v>12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46">
      <c r="A654" t="s">
        <v>534</v>
      </c>
      <c r="C654">
        <v>2238188690</v>
      </c>
      <c r="D654" s="1">
        <v>2204219749</v>
      </c>
      <c r="E654" s="1">
        <v>2239287367</v>
      </c>
      <c r="F654" s="1">
        <v>2234681994</v>
      </c>
      <c r="G654" s="1">
        <v>2200543178</v>
      </c>
      <c r="H654" s="1">
        <v>2196100134</v>
      </c>
      <c r="I654" s="1">
        <v>2204110554</v>
      </c>
      <c r="J654" s="1">
        <v>2187641977</v>
      </c>
      <c r="K654" s="1">
        <v>2217802362</v>
      </c>
      <c r="L654" s="1">
        <v>2192745913</v>
      </c>
      <c r="M654" s="1">
        <v>2195555236</v>
      </c>
      <c r="N654" s="1">
        <v>2198082422</v>
      </c>
      <c r="O654" s="1">
        <v>2190660211</v>
      </c>
      <c r="P654" s="1">
        <v>2211996258</v>
      </c>
      <c r="Q654" s="1">
        <v>2208235989</v>
      </c>
      <c r="R654" s="1">
        <v>2191666097</v>
      </c>
      <c r="S654" s="1">
        <v>2194148749</v>
      </c>
      <c r="T654" s="1">
        <v>2207197692</v>
      </c>
      <c r="U654" s="1">
        <v>2203529128</v>
      </c>
      <c r="V654" s="1">
        <v>2241896127</v>
      </c>
      <c r="W654" s="1">
        <v>2260660064</v>
      </c>
      <c r="X654" s="1">
        <v>2287403060</v>
      </c>
      <c r="Y654" s="1">
        <v>2303375410</v>
      </c>
      <c r="Z654" s="1">
        <v>2312711123</v>
      </c>
      <c r="AA654" s="1">
        <v>2313013299</v>
      </c>
      <c r="AB654" s="1">
        <v>2322754554</v>
      </c>
      <c r="AC654" s="1">
        <v>2333156622</v>
      </c>
      <c r="AD654" s="1">
        <v>2343558689</v>
      </c>
      <c r="AE654" s="1">
        <v>2356326013</v>
      </c>
      <c r="AF654" s="1">
        <v>2369895375</v>
      </c>
      <c r="AG654" s="1">
        <v>2384839659</v>
      </c>
      <c r="AH654" s="1">
        <v>2403035764</v>
      </c>
      <c r="AI654" s="1">
        <v>2421231909</v>
      </c>
      <c r="AJ654" s="1">
        <v>2440015246</v>
      </c>
      <c r="AK654" s="1">
        <v>2457452705</v>
      </c>
      <c r="AL654" s="1">
        <v>2474087634</v>
      </c>
      <c r="AM654" s="1">
        <v>2487815750</v>
      </c>
      <c r="AO654" s="7">
        <f t="shared" ref="AO654" si="738">+O654-C654</f>
        <v>-47528479</v>
      </c>
      <c r="AP654" s="8">
        <f t="shared" ref="AP654" si="739">+(O654/C654)-1</f>
        <v>-2.1235242235094987E-2</v>
      </c>
      <c r="AQ654" s="12">
        <f t="shared" ref="AQ654" si="740">+(AA654-O654)</f>
        <v>122353088</v>
      </c>
      <c r="AR654" s="13">
        <f t="shared" ref="AR654" si="741">+(AA654/O654)-1</f>
        <v>5.5852152417625645E-2</v>
      </c>
      <c r="AS654" s="17">
        <f t="shared" ref="AS654" si="742">+AM654-AA654</f>
        <v>174802451</v>
      </c>
      <c r="AT654" s="18">
        <f t="shared" ref="AT654" si="743">+(AM654/AA654)-1</f>
        <v>7.5573474253508799E-2</v>
      </c>
    </row>
    <row r="655" spans="1:46"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46">
      <c r="A656" t="s">
        <v>535</v>
      </c>
      <c r="B656">
        <v>900005</v>
      </c>
      <c r="C656">
        <v>11797933</v>
      </c>
      <c r="D656" s="1">
        <v>11797933</v>
      </c>
      <c r="E656" s="1">
        <v>11797933</v>
      </c>
      <c r="F656" s="1">
        <v>11797933</v>
      </c>
      <c r="G656" s="1">
        <v>11797933</v>
      </c>
      <c r="H656" s="1">
        <v>11797933</v>
      </c>
      <c r="I656" s="1">
        <v>11797933</v>
      </c>
      <c r="J656" s="1">
        <v>11797933</v>
      </c>
      <c r="K656" s="1">
        <v>11797933</v>
      </c>
      <c r="L656" s="1">
        <v>11797933</v>
      </c>
      <c r="M656" s="1">
        <v>11797933</v>
      </c>
      <c r="N656" s="1">
        <v>11797933</v>
      </c>
      <c r="O656" s="1">
        <v>11797933</v>
      </c>
      <c r="P656" s="1">
        <v>11797933</v>
      </c>
      <c r="Q656" s="1">
        <v>11797933</v>
      </c>
      <c r="R656" s="1">
        <v>11797933</v>
      </c>
      <c r="S656" s="1">
        <v>11797933</v>
      </c>
      <c r="T656" s="1">
        <v>11797933</v>
      </c>
      <c r="U656" s="1">
        <v>11797933</v>
      </c>
      <c r="V656" s="1">
        <v>11797933</v>
      </c>
      <c r="W656" s="1">
        <v>11797933</v>
      </c>
      <c r="X656" s="1">
        <v>11797933</v>
      </c>
      <c r="Y656" s="1">
        <v>11797933</v>
      </c>
      <c r="Z656" s="1">
        <v>11797933</v>
      </c>
      <c r="AA656" s="1">
        <v>11797933</v>
      </c>
      <c r="AB656" s="1">
        <v>11797933</v>
      </c>
      <c r="AC656" s="1">
        <v>11797933</v>
      </c>
      <c r="AD656" s="1">
        <v>11797933</v>
      </c>
      <c r="AE656" s="1">
        <v>11797933</v>
      </c>
      <c r="AF656" s="1">
        <v>11797933</v>
      </c>
      <c r="AG656" s="1">
        <v>11797933</v>
      </c>
      <c r="AH656" s="1">
        <v>11797933</v>
      </c>
      <c r="AI656" s="1">
        <v>11797933</v>
      </c>
      <c r="AJ656" s="1">
        <v>11797933</v>
      </c>
      <c r="AK656" s="1">
        <v>11797933</v>
      </c>
      <c r="AL656" s="1">
        <v>11797933</v>
      </c>
      <c r="AM656" s="1">
        <v>11797933</v>
      </c>
      <c r="AO656" s="7">
        <f t="shared" ref="AO656:AO660" si="744">+O656-C656</f>
        <v>0</v>
      </c>
      <c r="AP656" s="8">
        <f t="shared" ref="AP656:AP660" si="745">+(O656/C656)-1</f>
        <v>0</v>
      </c>
      <c r="AQ656" s="12">
        <f t="shared" ref="AQ656:AQ660" si="746">+(AA656-O656)</f>
        <v>0</v>
      </c>
      <c r="AR656" s="13">
        <f t="shared" ref="AR656:AR660" si="747">+(AA656/O656)-1</f>
        <v>0</v>
      </c>
      <c r="AS656" s="17">
        <f t="shared" ref="AS656:AS660" si="748">+AM656-AA656</f>
        <v>0</v>
      </c>
      <c r="AT656" s="18">
        <f t="shared" ref="AT656:AT660" si="749">+(AM656/AA656)-1</f>
        <v>0</v>
      </c>
    </row>
    <row r="657" spans="1:46">
      <c r="A657" t="s">
        <v>536</v>
      </c>
      <c r="B657">
        <v>900205</v>
      </c>
      <c r="C657">
        <v>-61050639</v>
      </c>
      <c r="D657" s="1">
        <v>-61845264</v>
      </c>
      <c r="E657" s="1">
        <v>-67335358</v>
      </c>
      <c r="F657" s="1">
        <v>-64768607</v>
      </c>
      <c r="G657" s="1">
        <v>-73007258</v>
      </c>
      <c r="H657" s="1">
        <v>-68378639</v>
      </c>
      <c r="I657" s="1">
        <v>-64146487</v>
      </c>
      <c r="J657" s="1">
        <v>-58489122</v>
      </c>
      <c r="K657" s="1">
        <v>-53777323</v>
      </c>
      <c r="L657" s="1">
        <v>-50830201</v>
      </c>
      <c r="M657" s="1">
        <v>-59599527</v>
      </c>
      <c r="N657" s="1">
        <v>-56958328</v>
      </c>
      <c r="O657" s="1">
        <v>-62161956</v>
      </c>
      <c r="P657" s="1">
        <v>-60907407</v>
      </c>
      <c r="Q657" s="1">
        <v>-55155197</v>
      </c>
      <c r="R657" s="1">
        <v>-54961401</v>
      </c>
      <c r="S657" s="1">
        <v>-52954646</v>
      </c>
      <c r="T657" s="1">
        <v>-55985166</v>
      </c>
      <c r="U657" s="1">
        <v>-52194284</v>
      </c>
      <c r="V657" s="1">
        <v>-53793203</v>
      </c>
      <c r="W657" s="1">
        <v>-49864478</v>
      </c>
      <c r="X657" s="1">
        <v>-48450000</v>
      </c>
      <c r="Y657" s="1">
        <v>-46900000</v>
      </c>
      <c r="Z657" s="1">
        <v>-43758000</v>
      </c>
      <c r="AA657" s="1">
        <v>-40150000</v>
      </c>
      <c r="AB657" s="1">
        <v>-38500000</v>
      </c>
      <c r="AC657" s="1">
        <v>-37730000</v>
      </c>
      <c r="AD657" s="1">
        <v>-36740000</v>
      </c>
      <c r="AE657" s="1">
        <v>-34980000</v>
      </c>
      <c r="AF657" s="1">
        <v>-34210000</v>
      </c>
      <c r="AG657" s="1">
        <v>-33220000</v>
      </c>
      <c r="AH657" s="1">
        <v>-32340000</v>
      </c>
      <c r="AI657" s="1">
        <v>-31680000</v>
      </c>
      <c r="AJ657" s="1">
        <v>-31020000</v>
      </c>
      <c r="AK657" s="1">
        <v>-30580000</v>
      </c>
      <c r="AL657" s="1">
        <v>-30415000</v>
      </c>
      <c r="AM657" s="1">
        <v>-30360000</v>
      </c>
      <c r="AO657" s="7">
        <f t="shared" si="744"/>
        <v>-1111317</v>
      </c>
      <c r="AP657" s="8">
        <f t="shared" si="745"/>
        <v>1.820320013358101E-2</v>
      </c>
      <c r="AQ657" s="12">
        <f t="shared" si="746"/>
        <v>22011956</v>
      </c>
      <c r="AR657" s="13">
        <f t="shared" si="747"/>
        <v>-0.35410655353251752</v>
      </c>
      <c r="AS657" s="17">
        <f t="shared" si="748"/>
        <v>9790000</v>
      </c>
      <c r="AT657" s="18">
        <f t="shared" si="749"/>
        <v>-0.24383561643835616</v>
      </c>
    </row>
    <row r="658" spans="1:46">
      <c r="A658" t="s">
        <v>537</v>
      </c>
      <c r="B658">
        <v>900105</v>
      </c>
      <c r="C658">
        <v>178480389</v>
      </c>
      <c r="D658" s="1">
        <v>178500837</v>
      </c>
      <c r="E658" s="1">
        <v>178662016</v>
      </c>
      <c r="F658" s="1">
        <v>178894045</v>
      </c>
      <c r="G658" s="1">
        <v>179106104</v>
      </c>
      <c r="H658" s="1">
        <v>179213549</v>
      </c>
      <c r="I658" s="1">
        <v>173969430</v>
      </c>
      <c r="J658" s="1">
        <v>174381208</v>
      </c>
      <c r="K658" s="1">
        <v>175145133</v>
      </c>
      <c r="L658" s="1">
        <v>176044487</v>
      </c>
      <c r="M658" s="1">
        <v>176460105</v>
      </c>
      <c r="N658" s="1">
        <v>177401712</v>
      </c>
      <c r="O658" s="1">
        <v>178517002</v>
      </c>
      <c r="P658" s="1">
        <v>179025820</v>
      </c>
      <c r="Q658" s="1">
        <v>179431591</v>
      </c>
      <c r="R658" s="1">
        <v>180196771</v>
      </c>
      <c r="S658" s="1">
        <v>180568351</v>
      </c>
      <c r="T658" s="1">
        <v>180867544</v>
      </c>
      <c r="U658" s="1">
        <v>180929704</v>
      </c>
      <c r="V658" s="1">
        <v>181415420</v>
      </c>
      <c r="W658" s="1">
        <v>183547929</v>
      </c>
      <c r="X658" s="1">
        <v>183547929</v>
      </c>
      <c r="Y658" s="1">
        <v>184523465</v>
      </c>
      <c r="Z658" s="1">
        <v>184981685</v>
      </c>
      <c r="AA658" s="1">
        <v>186192948</v>
      </c>
      <c r="AB658" s="1">
        <v>187100471</v>
      </c>
      <c r="AC658" s="1">
        <v>188090144</v>
      </c>
      <c r="AD658" s="1">
        <v>189217304</v>
      </c>
      <c r="AE658" s="1">
        <v>190531547</v>
      </c>
      <c r="AF658" s="1">
        <v>191557341</v>
      </c>
      <c r="AG658" s="1">
        <v>192885631</v>
      </c>
      <c r="AH658" s="1">
        <v>194198401</v>
      </c>
      <c r="AI658" s="1">
        <v>195662834</v>
      </c>
      <c r="AJ658" s="1">
        <v>197265941</v>
      </c>
      <c r="AK658" s="1">
        <v>198693443</v>
      </c>
      <c r="AL658" s="1">
        <v>200347948</v>
      </c>
      <c r="AM658" s="1">
        <v>201969095</v>
      </c>
      <c r="AO658" s="7">
        <f t="shared" si="744"/>
        <v>36613</v>
      </c>
      <c r="AP658" s="8">
        <f t="shared" si="745"/>
        <v>2.0513738346905619E-4</v>
      </c>
      <c r="AQ658" s="12">
        <f t="shared" si="746"/>
        <v>7675946</v>
      </c>
      <c r="AR658" s="13">
        <f t="shared" si="747"/>
        <v>4.2998403031661914E-2</v>
      </c>
      <c r="AS658" s="17">
        <f t="shared" si="748"/>
        <v>15776147</v>
      </c>
      <c r="AT658" s="18">
        <f t="shared" si="749"/>
        <v>8.4730099445012197E-2</v>
      </c>
    </row>
    <row r="659" spans="1:46">
      <c r="A659" t="s">
        <v>538</v>
      </c>
      <c r="B659">
        <v>900110</v>
      </c>
      <c r="C659">
        <v>1188000</v>
      </c>
      <c r="D659" s="1">
        <v>1188000</v>
      </c>
      <c r="E659" s="1">
        <v>1188000</v>
      </c>
      <c r="F659" s="1">
        <v>1188000</v>
      </c>
      <c r="G659" s="1">
        <v>1188000</v>
      </c>
      <c r="H659" s="1">
        <v>1188000</v>
      </c>
      <c r="I659" s="1">
        <v>1188000</v>
      </c>
      <c r="J659" s="1">
        <v>1188000</v>
      </c>
      <c r="K659" s="1">
        <v>1188000</v>
      </c>
      <c r="L659" s="1">
        <v>1188000</v>
      </c>
      <c r="M659" s="1">
        <v>1188000</v>
      </c>
      <c r="N659" s="1">
        <v>1188000</v>
      </c>
      <c r="O659" s="1">
        <v>1188000</v>
      </c>
      <c r="P659" s="1">
        <v>1188000</v>
      </c>
      <c r="Q659" s="1">
        <v>1188000</v>
      </c>
      <c r="R659" s="1">
        <v>1188000</v>
      </c>
      <c r="S659" s="1">
        <v>1188000</v>
      </c>
      <c r="T659" s="1">
        <v>1188000</v>
      </c>
      <c r="U659" s="1">
        <v>1188000</v>
      </c>
      <c r="V659" s="1">
        <v>1188000</v>
      </c>
      <c r="W659" s="1">
        <v>1188000</v>
      </c>
      <c r="X659" s="1">
        <v>1188000</v>
      </c>
      <c r="Y659" s="1">
        <v>1188000</v>
      </c>
      <c r="Z659" s="1">
        <v>1188000</v>
      </c>
      <c r="AA659" s="1">
        <v>1188000</v>
      </c>
      <c r="AB659" s="1">
        <v>1188000</v>
      </c>
      <c r="AC659" s="1">
        <v>1188000</v>
      </c>
      <c r="AD659" s="1">
        <v>1188000</v>
      </c>
      <c r="AE659" s="1">
        <v>1188000</v>
      </c>
      <c r="AF659" s="1">
        <v>1188000</v>
      </c>
      <c r="AG659" s="1">
        <v>1188000</v>
      </c>
      <c r="AH659" s="1">
        <v>1188000</v>
      </c>
      <c r="AI659" s="1">
        <v>1188000</v>
      </c>
      <c r="AJ659" s="1">
        <v>1188000</v>
      </c>
      <c r="AK659" s="1">
        <v>1188000</v>
      </c>
      <c r="AL659" s="1">
        <v>1188000</v>
      </c>
      <c r="AM659" s="1">
        <v>1188000</v>
      </c>
      <c r="AO659" s="7">
        <f t="shared" si="744"/>
        <v>0</v>
      </c>
      <c r="AP659" s="8">
        <f t="shared" si="745"/>
        <v>0</v>
      </c>
      <c r="AQ659" s="12">
        <f t="shared" si="746"/>
        <v>0</v>
      </c>
      <c r="AR659" s="13">
        <f t="shared" si="747"/>
        <v>0</v>
      </c>
      <c r="AS659" s="17">
        <f t="shared" si="748"/>
        <v>0</v>
      </c>
      <c r="AT659" s="18">
        <f t="shared" si="749"/>
        <v>0</v>
      </c>
    </row>
    <row r="660" spans="1:46">
      <c r="A660" t="s">
        <v>539</v>
      </c>
      <c r="B660">
        <v>900215</v>
      </c>
      <c r="C660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975536</v>
      </c>
      <c r="Y660" s="1">
        <v>458220</v>
      </c>
      <c r="Z660" s="1">
        <v>1211263</v>
      </c>
      <c r="AA660" s="1">
        <v>907523</v>
      </c>
      <c r="AB660" s="1">
        <v>989673</v>
      </c>
      <c r="AC660" s="1">
        <v>1127160</v>
      </c>
      <c r="AD660" s="1">
        <v>1314243</v>
      </c>
      <c r="AE660" s="1">
        <v>1025794</v>
      </c>
      <c r="AF660" s="1">
        <v>1328291</v>
      </c>
      <c r="AG660" s="1">
        <v>1312770</v>
      </c>
      <c r="AH660" s="1">
        <v>1464433</v>
      </c>
      <c r="AI660" s="1">
        <v>1603107</v>
      </c>
      <c r="AJ660" s="1">
        <v>1427501</v>
      </c>
      <c r="AK660" s="1">
        <v>1654506</v>
      </c>
      <c r="AL660" s="1">
        <v>1621147</v>
      </c>
      <c r="AM660" s="1">
        <v>1792976</v>
      </c>
      <c r="AO660" s="7">
        <f t="shared" si="744"/>
        <v>0</v>
      </c>
      <c r="AP660" s="8" t="e">
        <f t="shared" si="745"/>
        <v>#DIV/0!</v>
      </c>
      <c r="AQ660" s="12">
        <f t="shared" si="746"/>
        <v>907523</v>
      </c>
      <c r="AR660" s="13" t="e">
        <f t="shared" si="747"/>
        <v>#DIV/0!</v>
      </c>
      <c r="AS660" s="17">
        <f t="shared" si="748"/>
        <v>885453</v>
      </c>
      <c r="AT660" s="18">
        <f t="shared" si="749"/>
        <v>0.9756810571192136</v>
      </c>
    </row>
    <row r="661" spans="1:46">
      <c r="A661" t="s">
        <v>11</v>
      </c>
      <c r="B661" t="s">
        <v>12</v>
      </c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>
        <v>0</v>
      </c>
      <c r="AM661" s="1"/>
    </row>
    <row r="662" spans="1:46">
      <c r="A662" t="s">
        <v>540</v>
      </c>
      <c r="C662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M662" s="1">
        <v>0</v>
      </c>
      <c r="AO662" s="7">
        <f t="shared" ref="AO662:AO663" si="750">+O662-C662</f>
        <v>0</v>
      </c>
      <c r="AP662" s="8" t="e">
        <f t="shared" ref="AP662:AP663" si="751">+(O662/C662)-1</f>
        <v>#DIV/0!</v>
      </c>
      <c r="AQ662" s="12">
        <f t="shared" ref="AQ662:AQ663" si="752">+(AA662-O662)</f>
        <v>0</v>
      </c>
      <c r="AR662" s="13" t="e">
        <f t="shared" ref="AR662:AR663" si="753">+(AA662/O662)-1</f>
        <v>#DIV/0!</v>
      </c>
      <c r="AS662" s="17">
        <f t="shared" ref="AS662:AS663" si="754">+AM662-AA662</f>
        <v>0</v>
      </c>
      <c r="AT662" s="18" t="e">
        <f t="shared" ref="AT662:AT663" si="755">+(AM662/AA662)-1</f>
        <v>#DIV/0!</v>
      </c>
    </row>
    <row r="663" spans="1:46">
      <c r="A663" t="s">
        <v>541</v>
      </c>
      <c r="C663">
        <v>130415683</v>
      </c>
      <c r="D663" s="1">
        <v>129641507</v>
      </c>
      <c r="E663" s="1">
        <v>124312592</v>
      </c>
      <c r="F663" s="1">
        <v>127111371</v>
      </c>
      <c r="G663" s="1">
        <v>119084780</v>
      </c>
      <c r="H663" s="1">
        <v>123820843</v>
      </c>
      <c r="I663" s="1">
        <v>122808876</v>
      </c>
      <c r="J663" s="1">
        <v>128878019</v>
      </c>
      <c r="K663" s="1">
        <v>134353743</v>
      </c>
      <c r="L663" s="1">
        <v>138200219</v>
      </c>
      <c r="M663" s="1">
        <v>129846512</v>
      </c>
      <c r="N663" s="1">
        <v>133429318</v>
      </c>
      <c r="O663" s="1">
        <v>129340980</v>
      </c>
      <c r="P663" s="1">
        <v>131104347</v>
      </c>
      <c r="Q663" s="1">
        <v>137262328</v>
      </c>
      <c r="R663" s="1">
        <v>138221304</v>
      </c>
      <c r="S663" s="1">
        <v>140599639</v>
      </c>
      <c r="T663" s="1">
        <v>137868311</v>
      </c>
      <c r="U663" s="1">
        <v>141721353</v>
      </c>
      <c r="V663" s="1">
        <v>140608151</v>
      </c>
      <c r="W663" s="1">
        <v>146669384</v>
      </c>
      <c r="X663" s="1">
        <v>149059399</v>
      </c>
      <c r="Y663" s="1">
        <v>151067619</v>
      </c>
      <c r="Z663" s="1">
        <v>155420881</v>
      </c>
      <c r="AA663" s="1">
        <v>159936404</v>
      </c>
      <c r="AB663" s="1">
        <v>162576077</v>
      </c>
      <c r="AC663" s="1">
        <v>164473237</v>
      </c>
      <c r="AD663" s="1">
        <v>166777481</v>
      </c>
      <c r="AE663" s="1">
        <v>169563274</v>
      </c>
      <c r="AF663" s="1">
        <v>171661565</v>
      </c>
      <c r="AG663" s="1">
        <v>173964335</v>
      </c>
      <c r="AH663" s="1">
        <v>176308768</v>
      </c>
      <c r="AI663" s="1">
        <v>178571874</v>
      </c>
      <c r="AJ663" s="1">
        <v>180659376</v>
      </c>
      <c r="AK663" s="1">
        <v>182753881</v>
      </c>
      <c r="AL663" s="1">
        <v>184540028</v>
      </c>
      <c r="AM663" s="1">
        <v>186388004</v>
      </c>
      <c r="AO663" s="7">
        <f t="shared" si="750"/>
        <v>-1074703</v>
      </c>
      <c r="AP663" s="8">
        <f t="shared" si="751"/>
        <v>-8.2405963399355686E-3</v>
      </c>
      <c r="AQ663" s="12">
        <f t="shared" si="752"/>
        <v>30595424</v>
      </c>
      <c r="AR663" s="13">
        <f t="shared" si="753"/>
        <v>0.23654857107159688</v>
      </c>
      <c r="AS663" s="17">
        <f t="shared" si="754"/>
        <v>26451600</v>
      </c>
      <c r="AT663" s="18">
        <f t="shared" si="755"/>
        <v>0.16538823768977573</v>
      </c>
    </row>
    <row r="664" spans="1:46">
      <c r="A664" t="s">
        <v>11</v>
      </c>
      <c r="B664" t="s">
        <v>12</v>
      </c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46">
      <c r="A665" t="s">
        <v>542</v>
      </c>
      <c r="C665">
        <v>2368604374</v>
      </c>
      <c r="D665" s="1">
        <v>2333861255</v>
      </c>
      <c r="E665" s="1">
        <v>2363599959</v>
      </c>
      <c r="F665" s="1">
        <v>2361793365</v>
      </c>
      <c r="G665" s="1">
        <v>2319627958</v>
      </c>
      <c r="H665" s="1">
        <v>2319920977</v>
      </c>
      <c r="I665" s="1">
        <v>2326919430</v>
      </c>
      <c r="J665" s="1">
        <v>2316519996</v>
      </c>
      <c r="K665" s="1">
        <v>2352156104</v>
      </c>
      <c r="L665" s="1">
        <v>2330946132</v>
      </c>
      <c r="M665" s="1">
        <v>2325401748</v>
      </c>
      <c r="N665" s="1">
        <v>2331511739</v>
      </c>
      <c r="O665" s="1">
        <v>2320001190</v>
      </c>
      <c r="P665" s="1">
        <v>2343100605</v>
      </c>
      <c r="Q665" s="1">
        <v>2345498316</v>
      </c>
      <c r="R665" s="1">
        <v>2329887401</v>
      </c>
      <c r="S665" s="1">
        <v>2334748388</v>
      </c>
      <c r="T665" s="1">
        <v>2345066003</v>
      </c>
      <c r="U665" s="1">
        <v>2345250482</v>
      </c>
      <c r="V665" s="1">
        <v>2382504278</v>
      </c>
      <c r="W665" s="1">
        <v>2407329448</v>
      </c>
      <c r="X665" s="1">
        <v>2436462458</v>
      </c>
      <c r="Y665" s="1">
        <v>2454443028</v>
      </c>
      <c r="Z665" s="1">
        <v>2468132004</v>
      </c>
      <c r="AA665" s="1">
        <v>2472949703</v>
      </c>
      <c r="AB665" s="1">
        <v>2485330631</v>
      </c>
      <c r="AC665" s="1">
        <v>2497629859</v>
      </c>
      <c r="AD665" s="1">
        <v>2510336170</v>
      </c>
      <c r="AE665" s="1">
        <v>2525889287</v>
      </c>
      <c r="AF665" s="1">
        <v>2541556940</v>
      </c>
      <c r="AG665" s="1">
        <v>2558803994</v>
      </c>
      <c r="AH665" s="1">
        <v>2579344532</v>
      </c>
      <c r="AI665" s="1">
        <v>2599803783</v>
      </c>
      <c r="AJ665" s="1">
        <v>2620674622</v>
      </c>
      <c r="AK665" s="1">
        <v>2640206587</v>
      </c>
      <c r="AL665" s="1">
        <v>2658627662</v>
      </c>
      <c r="AM665" s="1">
        <v>2674203754</v>
      </c>
      <c r="AO665" s="7">
        <f t="shared" ref="AO665" si="756">+O665-C665</f>
        <v>-48603184</v>
      </c>
      <c r="AP665" s="8">
        <f t="shared" ref="AP665" si="757">+(O665/C665)-1</f>
        <v>-2.0519756078099638E-2</v>
      </c>
      <c r="AQ665" s="12">
        <f t="shared" ref="AQ665" si="758">+(AA665-O665)</f>
        <v>152948513</v>
      </c>
      <c r="AR665" s="13">
        <f t="shared" ref="AR665" si="759">+(AA665/O665)-1</f>
        <v>6.5926049374138485E-2</v>
      </c>
      <c r="AS665" s="17">
        <f t="shared" ref="AS665" si="760">+AM665-AA665</f>
        <v>201254051</v>
      </c>
      <c r="AT665" s="18">
        <f t="shared" ref="AT665" si="761">+(AM665/AA665)-1</f>
        <v>8.1382185313293443E-2</v>
      </c>
    </row>
    <row r="666" spans="1:46">
      <c r="A666" t="s">
        <v>333</v>
      </c>
      <c r="B666" t="s">
        <v>334</v>
      </c>
      <c r="D666" s="4"/>
    </row>
    <row r="667" spans="1:46">
      <c r="D667" s="4"/>
    </row>
    <row r="668" spans="1:46">
      <c r="D668" s="4"/>
    </row>
    <row r="669" spans="1:46">
      <c r="D669" s="4"/>
    </row>
  </sheetData>
  <mergeCells count="3">
    <mergeCell ref="AO1:AP1"/>
    <mergeCell ref="AQ1:AR1"/>
    <mergeCell ref="AS1:AT1"/>
  </mergeCells>
  <pageMargins left="0.7" right="0.7" top="0.75" bottom="0.75" header="0.3" footer="0.3"/>
  <ignoredErrors>
    <ignoredError sqref="AP7:AT7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8CA5-5A49-4730-B3BD-21DBFF8C751B}">
  <dimension ref="A1:AT42"/>
  <sheetViews>
    <sheetView zoomScale="80" zoomScaleNormal="80" workbookViewId="0">
      <pane xSplit="3" ySplit="2" topLeftCell="AI3" activePane="bottomRight" state="frozen"/>
      <selection pane="bottomRight" activeCell="AS6" sqref="AS6"/>
      <selection pane="bottomLeft" activeCell="A3" sqref="A3"/>
      <selection pane="topRight" activeCell="C1" sqref="C1"/>
    </sheetView>
  </sheetViews>
  <sheetFormatPr defaultRowHeight="15"/>
  <cols>
    <col min="1" max="1" width="32.28515625" bestFit="1" customWidth="1"/>
    <col min="2" max="2" width="11.28515625" hidden="1" customWidth="1"/>
    <col min="3" max="4" width="14.7109375" bestFit="1" customWidth="1"/>
    <col min="5" max="14" width="14.7109375" hidden="1" customWidth="1"/>
    <col min="15" max="15" width="14.7109375" customWidth="1"/>
    <col min="16" max="16" width="14.7109375" bestFit="1" customWidth="1"/>
    <col min="17" max="26" width="14.7109375" hidden="1" customWidth="1"/>
    <col min="27" max="28" width="14.7109375" bestFit="1" customWidth="1"/>
    <col min="29" max="38" width="14.7109375" customWidth="1"/>
    <col min="39" max="39" width="14.7109375" bestFit="1" customWidth="1"/>
    <col min="41" max="41" width="12.7109375" style="9" bestFit="1" customWidth="1"/>
    <col min="42" max="42" width="8.28515625" style="9" bestFit="1" customWidth="1"/>
    <col min="43" max="43" width="13" style="14" bestFit="1" customWidth="1"/>
    <col min="44" max="44" width="9.28515625" style="14" bestFit="1" customWidth="1"/>
    <col min="45" max="45" width="13" style="19" bestFit="1" customWidth="1"/>
    <col min="46" max="46" width="7.7109375" style="19" bestFit="1" customWidth="1"/>
  </cols>
  <sheetData>
    <row r="1" spans="1:46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O1" s="51">
        <v>2024</v>
      </c>
      <c r="AP1" s="51"/>
      <c r="AQ1" s="52">
        <v>2025</v>
      </c>
      <c r="AR1" s="52"/>
      <c r="AS1" s="53">
        <v>2026</v>
      </c>
      <c r="AT1" s="53"/>
    </row>
    <row r="2" spans="1:46">
      <c r="B2" t="s">
        <v>2</v>
      </c>
      <c r="C2" s="2">
        <v>46014</v>
      </c>
      <c r="D2" s="2">
        <v>45681</v>
      </c>
      <c r="E2" s="2">
        <v>45712</v>
      </c>
      <c r="F2" s="2">
        <v>45740</v>
      </c>
      <c r="G2" s="2">
        <v>45771</v>
      </c>
      <c r="H2" s="2">
        <v>45801</v>
      </c>
      <c r="I2" s="2">
        <v>45832</v>
      </c>
      <c r="J2" s="2">
        <v>45862</v>
      </c>
      <c r="K2" s="2">
        <v>45893</v>
      </c>
      <c r="L2" s="2">
        <v>45924</v>
      </c>
      <c r="M2" s="2">
        <v>45954</v>
      </c>
      <c r="N2" s="2">
        <v>45985</v>
      </c>
      <c r="O2" s="2">
        <v>46015</v>
      </c>
      <c r="P2" s="2">
        <v>45682</v>
      </c>
      <c r="Q2" s="2">
        <v>45713</v>
      </c>
      <c r="R2" s="2">
        <v>45741</v>
      </c>
      <c r="S2" s="2">
        <v>45772</v>
      </c>
      <c r="T2" s="2">
        <v>45802</v>
      </c>
      <c r="U2" s="2">
        <v>45833</v>
      </c>
      <c r="V2" s="2">
        <v>45863</v>
      </c>
      <c r="W2" s="2">
        <v>45894</v>
      </c>
      <c r="X2" s="2">
        <v>45925</v>
      </c>
      <c r="Y2" s="2">
        <v>45955</v>
      </c>
      <c r="Z2" s="2">
        <v>45986</v>
      </c>
      <c r="AA2" s="2">
        <v>46016</v>
      </c>
      <c r="AB2" s="2">
        <v>45683</v>
      </c>
      <c r="AC2" s="2">
        <v>45714</v>
      </c>
      <c r="AD2" s="2">
        <v>45742</v>
      </c>
      <c r="AE2" s="2">
        <v>45773</v>
      </c>
      <c r="AF2" s="2">
        <v>45803</v>
      </c>
      <c r="AG2" s="2">
        <v>45834</v>
      </c>
      <c r="AH2" s="2">
        <v>45864</v>
      </c>
      <c r="AI2" s="2">
        <v>45895</v>
      </c>
      <c r="AJ2" s="2">
        <v>45926</v>
      </c>
      <c r="AK2" s="2">
        <v>45956</v>
      </c>
      <c r="AL2" s="2">
        <v>45987</v>
      </c>
      <c r="AM2" s="2">
        <v>46017</v>
      </c>
      <c r="AO2" s="6" t="s">
        <v>3</v>
      </c>
      <c r="AP2" s="6" t="s">
        <v>4</v>
      </c>
      <c r="AQ2" s="11" t="s">
        <v>3</v>
      </c>
      <c r="AR2" s="11" t="s">
        <v>4</v>
      </c>
      <c r="AS2" s="16" t="s">
        <v>3</v>
      </c>
      <c r="AT2" s="16" t="s">
        <v>4</v>
      </c>
    </row>
    <row r="3" spans="1:46">
      <c r="A3" t="s">
        <v>13</v>
      </c>
      <c r="C3" s="1">
        <v>27443172</v>
      </c>
      <c r="D3" s="1">
        <v>22954749</v>
      </c>
      <c r="E3" s="1">
        <v>23259103</v>
      </c>
      <c r="F3" s="1">
        <v>24801310</v>
      </c>
      <c r="G3" s="1">
        <v>24125471</v>
      </c>
      <c r="H3" s="1">
        <v>22186675</v>
      </c>
      <c r="I3" s="1">
        <v>24806234</v>
      </c>
      <c r="J3" s="1">
        <v>23738289</v>
      </c>
      <c r="K3" s="1">
        <v>23612908</v>
      </c>
      <c r="L3" s="1">
        <v>25677890</v>
      </c>
      <c r="M3" s="1">
        <v>22264867</v>
      </c>
      <c r="N3" s="1">
        <v>25097982</v>
      </c>
      <c r="O3" s="1">
        <v>27482926</v>
      </c>
      <c r="P3" s="1">
        <v>25092903</v>
      </c>
      <c r="Q3" s="1">
        <v>23782366</v>
      </c>
      <c r="R3" s="1">
        <v>28646230</v>
      </c>
      <c r="S3" s="1">
        <v>25378468</v>
      </c>
      <c r="T3" s="1">
        <v>25334170</v>
      </c>
      <c r="U3" s="1">
        <v>27082906</v>
      </c>
      <c r="V3" s="1">
        <v>23741373</v>
      </c>
      <c r="W3" s="1">
        <v>25458479</v>
      </c>
      <c r="X3" s="1">
        <v>25458479</v>
      </c>
      <c r="Y3" s="1">
        <v>25458479</v>
      </c>
      <c r="Z3" s="1">
        <v>25458479</v>
      </c>
      <c r="AA3" s="1">
        <v>25458479</v>
      </c>
      <c r="AB3" s="1">
        <v>25458479</v>
      </c>
      <c r="AC3" s="1">
        <v>25458479</v>
      </c>
      <c r="AD3" s="1">
        <v>25458479</v>
      </c>
      <c r="AE3" s="1">
        <v>25458479</v>
      </c>
      <c r="AF3" s="1">
        <v>25458479</v>
      </c>
      <c r="AG3" s="1">
        <v>25458479</v>
      </c>
      <c r="AH3" s="1">
        <v>25458479</v>
      </c>
      <c r="AI3" s="1">
        <v>25458479</v>
      </c>
      <c r="AJ3" s="1">
        <v>25458479</v>
      </c>
      <c r="AK3" s="1">
        <v>25458479</v>
      </c>
      <c r="AL3" s="1">
        <v>25458479</v>
      </c>
      <c r="AM3" s="1">
        <v>25458479</v>
      </c>
      <c r="AO3" s="7">
        <f>+O3-C3</f>
        <v>39754</v>
      </c>
      <c r="AP3" s="8">
        <f>+(O3/C3)-1</f>
        <v>1.4485934789170152E-3</v>
      </c>
      <c r="AQ3" s="12">
        <f>+(AA3-O3)</f>
        <v>-2024447</v>
      </c>
      <c r="AR3" s="13">
        <f>+(AA3/O3)-1</f>
        <v>-7.3661989265626282E-2</v>
      </c>
      <c r="AS3" s="17">
        <f>+AM3-AA3</f>
        <v>0</v>
      </c>
      <c r="AT3" s="18">
        <f>+(AM3/AA3)-1</f>
        <v>0</v>
      </c>
    </row>
    <row r="4" spans="1:46">
      <c r="A4" t="s">
        <v>57</v>
      </c>
      <c r="C4" s="1">
        <v>439230292</v>
      </c>
      <c r="D4" s="1">
        <v>401699941</v>
      </c>
      <c r="E4" s="1">
        <v>411767210</v>
      </c>
      <c r="F4" s="1">
        <v>443407652</v>
      </c>
      <c r="G4" s="1">
        <v>404022745</v>
      </c>
      <c r="H4" s="1">
        <v>417776807</v>
      </c>
      <c r="I4" s="1">
        <v>417667711</v>
      </c>
      <c r="J4" s="1">
        <v>406096715</v>
      </c>
      <c r="K4" s="1">
        <v>449385340</v>
      </c>
      <c r="L4" s="1">
        <v>420913957</v>
      </c>
      <c r="M4" s="1">
        <v>407163842</v>
      </c>
      <c r="N4" s="1">
        <v>435120726</v>
      </c>
      <c r="O4" s="1">
        <v>414090340</v>
      </c>
      <c r="P4" s="1">
        <v>439477116</v>
      </c>
      <c r="Q4" s="1">
        <v>438998976</v>
      </c>
      <c r="R4" s="1">
        <v>405864586</v>
      </c>
      <c r="S4" s="1">
        <v>407244123</v>
      </c>
      <c r="T4" s="1">
        <v>425504485</v>
      </c>
      <c r="U4" s="1">
        <v>405184658</v>
      </c>
      <c r="V4" s="1">
        <v>413594435</v>
      </c>
      <c r="W4" s="1">
        <v>479520157</v>
      </c>
      <c r="X4" s="1">
        <v>514730125</v>
      </c>
      <c r="Y4" s="1">
        <v>466255455</v>
      </c>
      <c r="Z4" s="1">
        <v>470009422</v>
      </c>
      <c r="AA4" s="1">
        <v>463863734</v>
      </c>
      <c r="AB4" s="1">
        <v>462104333</v>
      </c>
      <c r="AC4" s="1">
        <v>458148099</v>
      </c>
      <c r="AD4" s="1">
        <v>456146760</v>
      </c>
      <c r="AE4" s="1">
        <v>448629463</v>
      </c>
      <c r="AF4" s="1">
        <v>442065322</v>
      </c>
      <c r="AG4" s="1">
        <v>436428313</v>
      </c>
      <c r="AH4" s="1">
        <v>431025106</v>
      </c>
      <c r="AI4" s="1">
        <v>429916627</v>
      </c>
      <c r="AJ4" s="1">
        <v>430816504</v>
      </c>
      <c r="AK4" s="1">
        <v>433610084</v>
      </c>
      <c r="AL4" s="1">
        <v>438823296</v>
      </c>
      <c r="AM4" s="1">
        <v>443770774</v>
      </c>
      <c r="AO4" s="7">
        <f t="shared" ref="AO4" si="0">+O4-C4</f>
        <v>-25139952</v>
      </c>
      <c r="AP4" s="8">
        <f t="shared" ref="AP4" si="1">+(O4/C4)-1</f>
        <v>-5.7236380226708072E-2</v>
      </c>
      <c r="AQ4" s="12">
        <f t="shared" ref="AQ4" si="2">+(AA4-O4)</f>
        <v>49773394</v>
      </c>
      <c r="AR4" s="13">
        <f t="shared" ref="AR4" si="3">+(AA4/O4)-1</f>
        <v>0.12019936036179923</v>
      </c>
      <c r="AS4" s="17">
        <f t="shared" ref="AS4" si="4">+AM4-AA4</f>
        <v>-20092960</v>
      </c>
      <c r="AT4" s="18">
        <f t="shared" ref="AT4" si="5">+(AM4/AA4)-1</f>
        <v>-4.3316514155426478E-2</v>
      </c>
    </row>
    <row r="5" spans="1:46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46">
      <c r="A6" t="s">
        <v>260</v>
      </c>
      <c r="C6" s="1">
        <v>1834577568</v>
      </c>
      <c r="D6" s="1">
        <v>1832635257</v>
      </c>
      <c r="E6" s="1">
        <v>1826922714</v>
      </c>
      <c r="F6" s="1">
        <v>1816238432</v>
      </c>
      <c r="G6" s="1">
        <v>1813085479</v>
      </c>
      <c r="H6" s="1">
        <v>1811009362</v>
      </c>
      <c r="I6" s="1">
        <v>1815979429</v>
      </c>
      <c r="J6" s="1">
        <v>1814914975</v>
      </c>
      <c r="K6" s="1">
        <v>1816529010</v>
      </c>
      <c r="L6" s="1">
        <v>1813958820</v>
      </c>
      <c r="M6" s="1">
        <v>1813408937</v>
      </c>
      <c r="N6" s="1">
        <v>1813937111</v>
      </c>
      <c r="O6" s="1">
        <v>1815777164</v>
      </c>
      <c r="P6" s="1">
        <v>1816699304</v>
      </c>
      <c r="Q6" s="1">
        <v>1821336409</v>
      </c>
      <c r="R6" s="1">
        <v>1826723785</v>
      </c>
      <c r="S6" s="1">
        <v>1835185826</v>
      </c>
      <c r="T6" s="1">
        <v>1842582256</v>
      </c>
      <c r="U6" s="1">
        <v>1849585685</v>
      </c>
      <c r="V6" s="1">
        <v>1849867766</v>
      </c>
      <c r="W6" s="1">
        <v>1849633308</v>
      </c>
      <c r="X6" s="1">
        <v>1845014698</v>
      </c>
      <c r="Y6" s="1">
        <v>1912178425</v>
      </c>
      <c r="Z6" s="1">
        <v>1922454147</v>
      </c>
      <c r="AA6" s="1">
        <v>1933772176</v>
      </c>
      <c r="AB6" s="1">
        <v>1945696681</v>
      </c>
      <c r="AC6" s="1">
        <v>1961887939</v>
      </c>
      <c r="AD6" s="1">
        <v>1976410965</v>
      </c>
      <c r="AE6" s="1">
        <v>2000040518</v>
      </c>
      <c r="AF6" s="1">
        <v>2021521234</v>
      </c>
      <c r="AG6" s="1">
        <v>2044741923</v>
      </c>
      <c r="AH6" s="1">
        <v>2071145988</v>
      </c>
      <c r="AI6" s="1">
        <v>2093053817</v>
      </c>
      <c r="AJ6" s="1">
        <v>2110411890</v>
      </c>
      <c r="AK6" s="1">
        <v>2125957878</v>
      </c>
      <c r="AL6" s="1">
        <v>2139515944</v>
      </c>
      <c r="AM6" s="1">
        <v>2150389054</v>
      </c>
      <c r="AO6" s="7">
        <f t="shared" ref="AO6:AO8" si="6">+O6-C6</f>
        <v>-18800404</v>
      </c>
      <c r="AP6" s="8">
        <f t="shared" ref="AP6:AP8" si="7">+(O6/C6)-1</f>
        <v>-1.0247810900956167E-2</v>
      </c>
      <c r="AQ6" s="12">
        <f t="shared" ref="AQ6:AQ8" si="8">+(AA6-O6)</f>
        <v>117995012</v>
      </c>
      <c r="AR6" s="13">
        <f t="shared" ref="AR6:AR8" si="9">+(AA6/O6)-1</f>
        <v>6.4983200769012317E-2</v>
      </c>
      <c r="AS6" s="17">
        <f t="shared" ref="AS6:AS8" si="10">+AM6-AA6</f>
        <v>216616878</v>
      </c>
      <c r="AT6" s="18">
        <f t="shared" ref="AT6:AT8" si="11">+(AM6/AA6)-1</f>
        <v>0.11201778611173885</v>
      </c>
    </row>
    <row r="7" spans="1:46">
      <c r="A7" t="s">
        <v>272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451283</v>
      </c>
      <c r="P7" s="1">
        <v>321500</v>
      </c>
      <c r="Q7" s="1">
        <v>0</v>
      </c>
      <c r="R7" s="1">
        <v>0</v>
      </c>
      <c r="S7" s="1">
        <v>526072</v>
      </c>
      <c r="T7" s="1">
        <v>0</v>
      </c>
      <c r="U7" s="1">
        <v>527553</v>
      </c>
      <c r="V7" s="1">
        <v>250000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O7" s="7">
        <f t="shared" si="6"/>
        <v>451283</v>
      </c>
      <c r="AP7" s="8" t="e">
        <f t="shared" si="7"/>
        <v>#DIV/0!</v>
      </c>
      <c r="AQ7" s="12">
        <f t="shared" si="8"/>
        <v>-451283</v>
      </c>
      <c r="AR7" s="13">
        <f t="shared" si="9"/>
        <v>-1</v>
      </c>
      <c r="AS7" s="17">
        <f t="shared" si="10"/>
        <v>0</v>
      </c>
      <c r="AT7" s="18" t="e">
        <f t="shared" si="11"/>
        <v>#DIV/0!</v>
      </c>
    </row>
    <row r="8" spans="1:46">
      <c r="A8" t="s">
        <v>280</v>
      </c>
      <c r="C8" s="1">
        <v>-24819622</v>
      </c>
      <c r="D8" s="1">
        <v>-25460190</v>
      </c>
      <c r="E8" s="1">
        <v>-25759915</v>
      </c>
      <c r="F8" s="1">
        <v>-27003191</v>
      </c>
      <c r="G8" s="1">
        <v>-27255194</v>
      </c>
      <c r="H8" s="1">
        <v>-27333339</v>
      </c>
      <c r="I8" s="1">
        <v>-33261320</v>
      </c>
      <c r="J8" s="1">
        <v>-33376972</v>
      </c>
      <c r="K8" s="1">
        <v>-32969700</v>
      </c>
      <c r="L8" s="1">
        <v>-33159822</v>
      </c>
      <c r="M8" s="1">
        <v>-32963257</v>
      </c>
      <c r="N8" s="1">
        <v>-32672156</v>
      </c>
      <c r="O8" s="1">
        <v>-33232200</v>
      </c>
      <c r="P8" s="1">
        <v>-33754939</v>
      </c>
      <c r="Q8" s="1">
        <v>-34344778</v>
      </c>
      <c r="R8" s="1">
        <v>-35098397</v>
      </c>
      <c r="S8" s="1">
        <v>-36779593</v>
      </c>
      <c r="T8" s="1">
        <v>-37109094</v>
      </c>
      <c r="U8" s="1">
        <v>-37927236</v>
      </c>
      <c r="V8" s="1">
        <v>-37606519</v>
      </c>
      <c r="W8" s="1">
        <v>-37847418</v>
      </c>
      <c r="X8" s="1">
        <v>-39209433</v>
      </c>
      <c r="Y8" s="1">
        <v>-39829401</v>
      </c>
      <c r="Z8" s="1">
        <v>-40073781</v>
      </c>
      <c r="AA8" s="1">
        <v>-40332550</v>
      </c>
      <c r="AB8" s="1">
        <v>-40627247</v>
      </c>
      <c r="AC8" s="1">
        <v>-40978648</v>
      </c>
      <c r="AD8" s="1">
        <v>-41366864</v>
      </c>
      <c r="AE8" s="1">
        <v>-41912289</v>
      </c>
      <c r="AF8" s="1">
        <v>-42285994</v>
      </c>
      <c r="AG8" s="1">
        <v>-42747978</v>
      </c>
      <c r="AH8" s="1">
        <v>-43128759</v>
      </c>
      <c r="AI8" s="1">
        <v>-43542901</v>
      </c>
      <c r="AJ8" s="1">
        <v>-43909579</v>
      </c>
      <c r="AK8" s="1">
        <v>-44099673</v>
      </c>
      <c r="AL8" s="1">
        <v>-44293633</v>
      </c>
      <c r="AM8" s="1">
        <v>-44350308</v>
      </c>
      <c r="AO8" s="7">
        <f t="shared" si="6"/>
        <v>-8412578</v>
      </c>
      <c r="AP8" s="8">
        <f t="shared" si="7"/>
        <v>0.33894867536661111</v>
      </c>
      <c r="AQ8" s="12">
        <f t="shared" si="8"/>
        <v>-7100350</v>
      </c>
      <c r="AR8" s="13">
        <f t="shared" si="9"/>
        <v>0.21365874061903822</v>
      </c>
      <c r="AS8" s="17">
        <f t="shared" si="10"/>
        <v>-4017758</v>
      </c>
      <c r="AT8" s="18">
        <f t="shared" si="11"/>
        <v>9.9615769397174203E-2</v>
      </c>
    </row>
    <row r="9" spans="1:46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46">
      <c r="A10" t="s">
        <v>281</v>
      </c>
      <c r="C10" s="1">
        <v>1809757946</v>
      </c>
      <c r="D10" s="1">
        <v>1807175067</v>
      </c>
      <c r="E10" s="1">
        <v>1801162799</v>
      </c>
      <c r="F10" s="1">
        <v>1789235241</v>
      </c>
      <c r="G10" s="1">
        <v>1785830285</v>
      </c>
      <c r="H10" s="1">
        <v>1783676023</v>
      </c>
      <c r="I10" s="1">
        <v>1782718109</v>
      </c>
      <c r="J10" s="1">
        <v>1781538003</v>
      </c>
      <c r="K10" s="1">
        <v>1783559310</v>
      </c>
      <c r="L10" s="1">
        <v>1780798998</v>
      </c>
      <c r="M10" s="1">
        <v>1780445680</v>
      </c>
      <c r="N10" s="1">
        <v>1781264955</v>
      </c>
      <c r="O10" s="1">
        <v>1782996247</v>
      </c>
      <c r="P10" s="1">
        <v>1783265865</v>
      </c>
      <c r="Q10" s="1">
        <v>1786991631</v>
      </c>
      <c r="R10" s="1">
        <v>1791625388</v>
      </c>
      <c r="S10" s="1">
        <v>1798932305</v>
      </c>
      <c r="T10" s="1">
        <v>1805473162</v>
      </c>
      <c r="U10" s="1">
        <v>1812186002</v>
      </c>
      <c r="V10" s="1">
        <v>1812511247</v>
      </c>
      <c r="W10" s="1">
        <v>1811785890</v>
      </c>
      <c r="X10" s="1">
        <v>1805805265</v>
      </c>
      <c r="Y10" s="1">
        <v>1872349025</v>
      </c>
      <c r="Z10" s="1">
        <v>1882380366</v>
      </c>
      <c r="AA10" s="1">
        <v>1893439626</v>
      </c>
      <c r="AB10" s="1">
        <v>1905069434</v>
      </c>
      <c r="AC10" s="1">
        <v>1920909291</v>
      </c>
      <c r="AD10" s="1">
        <v>1935044102</v>
      </c>
      <c r="AE10" s="1">
        <v>1958128229</v>
      </c>
      <c r="AF10" s="1">
        <v>1979235239</v>
      </c>
      <c r="AG10" s="1">
        <v>2001993945</v>
      </c>
      <c r="AH10" s="1">
        <v>2028017229</v>
      </c>
      <c r="AI10" s="1">
        <v>2049510915</v>
      </c>
      <c r="AJ10" s="1">
        <v>2066502311</v>
      </c>
      <c r="AK10" s="1">
        <v>2081858205</v>
      </c>
      <c r="AL10" s="1">
        <v>2095222311</v>
      </c>
      <c r="AM10" s="1">
        <v>2106038746</v>
      </c>
      <c r="AO10" s="7">
        <f t="shared" ref="AO10" si="12">+O10-C10</f>
        <v>-26761699</v>
      </c>
      <c r="AP10" s="8">
        <f t="shared" ref="AP10" si="13">+(O10/C10)-1</f>
        <v>-1.4787446608066968E-2</v>
      </c>
      <c r="AQ10" s="12">
        <f t="shared" ref="AQ10" si="14">+(AA10-O10)</f>
        <v>110443379</v>
      </c>
      <c r="AR10" s="13">
        <f t="shared" ref="AR10" si="15">+(AA10/O10)-1</f>
        <v>6.1942575137680533E-2</v>
      </c>
      <c r="AS10" s="17">
        <f t="shared" ref="AS10" si="16">+AM10-AA10</f>
        <v>212599120</v>
      </c>
      <c r="AT10" s="18">
        <f t="shared" ref="AT10" si="17">+(AM10/AA10)-1</f>
        <v>0.11228196404082236</v>
      </c>
    </row>
    <row r="11" spans="1:46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46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46">
      <c r="A13" t="s">
        <v>285</v>
      </c>
      <c r="C13" s="1">
        <v>8859417</v>
      </c>
      <c r="D13" s="1">
        <v>8882328</v>
      </c>
      <c r="E13" s="1">
        <v>8490161</v>
      </c>
      <c r="F13" s="1">
        <v>8824917</v>
      </c>
      <c r="G13" s="1">
        <v>8695877</v>
      </c>
      <c r="H13" s="1">
        <v>8553073</v>
      </c>
      <c r="I13" s="1">
        <v>8944603</v>
      </c>
      <c r="J13" s="1">
        <v>8927773</v>
      </c>
      <c r="K13" s="1">
        <v>8793951</v>
      </c>
      <c r="L13" s="1">
        <v>8887718</v>
      </c>
      <c r="M13" s="1">
        <v>8878755</v>
      </c>
      <c r="N13" s="1">
        <v>8904748</v>
      </c>
      <c r="O13" s="1">
        <v>9095918</v>
      </c>
      <c r="P13" s="1">
        <v>8679399</v>
      </c>
      <c r="Q13" s="1">
        <v>8210033</v>
      </c>
      <c r="R13" s="1">
        <v>8667932</v>
      </c>
      <c r="S13" s="1">
        <v>8741652</v>
      </c>
      <c r="T13" s="1">
        <v>8887760</v>
      </c>
      <c r="U13" s="1">
        <v>9298152</v>
      </c>
      <c r="V13" s="1">
        <v>9563447</v>
      </c>
      <c r="W13" s="1">
        <v>9678989</v>
      </c>
      <c r="X13" s="1">
        <v>9678989</v>
      </c>
      <c r="Y13" s="1">
        <v>9678989</v>
      </c>
      <c r="Z13" s="1">
        <v>9678989</v>
      </c>
      <c r="AA13" s="1">
        <v>9678989</v>
      </c>
      <c r="AB13" s="1">
        <v>9678989</v>
      </c>
      <c r="AC13" s="1">
        <v>9678989</v>
      </c>
      <c r="AD13" s="1">
        <v>9678989</v>
      </c>
      <c r="AE13" s="1">
        <v>9678989</v>
      </c>
      <c r="AF13" s="1">
        <v>9678989</v>
      </c>
      <c r="AG13" s="1">
        <v>9678989</v>
      </c>
      <c r="AH13" s="1">
        <v>9678989</v>
      </c>
      <c r="AI13" s="1">
        <v>9678989</v>
      </c>
      <c r="AJ13" s="1">
        <v>9678989</v>
      </c>
      <c r="AK13" s="1">
        <v>9678989</v>
      </c>
      <c r="AL13" s="1">
        <v>9678989</v>
      </c>
      <c r="AM13" s="1">
        <v>9678989</v>
      </c>
      <c r="AO13" s="7">
        <f t="shared" ref="AO13:AO20" si="18">+O13-C13</f>
        <v>236501</v>
      </c>
      <c r="AP13" s="8">
        <f t="shared" ref="AP13:AP20" si="19">+(O13/C13)-1</f>
        <v>2.6694871682865884E-2</v>
      </c>
      <c r="AQ13" s="12">
        <f t="shared" ref="AQ13:AQ20" si="20">+(AA13-O13)</f>
        <v>583071</v>
      </c>
      <c r="AR13" s="13">
        <f t="shared" ref="AR13:AR20" si="21">+(AA13/O13)-1</f>
        <v>6.4102490809613721E-2</v>
      </c>
      <c r="AS13" s="17">
        <f t="shared" ref="AS13:AS20" si="22">+AM13-AA13</f>
        <v>0</v>
      </c>
      <c r="AT13" s="18">
        <f t="shared" ref="AT13:AT20" si="23">+(AM13/AA13)-1</f>
        <v>0</v>
      </c>
    </row>
    <row r="14" spans="1:46">
      <c r="A14" t="s">
        <v>291</v>
      </c>
      <c r="C14" s="1">
        <v>2191759</v>
      </c>
      <c r="D14" s="1">
        <v>2551517</v>
      </c>
      <c r="E14" s="1">
        <v>2848435</v>
      </c>
      <c r="F14" s="1">
        <v>2589799</v>
      </c>
      <c r="G14" s="1">
        <v>2496602</v>
      </c>
      <c r="H14" s="1">
        <v>2916319</v>
      </c>
      <c r="I14" s="1">
        <v>2623461</v>
      </c>
      <c r="J14" s="1">
        <v>2721429</v>
      </c>
      <c r="K14" s="1">
        <v>2863493</v>
      </c>
      <c r="L14" s="1">
        <v>2878076</v>
      </c>
      <c r="M14" s="1">
        <v>2745020</v>
      </c>
      <c r="N14" s="1">
        <v>2825774</v>
      </c>
      <c r="O14" s="1">
        <v>2930211</v>
      </c>
      <c r="P14" s="1">
        <v>3063507</v>
      </c>
      <c r="Q14" s="1">
        <v>3289242</v>
      </c>
      <c r="R14" s="1">
        <v>3716938</v>
      </c>
      <c r="S14" s="1">
        <v>3468682</v>
      </c>
      <c r="T14" s="1">
        <v>2880776</v>
      </c>
      <c r="U14" s="1">
        <v>3252163</v>
      </c>
      <c r="V14" s="1">
        <v>3706074</v>
      </c>
      <c r="W14" s="1">
        <v>3720267</v>
      </c>
      <c r="X14" s="1">
        <v>3720267</v>
      </c>
      <c r="Y14" s="1">
        <v>3720267</v>
      </c>
      <c r="Z14" s="1">
        <v>3720267</v>
      </c>
      <c r="AA14" s="1">
        <v>3720267</v>
      </c>
      <c r="AB14" s="1">
        <v>3720267</v>
      </c>
      <c r="AC14" s="1">
        <v>3720267</v>
      </c>
      <c r="AD14" s="1">
        <v>3720267</v>
      </c>
      <c r="AE14" s="1">
        <v>3720267</v>
      </c>
      <c r="AF14" s="1">
        <v>3720267</v>
      </c>
      <c r="AG14" s="1">
        <v>3720267</v>
      </c>
      <c r="AH14" s="1">
        <v>3720267</v>
      </c>
      <c r="AI14" s="1">
        <v>3720267</v>
      </c>
      <c r="AJ14" s="1">
        <v>3720267</v>
      </c>
      <c r="AK14" s="1">
        <v>3720267</v>
      </c>
      <c r="AL14" s="1">
        <v>3720267</v>
      </c>
      <c r="AM14" s="1">
        <v>3720267</v>
      </c>
      <c r="AO14" s="7">
        <f t="shared" si="18"/>
        <v>738452</v>
      </c>
      <c r="AP14" s="8">
        <f t="shared" si="19"/>
        <v>0.33692207948045372</v>
      </c>
      <c r="AQ14" s="12">
        <f t="shared" si="20"/>
        <v>790056</v>
      </c>
      <c r="AR14" s="13">
        <f t="shared" si="21"/>
        <v>0.26962426937855333</v>
      </c>
      <c r="AS14" s="17">
        <f t="shared" si="22"/>
        <v>0</v>
      </c>
      <c r="AT14" s="18">
        <f t="shared" si="23"/>
        <v>0</v>
      </c>
    </row>
    <row r="15" spans="1:46">
      <c r="A15" t="s">
        <v>314</v>
      </c>
      <c r="C15" s="1">
        <v>26681338</v>
      </c>
      <c r="D15" s="1">
        <v>26561531</v>
      </c>
      <c r="E15" s="1">
        <v>26598792</v>
      </c>
      <c r="F15" s="1">
        <v>26749279</v>
      </c>
      <c r="G15" s="1">
        <v>27051373</v>
      </c>
      <c r="H15" s="1">
        <v>26988841</v>
      </c>
      <c r="I15" s="1">
        <v>26952588</v>
      </c>
      <c r="J15" s="1">
        <v>26993391</v>
      </c>
      <c r="K15" s="1">
        <v>27184941</v>
      </c>
      <c r="L15" s="1">
        <v>27080986</v>
      </c>
      <c r="M15" s="1">
        <v>27118818</v>
      </c>
      <c r="N15" s="1">
        <v>27010150</v>
      </c>
      <c r="O15" s="1">
        <v>26884913</v>
      </c>
      <c r="P15" s="1">
        <v>26767077</v>
      </c>
      <c r="Q15" s="1">
        <v>26695976</v>
      </c>
      <c r="R15" s="1">
        <v>26667993</v>
      </c>
      <c r="S15" s="1">
        <v>26630305</v>
      </c>
      <c r="T15" s="1">
        <v>26660976</v>
      </c>
      <c r="U15" s="1">
        <v>26817987</v>
      </c>
      <c r="V15" s="1">
        <v>26805029</v>
      </c>
      <c r="W15" s="1">
        <v>26779903</v>
      </c>
      <c r="X15" s="1">
        <v>26683570</v>
      </c>
      <c r="Y15" s="1">
        <v>26595050</v>
      </c>
      <c r="Z15" s="1">
        <v>26498717</v>
      </c>
      <c r="AA15" s="1">
        <v>26402844</v>
      </c>
      <c r="AB15" s="1">
        <v>28913366</v>
      </c>
      <c r="AC15" s="1">
        <v>29328970</v>
      </c>
      <c r="AD15" s="1">
        <v>29901810</v>
      </c>
      <c r="AE15" s="1">
        <v>29888097</v>
      </c>
      <c r="AF15" s="1">
        <v>31012880</v>
      </c>
      <c r="AG15" s="1">
        <v>31138237</v>
      </c>
      <c r="AH15" s="1">
        <v>31058698</v>
      </c>
      <c r="AI15" s="1">
        <v>31132743</v>
      </c>
      <c r="AJ15" s="1">
        <v>34112308</v>
      </c>
      <c r="AK15" s="1">
        <v>35494799</v>
      </c>
      <c r="AL15" s="1">
        <v>35338557</v>
      </c>
      <c r="AM15" s="1">
        <v>35150736</v>
      </c>
      <c r="AO15" s="7">
        <f t="shared" si="18"/>
        <v>203575</v>
      </c>
      <c r="AP15" s="8">
        <f t="shared" si="19"/>
        <v>7.6298647391670471E-3</v>
      </c>
      <c r="AQ15" s="12">
        <f t="shared" si="20"/>
        <v>-482069</v>
      </c>
      <c r="AR15" s="13">
        <f t="shared" si="21"/>
        <v>-1.793083726921485E-2</v>
      </c>
      <c r="AS15" s="17">
        <f t="shared" si="22"/>
        <v>8747892</v>
      </c>
      <c r="AT15" s="18">
        <f t="shared" si="23"/>
        <v>0.33132385283948951</v>
      </c>
    </row>
    <row r="16" spans="1:46">
      <c r="A16" t="s">
        <v>315</v>
      </c>
      <c r="C16" s="1">
        <v>642812</v>
      </c>
      <c r="D16" s="1">
        <v>665963</v>
      </c>
      <c r="E16" s="1">
        <v>629300</v>
      </c>
      <c r="F16" s="1">
        <v>633885</v>
      </c>
      <c r="G16" s="1">
        <v>617075</v>
      </c>
      <c r="H16" s="1">
        <v>640829</v>
      </c>
      <c r="I16" s="1">
        <v>652086</v>
      </c>
      <c r="J16" s="1">
        <v>667888</v>
      </c>
      <c r="K16" s="1">
        <v>679361</v>
      </c>
      <c r="L16" s="1">
        <v>689320</v>
      </c>
      <c r="M16" s="1">
        <v>686916</v>
      </c>
      <c r="N16" s="1">
        <v>717832</v>
      </c>
      <c r="O16" s="1">
        <v>699404</v>
      </c>
      <c r="P16" s="1">
        <v>726407</v>
      </c>
      <c r="Q16" s="1">
        <v>662391</v>
      </c>
      <c r="R16" s="1">
        <v>628245</v>
      </c>
      <c r="S16" s="1">
        <v>628144</v>
      </c>
      <c r="T16" s="1">
        <v>655914</v>
      </c>
      <c r="U16" s="1">
        <v>680748</v>
      </c>
      <c r="V16" s="1">
        <v>693245</v>
      </c>
      <c r="W16" s="1">
        <v>706110</v>
      </c>
      <c r="X16" s="1">
        <v>706110</v>
      </c>
      <c r="Y16" s="1">
        <v>706110</v>
      </c>
      <c r="Z16" s="1">
        <v>706110</v>
      </c>
      <c r="AA16" s="1">
        <v>706110</v>
      </c>
      <c r="AB16" s="1">
        <v>706110</v>
      </c>
      <c r="AC16" s="1">
        <v>706110</v>
      </c>
      <c r="AD16" s="1">
        <v>706110</v>
      </c>
      <c r="AE16" s="1">
        <v>706110</v>
      </c>
      <c r="AF16" s="1">
        <v>706110</v>
      </c>
      <c r="AG16" s="1">
        <v>706110</v>
      </c>
      <c r="AH16" s="1">
        <v>706110</v>
      </c>
      <c r="AI16" s="1">
        <v>706110</v>
      </c>
      <c r="AJ16" s="1">
        <v>706110</v>
      </c>
      <c r="AK16" s="1">
        <v>706110</v>
      </c>
      <c r="AL16" s="1">
        <v>706110</v>
      </c>
      <c r="AM16" s="1">
        <v>706110</v>
      </c>
      <c r="AO16" s="7">
        <f t="shared" si="18"/>
        <v>56592</v>
      </c>
      <c r="AP16" s="8">
        <f t="shared" si="19"/>
        <v>8.8038182236797047E-2</v>
      </c>
      <c r="AQ16" s="12">
        <f t="shared" si="20"/>
        <v>6706</v>
      </c>
      <c r="AR16" s="13">
        <f t="shared" si="21"/>
        <v>9.5881636364676393E-3</v>
      </c>
      <c r="AS16" s="17">
        <f t="shared" si="22"/>
        <v>0</v>
      </c>
      <c r="AT16" s="18">
        <f t="shared" si="23"/>
        <v>0</v>
      </c>
    </row>
    <row r="17" spans="1:46">
      <c r="A17" t="s">
        <v>323</v>
      </c>
      <c r="C17" s="1">
        <v>40321525</v>
      </c>
      <c r="D17" s="1">
        <v>49947962</v>
      </c>
      <c r="E17" s="1">
        <v>75476086</v>
      </c>
      <c r="F17" s="1">
        <v>52261949</v>
      </c>
      <c r="G17" s="1">
        <v>53556461</v>
      </c>
      <c r="H17" s="1">
        <v>44010862</v>
      </c>
      <c r="I17" s="1">
        <v>49468001</v>
      </c>
      <c r="J17" s="1">
        <v>52336624</v>
      </c>
      <c r="K17" s="1">
        <v>42583843</v>
      </c>
      <c r="L17" s="1">
        <v>50609594</v>
      </c>
      <c r="M17" s="1">
        <v>62747903</v>
      </c>
      <c r="N17" s="1">
        <v>37040372</v>
      </c>
      <c r="O17" s="1">
        <v>41770072</v>
      </c>
      <c r="P17" s="1">
        <v>41994359</v>
      </c>
      <c r="Q17" s="1">
        <v>42752125</v>
      </c>
      <c r="R17" s="1">
        <v>50034437</v>
      </c>
      <c r="S17" s="1">
        <v>49753563</v>
      </c>
      <c r="T17" s="1">
        <v>35762361</v>
      </c>
      <c r="U17" s="1">
        <v>46922826</v>
      </c>
      <c r="V17" s="1">
        <v>78129474</v>
      </c>
      <c r="W17" s="1">
        <v>35985080</v>
      </c>
      <c r="X17" s="1">
        <v>35985080</v>
      </c>
      <c r="Y17" s="1">
        <v>35985080</v>
      </c>
      <c r="Z17" s="1">
        <v>35985080</v>
      </c>
      <c r="AA17" s="1">
        <v>35985080</v>
      </c>
      <c r="AB17" s="1">
        <v>35985080</v>
      </c>
      <c r="AC17" s="1">
        <v>35985080</v>
      </c>
      <c r="AD17" s="1">
        <v>35985080</v>
      </c>
      <c r="AE17" s="1">
        <v>35985080</v>
      </c>
      <c r="AF17" s="1">
        <v>35985080</v>
      </c>
      <c r="AG17" s="1">
        <v>35985080</v>
      </c>
      <c r="AH17" s="1">
        <v>35985080</v>
      </c>
      <c r="AI17" s="1">
        <v>35985080</v>
      </c>
      <c r="AJ17" s="1">
        <v>35985080</v>
      </c>
      <c r="AK17" s="1">
        <v>35985080</v>
      </c>
      <c r="AL17" s="1">
        <v>35985080</v>
      </c>
      <c r="AM17" s="1">
        <v>35985080</v>
      </c>
      <c r="AO17" s="7">
        <f t="shared" si="18"/>
        <v>1448547</v>
      </c>
      <c r="AP17" s="8">
        <f t="shared" si="19"/>
        <v>3.5924906114042088E-2</v>
      </c>
      <c r="AQ17" s="12">
        <f t="shared" si="20"/>
        <v>-5784992</v>
      </c>
      <c r="AR17" s="13">
        <f t="shared" si="21"/>
        <v>-0.13849609835482213</v>
      </c>
      <c r="AS17" s="17">
        <f t="shared" si="22"/>
        <v>0</v>
      </c>
      <c r="AT17" s="18">
        <f t="shared" si="23"/>
        <v>0</v>
      </c>
    </row>
    <row r="18" spans="1:46">
      <c r="A18" t="s">
        <v>326</v>
      </c>
      <c r="C18" s="1">
        <v>192000</v>
      </c>
      <c r="D18" s="1">
        <v>192000</v>
      </c>
      <c r="E18" s="1">
        <v>192000</v>
      </c>
      <c r="F18" s="1">
        <v>192000</v>
      </c>
      <c r="G18" s="1">
        <v>192000</v>
      </c>
      <c r="H18" s="1">
        <v>192000</v>
      </c>
      <c r="I18" s="1">
        <v>192000</v>
      </c>
      <c r="J18" s="1">
        <v>192000</v>
      </c>
      <c r="K18" s="1">
        <v>192000</v>
      </c>
      <c r="L18" s="1">
        <v>192000</v>
      </c>
      <c r="M18" s="1">
        <v>192000</v>
      </c>
      <c r="N18" s="1">
        <v>192000</v>
      </c>
      <c r="O18" s="1">
        <v>192000</v>
      </c>
      <c r="P18" s="1">
        <v>192000</v>
      </c>
      <c r="Q18" s="1">
        <v>192000</v>
      </c>
      <c r="R18" s="1">
        <v>192000</v>
      </c>
      <c r="S18" s="1">
        <v>192000</v>
      </c>
      <c r="T18" s="1">
        <v>192000</v>
      </c>
      <c r="U18" s="1">
        <v>192000</v>
      </c>
      <c r="V18" s="1">
        <v>192000</v>
      </c>
      <c r="W18" s="1">
        <v>192000</v>
      </c>
      <c r="X18" s="1">
        <v>192000</v>
      </c>
      <c r="Y18" s="1">
        <v>192000</v>
      </c>
      <c r="Z18" s="1">
        <v>192000</v>
      </c>
      <c r="AA18" s="1">
        <v>192000</v>
      </c>
      <c r="AB18" s="1">
        <v>192000</v>
      </c>
      <c r="AC18" s="1">
        <v>192000</v>
      </c>
      <c r="AD18" s="1">
        <v>192000</v>
      </c>
      <c r="AE18" s="1">
        <v>192000</v>
      </c>
      <c r="AF18" s="1">
        <v>192000</v>
      </c>
      <c r="AG18" s="1">
        <v>192000</v>
      </c>
      <c r="AH18" s="1">
        <v>192000</v>
      </c>
      <c r="AI18" s="1">
        <v>192000</v>
      </c>
      <c r="AJ18" s="1">
        <v>192000</v>
      </c>
      <c r="AK18" s="1">
        <v>192000</v>
      </c>
      <c r="AL18" s="1">
        <v>192000</v>
      </c>
      <c r="AM18" s="1">
        <v>192000</v>
      </c>
      <c r="AO18" s="7">
        <f t="shared" si="18"/>
        <v>0</v>
      </c>
      <c r="AP18" s="8">
        <f t="shared" si="19"/>
        <v>0</v>
      </c>
      <c r="AQ18" s="12">
        <f t="shared" si="20"/>
        <v>0</v>
      </c>
      <c r="AR18" s="13">
        <f t="shared" si="21"/>
        <v>0</v>
      </c>
      <c r="AS18" s="17">
        <f t="shared" si="22"/>
        <v>0</v>
      </c>
      <c r="AT18" s="18">
        <f t="shared" si="23"/>
        <v>0</v>
      </c>
    </row>
    <row r="19" spans="1:46">
      <c r="A19" t="s">
        <v>331</v>
      </c>
      <c r="C19" s="1">
        <v>13284113</v>
      </c>
      <c r="D19" s="1">
        <v>13230198</v>
      </c>
      <c r="E19" s="1">
        <v>13176070</v>
      </c>
      <c r="F19" s="1">
        <v>13097334</v>
      </c>
      <c r="G19" s="1">
        <v>13040069</v>
      </c>
      <c r="H19" s="1">
        <v>12979548</v>
      </c>
      <c r="I19" s="1">
        <v>12894636</v>
      </c>
      <c r="J19" s="1">
        <v>13307885</v>
      </c>
      <c r="K19" s="1">
        <v>13300956</v>
      </c>
      <c r="L19" s="1">
        <v>13217592</v>
      </c>
      <c r="M19" s="1">
        <v>13157948</v>
      </c>
      <c r="N19" s="1">
        <v>13337200</v>
      </c>
      <c r="O19" s="1">
        <v>13859159</v>
      </c>
      <c r="P19" s="1">
        <v>13841971</v>
      </c>
      <c r="Q19" s="1">
        <v>13923576</v>
      </c>
      <c r="R19" s="1">
        <v>13843650</v>
      </c>
      <c r="S19" s="1">
        <v>13779146</v>
      </c>
      <c r="T19" s="1">
        <v>13714399</v>
      </c>
      <c r="U19" s="1">
        <v>13633039</v>
      </c>
      <c r="V19" s="1">
        <v>13567953</v>
      </c>
      <c r="W19" s="1">
        <v>13502574</v>
      </c>
      <c r="X19" s="1">
        <v>13502574</v>
      </c>
      <c r="Y19" s="1">
        <v>13502574</v>
      </c>
      <c r="Z19" s="1">
        <v>13502574</v>
      </c>
      <c r="AA19" s="1">
        <v>13502574</v>
      </c>
      <c r="AB19" s="1">
        <v>13502574</v>
      </c>
      <c r="AC19" s="1">
        <v>13502574</v>
      </c>
      <c r="AD19" s="1">
        <v>13502574</v>
      </c>
      <c r="AE19" s="1">
        <v>13502574</v>
      </c>
      <c r="AF19" s="1">
        <v>13502574</v>
      </c>
      <c r="AG19" s="1">
        <v>13502574</v>
      </c>
      <c r="AH19" s="1">
        <v>13502574</v>
      </c>
      <c r="AI19" s="1">
        <v>13502574</v>
      </c>
      <c r="AJ19" s="1">
        <v>13502574</v>
      </c>
      <c r="AK19" s="1">
        <v>13502574</v>
      </c>
      <c r="AL19" s="1">
        <v>13502574</v>
      </c>
      <c r="AM19" s="1">
        <v>13502574</v>
      </c>
      <c r="AO19" s="7">
        <f t="shared" si="18"/>
        <v>575046</v>
      </c>
      <c r="AP19" s="8">
        <f t="shared" si="19"/>
        <v>4.3288249655810684E-2</v>
      </c>
      <c r="AQ19" s="12">
        <f t="shared" si="20"/>
        <v>-356585</v>
      </c>
      <c r="AR19" s="13">
        <f t="shared" si="21"/>
        <v>-2.572919467912882E-2</v>
      </c>
      <c r="AS19" s="17">
        <f t="shared" si="22"/>
        <v>0</v>
      </c>
      <c r="AT19" s="18">
        <f t="shared" si="23"/>
        <v>0</v>
      </c>
    </row>
    <row r="20" spans="1:46">
      <c r="A20" t="s">
        <v>332</v>
      </c>
      <c r="C20" s="1">
        <v>2368604374</v>
      </c>
      <c r="D20" s="1">
        <v>2333861255</v>
      </c>
      <c r="E20" s="1">
        <v>2363599959</v>
      </c>
      <c r="F20" s="1">
        <v>2361793365</v>
      </c>
      <c r="G20" s="1">
        <v>2319627958</v>
      </c>
      <c r="H20" s="1">
        <v>2319920977</v>
      </c>
      <c r="I20" s="1">
        <v>2326919430</v>
      </c>
      <c r="J20" s="1">
        <v>2316519996</v>
      </c>
      <c r="K20" s="1">
        <v>2352156104</v>
      </c>
      <c r="L20" s="1">
        <v>2330946132</v>
      </c>
      <c r="M20" s="1">
        <v>2325401748</v>
      </c>
      <c r="N20" s="1">
        <v>2331511739</v>
      </c>
      <c r="O20" s="1">
        <v>2320001190</v>
      </c>
      <c r="P20" s="1">
        <v>2343100605</v>
      </c>
      <c r="Q20" s="1">
        <v>2345498316</v>
      </c>
      <c r="R20" s="1">
        <v>2329887401</v>
      </c>
      <c r="S20" s="1">
        <v>2334748388</v>
      </c>
      <c r="T20" s="1">
        <v>2345066003</v>
      </c>
      <c r="U20" s="1">
        <v>2345250482</v>
      </c>
      <c r="V20" s="1">
        <v>2382504278</v>
      </c>
      <c r="W20" s="1">
        <v>2407329448</v>
      </c>
      <c r="X20" s="1">
        <v>2436462458</v>
      </c>
      <c r="Y20" s="1">
        <v>2454443028</v>
      </c>
      <c r="Z20" s="1">
        <v>2468132004</v>
      </c>
      <c r="AA20" s="1">
        <v>2472949703</v>
      </c>
      <c r="AB20" s="1">
        <v>2485330631</v>
      </c>
      <c r="AC20" s="1">
        <v>2497629859</v>
      </c>
      <c r="AD20" s="1">
        <v>2510336170</v>
      </c>
      <c r="AE20" s="1">
        <v>2525889287</v>
      </c>
      <c r="AF20" s="1">
        <v>2541556940</v>
      </c>
      <c r="AG20" s="1">
        <v>2558803994</v>
      </c>
      <c r="AH20" s="1">
        <v>2579344532</v>
      </c>
      <c r="AI20" s="1">
        <v>2599803783</v>
      </c>
      <c r="AJ20" s="1">
        <v>2620674622</v>
      </c>
      <c r="AK20" s="1">
        <v>2640206587</v>
      </c>
      <c r="AL20" s="1">
        <v>2658627662</v>
      </c>
      <c r="AM20" s="1">
        <v>2674203754</v>
      </c>
      <c r="AO20" s="7">
        <f t="shared" si="18"/>
        <v>-48603184</v>
      </c>
      <c r="AP20" s="8">
        <f t="shared" si="19"/>
        <v>-2.0519756078099638E-2</v>
      </c>
      <c r="AQ20" s="12">
        <f t="shared" si="20"/>
        <v>152948513</v>
      </c>
      <c r="AR20" s="13">
        <f t="shared" si="21"/>
        <v>6.5926049374138485E-2</v>
      </c>
      <c r="AS20" s="17">
        <f t="shared" si="22"/>
        <v>201254051</v>
      </c>
      <c r="AT20" s="18">
        <f t="shared" si="23"/>
        <v>8.1382185313293443E-2</v>
      </c>
    </row>
    <row r="21" spans="1:46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46">
      <c r="A22" t="s">
        <v>511</v>
      </c>
      <c r="C22" s="1">
        <v>2000491309</v>
      </c>
      <c r="D22" s="1">
        <v>1996439673</v>
      </c>
      <c r="E22" s="1">
        <v>2040432641</v>
      </c>
      <c r="F22" s="1">
        <v>2050079583</v>
      </c>
      <c r="G22" s="1">
        <v>2039276056</v>
      </c>
      <c r="H22" s="1">
        <v>2052089455</v>
      </c>
      <c r="I22" s="1">
        <v>2058931115</v>
      </c>
      <c r="J22" s="1">
        <v>2044327420</v>
      </c>
      <c r="K22" s="1">
        <v>2056142705</v>
      </c>
      <c r="L22" s="1">
        <v>2043531688</v>
      </c>
      <c r="M22" s="1">
        <v>2050246261</v>
      </c>
      <c r="N22" s="1">
        <v>2048313064</v>
      </c>
      <c r="O22" s="1">
        <v>2054186655</v>
      </c>
      <c r="P22" s="1">
        <v>2069316383</v>
      </c>
      <c r="Q22" s="1">
        <v>2077076069</v>
      </c>
      <c r="R22" s="1">
        <v>2069303133</v>
      </c>
      <c r="S22" s="1">
        <v>2052396120</v>
      </c>
      <c r="T22" s="1">
        <v>2056853331</v>
      </c>
      <c r="U22" s="1">
        <v>2069457255</v>
      </c>
      <c r="V22" s="1">
        <v>2120709681</v>
      </c>
      <c r="W22" s="1">
        <v>2132677405</v>
      </c>
      <c r="X22" s="1">
        <v>2159420400</v>
      </c>
      <c r="Y22" s="1">
        <v>2175392751</v>
      </c>
      <c r="Z22" s="1">
        <v>2209728464</v>
      </c>
      <c r="AA22" s="1">
        <v>2185030640</v>
      </c>
      <c r="AB22" s="1">
        <v>2194771895</v>
      </c>
      <c r="AC22" s="1">
        <v>2205173962</v>
      </c>
      <c r="AD22" s="1">
        <v>2215576030</v>
      </c>
      <c r="AE22" s="1">
        <v>2228343354</v>
      </c>
      <c r="AF22" s="1">
        <v>2241912716</v>
      </c>
      <c r="AG22" s="1">
        <v>2256857000</v>
      </c>
      <c r="AH22" s="1">
        <v>2275053105</v>
      </c>
      <c r="AI22" s="1">
        <v>2293249250</v>
      </c>
      <c r="AJ22" s="1">
        <v>2312032587</v>
      </c>
      <c r="AK22" s="1">
        <v>2329470046</v>
      </c>
      <c r="AL22" s="1">
        <v>2346104974</v>
      </c>
      <c r="AM22" s="1">
        <v>2359833091</v>
      </c>
      <c r="AO22" s="7">
        <f t="shared" ref="AO22:AO25" si="24">+O22-C22</f>
        <v>53695346</v>
      </c>
      <c r="AP22" s="8">
        <f t="shared" ref="AP22:AP25" si="25">+(O22/C22)-1</f>
        <v>2.6841079368068455E-2</v>
      </c>
      <c r="AQ22" s="12">
        <f t="shared" ref="AQ22:AQ25" si="26">+(AA22-O22)</f>
        <v>130843985</v>
      </c>
      <c r="AR22" s="13">
        <f t="shared" ref="AR22:AR25" si="27">+(AA22/O22)-1</f>
        <v>6.3696249160960505E-2</v>
      </c>
      <c r="AS22" s="17">
        <f t="shared" ref="AS22:AS25" si="28">+AM22-AA22</f>
        <v>174802451</v>
      </c>
      <c r="AT22" s="18">
        <f t="shared" ref="AT22:AT25" si="29">+(AM22/AA22)-1</f>
        <v>7.9999999908468178E-2</v>
      </c>
    </row>
    <row r="23" spans="1:46">
      <c r="A23" t="s">
        <v>513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O23" s="7">
        <f t="shared" si="24"/>
        <v>0</v>
      </c>
      <c r="AP23" s="8" t="e">
        <f t="shared" si="25"/>
        <v>#DIV/0!</v>
      </c>
      <c r="AQ23" s="12">
        <f t="shared" si="26"/>
        <v>0</v>
      </c>
      <c r="AR23" s="13" t="e">
        <f t="shared" si="27"/>
        <v>#DIV/0!</v>
      </c>
      <c r="AS23" s="17">
        <f t="shared" si="28"/>
        <v>0</v>
      </c>
      <c r="AT23" s="18" t="e">
        <f t="shared" si="29"/>
        <v>#DIV/0!</v>
      </c>
    </row>
    <row r="24" spans="1:46">
      <c r="A24" t="s">
        <v>520</v>
      </c>
      <c r="C24" s="1">
        <v>211000000</v>
      </c>
      <c r="D24" s="1">
        <v>189000000</v>
      </c>
      <c r="E24" s="1">
        <v>179000000</v>
      </c>
      <c r="F24" s="1">
        <v>159000000</v>
      </c>
      <c r="G24" s="1">
        <v>144000000</v>
      </c>
      <c r="H24" s="1">
        <v>126000000</v>
      </c>
      <c r="I24" s="1">
        <v>119000000</v>
      </c>
      <c r="J24" s="1">
        <v>121000000</v>
      </c>
      <c r="K24" s="1">
        <v>135000000</v>
      </c>
      <c r="L24" s="1">
        <v>126000000</v>
      </c>
      <c r="M24" s="1">
        <v>123000000</v>
      </c>
      <c r="N24" s="1">
        <v>124000000</v>
      </c>
      <c r="O24" s="1">
        <v>114000000</v>
      </c>
      <c r="P24" s="1">
        <v>124000000</v>
      </c>
      <c r="Q24" s="1">
        <v>110000000</v>
      </c>
      <c r="R24" s="1">
        <v>104000000</v>
      </c>
      <c r="S24" s="1">
        <v>125000000</v>
      </c>
      <c r="T24" s="1">
        <v>129000000</v>
      </c>
      <c r="U24" s="1">
        <v>114000000</v>
      </c>
      <c r="V24" s="1">
        <v>99000000</v>
      </c>
      <c r="W24" s="1">
        <v>99000000</v>
      </c>
      <c r="X24" s="1">
        <v>99000000</v>
      </c>
      <c r="Y24" s="1">
        <v>99000000</v>
      </c>
      <c r="Z24" s="1">
        <v>74000000</v>
      </c>
      <c r="AA24" s="1">
        <v>99000000</v>
      </c>
      <c r="AB24" s="1">
        <v>99000000</v>
      </c>
      <c r="AC24" s="1">
        <v>99000000</v>
      </c>
      <c r="AD24" s="1">
        <v>99000000</v>
      </c>
      <c r="AE24" s="1">
        <v>99000000</v>
      </c>
      <c r="AF24" s="1">
        <v>99000000</v>
      </c>
      <c r="AG24" s="1">
        <v>99000000</v>
      </c>
      <c r="AH24" s="1">
        <v>99000000</v>
      </c>
      <c r="AI24" s="1">
        <v>99000000</v>
      </c>
      <c r="AJ24" s="1">
        <v>99000000</v>
      </c>
      <c r="AK24" s="1">
        <v>99000000</v>
      </c>
      <c r="AL24" s="1">
        <v>99000000</v>
      </c>
      <c r="AM24" s="1">
        <v>99000000</v>
      </c>
      <c r="AO24" s="7">
        <f t="shared" si="24"/>
        <v>-97000000</v>
      </c>
      <c r="AP24" s="8">
        <f t="shared" si="25"/>
        <v>-0.45971563981042651</v>
      </c>
      <c r="AQ24" s="12">
        <f t="shared" si="26"/>
        <v>-15000000</v>
      </c>
      <c r="AR24" s="13">
        <f t="shared" si="27"/>
        <v>-0.13157894736842102</v>
      </c>
      <c r="AS24" s="17">
        <f t="shared" si="28"/>
        <v>0</v>
      </c>
      <c r="AT24" s="18">
        <f t="shared" si="29"/>
        <v>0</v>
      </c>
    </row>
    <row r="25" spans="1:46">
      <c r="A25" t="s">
        <v>533</v>
      </c>
      <c r="C25" s="1">
        <v>26697382</v>
      </c>
      <c r="D25" s="1">
        <v>18780076</v>
      </c>
      <c r="E25" s="1">
        <v>19854726</v>
      </c>
      <c r="F25" s="1">
        <v>25602411</v>
      </c>
      <c r="G25" s="1">
        <v>17267122</v>
      </c>
      <c r="H25" s="1">
        <v>18010679</v>
      </c>
      <c r="I25" s="1">
        <v>26179439</v>
      </c>
      <c r="J25" s="1">
        <v>22314556</v>
      </c>
      <c r="K25" s="1">
        <v>26659656</v>
      </c>
      <c r="L25" s="1">
        <v>23214225</v>
      </c>
      <c r="M25" s="1">
        <v>22308975</v>
      </c>
      <c r="N25" s="1">
        <v>25769357</v>
      </c>
      <c r="O25" s="1">
        <v>22473555</v>
      </c>
      <c r="P25" s="1">
        <v>18679875</v>
      </c>
      <c r="Q25" s="1">
        <v>21159920</v>
      </c>
      <c r="R25" s="1">
        <v>18362964</v>
      </c>
      <c r="S25" s="1">
        <v>16752629</v>
      </c>
      <c r="T25" s="1">
        <v>21344361</v>
      </c>
      <c r="U25" s="1">
        <v>20071873</v>
      </c>
      <c r="V25" s="1">
        <v>22186446</v>
      </c>
      <c r="W25" s="1">
        <v>28982659</v>
      </c>
      <c r="X25" s="1">
        <v>28982659</v>
      </c>
      <c r="Y25" s="1">
        <v>28982659</v>
      </c>
      <c r="Z25" s="1">
        <v>28982659</v>
      </c>
      <c r="AA25" s="1">
        <v>28982659</v>
      </c>
      <c r="AB25" s="1">
        <v>28982659</v>
      </c>
      <c r="AC25" s="1">
        <v>28982659</v>
      </c>
      <c r="AD25" s="1">
        <v>28982659</v>
      </c>
      <c r="AE25" s="1">
        <v>28982659</v>
      </c>
      <c r="AF25" s="1">
        <v>28982659</v>
      </c>
      <c r="AG25" s="1">
        <v>28982659</v>
      </c>
      <c r="AH25" s="1">
        <v>28982659</v>
      </c>
      <c r="AI25" s="1">
        <v>28982659</v>
      </c>
      <c r="AJ25" s="1">
        <v>28982659</v>
      </c>
      <c r="AK25" s="1">
        <v>28982659</v>
      </c>
      <c r="AL25" s="1">
        <v>28982659</v>
      </c>
      <c r="AM25" s="1">
        <v>28982659</v>
      </c>
      <c r="AO25" s="7">
        <f t="shared" si="24"/>
        <v>-4223827</v>
      </c>
      <c r="AP25" s="8">
        <f t="shared" si="25"/>
        <v>-0.15821128079150237</v>
      </c>
      <c r="AQ25" s="12">
        <f t="shared" si="26"/>
        <v>6509104</v>
      </c>
      <c r="AR25" s="13">
        <f t="shared" si="27"/>
        <v>0.28963392752059036</v>
      </c>
      <c r="AS25" s="17">
        <f t="shared" si="28"/>
        <v>0</v>
      </c>
      <c r="AT25" s="18">
        <f t="shared" si="29"/>
        <v>0</v>
      </c>
    </row>
    <row r="26" spans="1:46">
      <c r="A26" t="s">
        <v>11</v>
      </c>
      <c r="B26" t="s">
        <v>12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O26" s="7"/>
      <c r="AP26" s="8"/>
      <c r="AQ26" s="12"/>
      <c r="AR26" s="13"/>
      <c r="AS26" s="17"/>
      <c r="AT26" s="18"/>
    </row>
    <row r="27" spans="1:46">
      <c r="A27" t="s">
        <v>534</v>
      </c>
      <c r="C27" s="1">
        <v>2238188690</v>
      </c>
      <c r="D27" s="1">
        <v>2204219749</v>
      </c>
      <c r="E27" s="1">
        <v>2239287367</v>
      </c>
      <c r="F27" s="1">
        <v>2234681994</v>
      </c>
      <c r="G27" s="1">
        <v>2200543178</v>
      </c>
      <c r="H27" s="1">
        <v>2196100134</v>
      </c>
      <c r="I27" s="1">
        <v>2204110554</v>
      </c>
      <c r="J27" s="1">
        <v>2187641977</v>
      </c>
      <c r="K27" s="1">
        <v>2217802362</v>
      </c>
      <c r="L27" s="1">
        <v>2192745913</v>
      </c>
      <c r="M27" s="1">
        <v>2195555236</v>
      </c>
      <c r="N27" s="1">
        <v>2198082422</v>
      </c>
      <c r="O27" s="1">
        <v>2190660211</v>
      </c>
      <c r="P27" s="1">
        <v>2211996258</v>
      </c>
      <c r="Q27" s="1">
        <v>2208235989</v>
      </c>
      <c r="R27" s="1">
        <v>2191666097</v>
      </c>
      <c r="S27" s="1">
        <v>2194148749</v>
      </c>
      <c r="T27" s="1">
        <v>2207197692</v>
      </c>
      <c r="U27" s="1">
        <v>2203529128</v>
      </c>
      <c r="V27" s="1">
        <v>2241896127</v>
      </c>
      <c r="W27" s="1">
        <v>2260660064</v>
      </c>
      <c r="X27" s="1">
        <v>2287403060</v>
      </c>
      <c r="Y27" s="1">
        <v>2303375410</v>
      </c>
      <c r="Z27" s="1">
        <v>2312711123</v>
      </c>
      <c r="AA27" s="1">
        <v>2313013299</v>
      </c>
      <c r="AB27" s="1">
        <v>2322754554</v>
      </c>
      <c r="AC27" s="1">
        <v>2333156622</v>
      </c>
      <c r="AD27" s="1">
        <v>2343558689</v>
      </c>
      <c r="AE27" s="1">
        <v>2356326013</v>
      </c>
      <c r="AF27" s="1">
        <v>2369895375</v>
      </c>
      <c r="AG27" s="1">
        <v>2384839659</v>
      </c>
      <c r="AH27" s="1">
        <v>2403035764</v>
      </c>
      <c r="AI27" s="1">
        <v>2421231909</v>
      </c>
      <c r="AJ27" s="1">
        <v>2440015246</v>
      </c>
      <c r="AK27" s="1">
        <v>2457452705</v>
      </c>
      <c r="AL27" s="1">
        <v>2474087634</v>
      </c>
      <c r="AM27" s="1">
        <v>2487815750</v>
      </c>
      <c r="AO27" s="7">
        <f t="shared" ref="AO27:AO28" si="30">+O27-C27</f>
        <v>-47528479</v>
      </c>
      <c r="AP27" s="8">
        <f t="shared" ref="AP27:AP28" si="31">+(O27/C27)-1</f>
        <v>-2.1235242235094987E-2</v>
      </c>
      <c r="AQ27" s="12">
        <f t="shared" ref="AQ27:AQ28" si="32">+(AA27-O27)</f>
        <v>122353088</v>
      </c>
      <c r="AR27" s="13">
        <f t="shared" ref="AR27:AR28" si="33">+(AA27/O27)-1</f>
        <v>5.5852152417625645E-2</v>
      </c>
      <c r="AS27" s="17">
        <f t="shared" ref="AS27:AS28" si="34">+AM27-AA27</f>
        <v>174802451</v>
      </c>
      <c r="AT27" s="18">
        <f t="shared" ref="AT27:AT28" si="35">+(AM27/AA27)-1</f>
        <v>7.5573474253508799E-2</v>
      </c>
    </row>
    <row r="28" spans="1:46">
      <c r="A28" t="s">
        <v>541</v>
      </c>
      <c r="C28" s="1">
        <v>130415683</v>
      </c>
      <c r="D28" s="1">
        <v>129641507</v>
      </c>
      <c r="E28" s="1">
        <v>124312592</v>
      </c>
      <c r="F28" s="1">
        <v>127111371</v>
      </c>
      <c r="G28" s="1">
        <v>119084780</v>
      </c>
      <c r="H28" s="1">
        <v>123820843</v>
      </c>
      <c r="I28" s="1">
        <v>122808876</v>
      </c>
      <c r="J28" s="1">
        <v>128878019</v>
      </c>
      <c r="K28" s="1">
        <v>134353743</v>
      </c>
      <c r="L28" s="1">
        <v>138200219</v>
      </c>
      <c r="M28" s="1">
        <v>129846512</v>
      </c>
      <c r="N28" s="1">
        <v>133429318</v>
      </c>
      <c r="O28" s="1">
        <v>129340980</v>
      </c>
      <c r="P28" s="1">
        <v>131104347</v>
      </c>
      <c r="Q28" s="1">
        <v>137262328</v>
      </c>
      <c r="R28" s="1">
        <v>138221304</v>
      </c>
      <c r="S28" s="1">
        <v>140599639</v>
      </c>
      <c r="T28" s="1">
        <v>137868311</v>
      </c>
      <c r="U28" s="1">
        <v>141721353</v>
      </c>
      <c r="V28" s="1">
        <v>140608151</v>
      </c>
      <c r="W28" s="1">
        <v>146669384</v>
      </c>
      <c r="X28" s="1">
        <v>149059399</v>
      </c>
      <c r="Y28" s="1">
        <v>151067619</v>
      </c>
      <c r="Z28" s="1">
        <v>155420881</v>
      </c>
      <c r="AA28" s="1">
        <v>159936404</v>
      </c>
      <c r="AB28" s="1">
        <v>162576077</v>
      </c>
      <c r="AC28" s="1">
        <v>164473237</v>
      </c>
      <c r="AD28" s="1">
        <v>166777481</v>
      </c>
      <c r="AE28" s="1">
        <v>169563274</v>
      </c>
      <c r="AF28" s="1">
        <v>171661565</v>
      </c>
      <c r="AG28" s="1">
        <v>173964335</v>
      </c>
      <c r="AH28" s="1">
        <v>176308768</v>
      </c>
      <c r="AI28" s="1">
        <v>178571874</v>
      </c>
      <c r="AJ28" s="1">
        <v>180659376</v>
      </c>
      <c r="AK28" s="1">
        <v>182753881</v>
      </c>
      <c r="AL28" s="1">
        <v>184540028</v>
      </c>
      <c r="AM28" s="1">
        <v>186388004</v>
      </c>
      <c r="AO28" s="7">
        <f t="shared" si="30"/>
        <v>-1074703</v>
      </c>
      <c r="AP28" s="8">
        <f t="shared" si="31"/>
        <v>-8.2405963399355686E-3</v>
      </c>
      <c r="AQ28" s="12">
        <f t="shared" si="32"/>
        <v>30595424</v>
      </c>
      <c r="AR28" s="13">
        <f t="shared" si="33"/>
        <v>0.23654857107159688</v>
      </c>
      <c r="AS28" s="17">
        <f t="shared" si="34"/>
        <v>26451600</v>
      </c>
      <c r="AT28" s="18">
        <f t="shared" si="35"/>
        <v>0.16538823768977573</v>
      </c>
    </row>
    <row r="29" spans="1:46">
      <c r="A29" t="s">
        <v>11</v>
      </c>
      <c r="B29" t="s">
        <v>12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O29" s="7"/>
      <c r="AP29" s="8"/>
      <c r="AQ29" s="12"/>
      <c r="AR29" s="13"/>
      <c r="AS29" s="17"/>
      <c r="AT29" s="18"/>
    </row>
    <row r="30" spans="1:46">
      <c r="A30" t="s">
        <v>542</v>
      </c>
      <c r="C30" s="1">
        <v>2368604374</v>
      </c>
      <c r="D30" s="1">
        <v>2333861255</v>
      </c>
      <c r="E30" s="1">
        <v>2363599959</v>
      </c>
      <c r="F30" s="1">
        <v>2361793365</v>
      </c>
      <c r="G30" s="1">
        <v>2319627958</v>
      </c>
      <c r="H30" s="1">
        <v>2319920977</v>
      </c>
      <c r="I30" s="1">
        <v>2326919430</v>
      </c>
      <c r="J30" s="1">
        <v>2316519996</v>
      </c>
      <c r="K30" s="1">
        <v>2352156104</v>
      </c>
      <c r="L30" s="1">
        <v>2330946132</v>
      </c>
      <c r="M30" s="1">
        <v>2325401748</v>
      </c>
      <c r="N30" s="1">
        <v>2331511739</v>
      </c>
      <c r="O30" s="1">
        <v>2320001190</v>
      </c>
      <c r="P30" s="1">
        <v>2343100605</v>
      </c>
      <c r="Q30" s="1">
        <v>2345498316</v>
      </c>
      <c r="R30" s="1">
        <v>2329887401</v>
      </c>
      <c r="S30" s="1">
        <v>2334748388</v>
      </c>
      <c r="T30" s="1">
        <v>2345066003</v>
      </c>
      <c r="U30" s="1">
        <v>2345250482</v>
      </c>
      <c r="V30" s="1">
        <v>2382504278</v>
      </c>
      <c r="W30" s="1">
        <v>2407329448</v>
      </c>
      <c r="X30" s="1">
        <v>2436462458</v>
      </c>
      <c r="Y30" s="1">
        <v>2454443028</v>
      </c>
      <c r="Z30" s="1">
        <v>2468132004</v>
      </c>
      <c r="AA30" s="1">
        <v>2472949703</v>
      </c>
      <c r="AB30" s="50">
        <v>2485330631</v>
      </c>
      <c r="AC30" s="1">
        <v>2497629859</v>
      </c>
      <c r="AD30" s="1">
        <v>2510336170</v>
      </c>
      <c r="AE30" s="1">
        <v>2525889287</v>
      </c>
      <c r="AF30" s="1">
        <v>2541556940</v>
      </c>
      <c r="AG30" s="1">
        <v>2558803994</v>
      </c>
      <c r="AH30" s="1">
        <v>2579344532</v>
      </c>
      <c r="AI30" s="1">
        <v>2599803783</v>
      </c>
      <c r="AJ30" s="1">
        <v>2620674622</v>
      </c>
      <c r="AK30" s="1">
        <v>2640206587</v>
      </c>
      <c r="AL30" s="1">
        <v>2658627662</v>
      </c>
      <c r="AM30" s="1">
        <v>2674203754</v>
      </c>
      <c r="AO30" s="7">
        <f t="shared" ref="AO30" si="36">+O30-C30</f>
        <v>-48603184</v>
      </c>
      <c r="AP30" s="8">
        <f t="shared" ref="AP30" si="37">+(O30/C30)-1</f>
        <v>-2.0519756078099638E-2</v>
      </c>
      <c r="AQ30" s="12">
        <f t="shared" ref="AQ30" si="38">+(AA30-O30)</f>
        <v>152948513</v>
      </c>
      <c r="AR30" s="13">
        <f t="shared" ref="AR30" si="39">+(AA30/O30)-1</f>
        <v>6.5926049374138485E-2</v>
      </c>
      <c r="AS30" s="17">
        <f t="shared" ref="AS30" si="40">+AM30-AA30</f>
        <v>201254051</v>
      </c>
      <c r="AT30" s="18">
        <f t="shared" ref="AT30" si="41">+(AM30/AA30)-1</f>
        <v>8.1382185313293443E-2</v>
      </c>
    </row>
    <row r="31" spans="1:46">
      <c r="A31" t="s">
        <v>333</v>
      </c>
      <c r="B31" t="s">
        <v>334</v>
      </c>
      <c r="AB31">
        <v>2211095577.8899999</v>
      </c>
    </row>
    <row r="32" spans="1:46">
      <c r="AB32" s="26">
        <f>+AB30-AB31</f>
        <v>274235053.11000013</v>
      </c>
    </row>
    <row r="42" spans="28:28">
      <c r="AB42" s="45"/>
    </row>
  </sheetData>
  <mergeCells count="3">
    <mergeCell ref="AO1:AP1"/>
    <mergeCell ref="AQ1:AR1"/>
    <mergeCell ref="AS1:A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0959-EF50-49F1-827C-9497BCF89C94}">
  <dimension ref="A1:BR715"/>
  <sheetViews>
    <sheetView zoomScale="80" zoomScaleNormal="80" workbookViewId="0">
      <pane xSplit="2" ySplit="2" topLeftCell="AK181" activePane="bottomRight" state="frozen"/>
      <selection pane="bottomRight" activeCell="AM202" sqref="AM202"/>
      <selection pane="bottomLeft" activeCell="A3" sqref="A3"/>
      <selection pane="topRight" activeCell="C1" sqref="C1"/>
    </sheetView>
  </sheetViews>
  <sheetFormatPr defaultRowHeight="15"/>
  <cols>
    <col min="1" max="1" width="32.7109375" bestFit="1" customWidth="1"/>
    <col min="2" max="2" width="10.28515625" bestFit="1" customWidth="1"/>
    <col min="3" max="3" width="14.5703125" bestFit="1" customWidth="1"/>
    <col min="4" max="9" width="10" hidden="1" customWidth="1"/>
    <col min="10" max="10" width="11" hidden="1" customWidth="1"/>
    <col min="11" max="11" width="10" hidden="1" customWidth="1"/>
    <col min="12" max="13" width="11" hidden="1" customWidth="1"/>
    <col min="14" max="15" width="15.5703125" bestFit="1" customWidth="1"/>
    <col min="16" max="25" width="11" hidden="1" customWidth="1"/>
    <col min="26" max="26" width="15.5703125" bestFit="1" customWidth="1"/>
    <col min="27" max="27" width="15.5703125" customWidth="1"/>
    <col min="28" max="33" width="11" customWidth="1"/>
    <col min="34" max="35" width="15.5703125" customWidth="1"/>
    <col min="36" max="37" width="11" customWidth="1"/>
    <col min="38" max="39" width="15.5703125" bestFit="1" customWidth="1"/>
    <col min="40" max="49" width="11" customWidth="1"/>
    <col min="50" max="50" width="15.5703125" bestFit="1" customWidth="1"/>
    <col min="51" max="51" width="12" bestFit="1" customWidth="1"/>
    <col min="53" max="53" width="13" style="23" bestFit="1" customWidth="1"/>
    <col min="54" max="54" width="11" style="23" bestFit="1" customWidth="1"/>
    <col min="55" max="55" width="1.5703125" customWidth="1"/>
    <col min="56" max="56" width="13" style="9" bestFit="1" customWidth="1"/>
    <col min="57" max="57" width="11.7109375" style="9" bestFit="1" customWidth="1"/>
    <col min="58" max="58" width="9.5703125" style="9" bestFit="1" customWidth="1"/>
    <col min="59" max="59" width="11.7109375" style="9" bestFit="1" customWidth="1"/>
    <col min="60" max="60" width="1.5703125" customWidth="1"/>
    <col min="61" max="61" width="13" style="14" bestFit="1" customWidth="1"/>
    <col min="62" max="62" width="11.7109375" style="14" bestFit="1" customWidth="1"/>
    <col min="63" max="63" width="12.7109375" style="14" bestFit="1" customWidth="1"/>
    <col min="64" max="65" width="14.7109375" style="14" bestFit="1" customWidth="1"/>
    <col min="66" max="66" width="1.5703125" customWidth="1"/>
    <col min="67" max="67" width="13" style="19" bestFit="1" customWidth="1"/>
    <col min="68" max="68" width="11.7109375" style="19" bestFit="1" customWidth="1"/>
    <col min="69" max="69" width="10.5703125" style="19" bestFit="1" customWidth="1"/>
    <col min="70" max="70" width="14.7109375" style="19" bestFit="1" customWidth="1"/>
  </cols>
  <sheetData>
    <row r="1" spans="1:70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BA1" s="54">
        <v>2023</v>
      </c>
      <c r="BB1" s="54"/>
      <c r="BD1" s="51">
        <v>2024</v>
      </c>
      <c r="BE1" s="51"/>
      <c r="BF1" s="51"/>
      <c r="BG1" s="51"/>
      <c r="BI1" s="52">
        <v>2025</v>
      </c>
      <c r="BJ1" s="52"/>
      <c r="BK1" s="52"/>
      <c r="BL1" s="52"/>
      <c r="BM1" s="52"/>
      <c r="BO1" s="53">
        <v>2026</v>
      </c>
      <c r="BP1" s="53"/>
      <c r="BQ1" s="53"/>
      <c r="BR1" s="53"/>
    </row>
    <row r="2" spans="1:70">
      <c r="B2" t="s">
        <v>2</v>
      </c>
      <c r="C2" s="3">
        <v>44927</v>
      </c>
      <c r="D2" s="3">
        <v>44958</v>
      </c>
      <c r="E2" s="3">
        <v>44986</v>
      </c>
      <c r="F2" s="3">
        <v>45017</v>
      </c>
      <c r="G2" s="3">
        <v>45047</v>
      </c>
      <c r="H2" s="3">
        <v>45078</v>
      </c>
      <c r="I2" s="3">
        <v>45108</v>
      </c>
      <c r="J2" s="3">
        <v>45139</v>
      </c>
      <c r="K2" s="3">
        <v>45170</v>
      </c>
      <c r="L2" s="3">
        <v>45200</v>
      </c>
      <c r="M2" s="3">
        <v>45231</v>
      </c>
      <c r="N2" s="3">
        <v>45261</v>
      </c>
      <c r="O2" s="3">
        <v>45292</v>
      </c>
      <c r="P2" s="3">
        <v>45323</v>
      </c>
      <c r="Q2" s="3">
        <v>45352</v>
      </c>
      <c r="R2" s="3">
        <v>45383</v>
      </c>
      <c r="S2" s="3">
        <v>45413</v>
      </c>
      <c r="T2" s="3">
        <v>45444</v>
      </c>
      <c r="U2" s="3">
        <v>45474</v>
      </c>
      <c r="V2" s="3">
        <v>45505</v>
      </c>
      <c r="W2" s="3">
        <v>45536</v>
      </c>
      <c r="X2" s="3">
        <v>45566</v>
      </c>
      <c r="Y2" s="3">
        <v>45597</v>
      </c>
      <c r="Z2" s="3">
        <v>45627</v>
      </c>
      <c r="AA2" s="3">
        <v>45658</v>
      </c>
      <c r="AB2" s="3">
        <v>45689</v>
      </c>
      <c r="AC2" s="3">
        <v>45717</v>
      </c>
      <c r="AD2" s="3">
        <v>45748</v>
      </c>
      <c r="AE2" s="3">
        <v>45778</v>
      </c>
      <c r="AF2" s="3">
        <v>45809</v>
      </c>
      <c r="AG2" s="3">
        <v>45839</v>
      </c>
      <c r="AH2" s="3">
        <v>45870</v>
      </c>
      <c r="AI2" s="3">
        <v>45901</v>
      </c>
      <c r="AJ2" s="3">
        <v>45931</v>
      </c>
      <c r="AK2" s="3">
        <v>45962</v>
      </c>
      <c r="AL2" s="3">
        <v>45992</v>
      </c>
      <c r="AM2" s="3">
        <v>46023</v>
      </c>
      <c r="AN2" s="3">
        <v>46054</v>
      </c>
      <c r="AO2" s="3">
        <v>46082</v>
      </c>
      <c r="AP2" s="3">
        <v>46113</v>
      </c>
      <c r="AQ2" s="3">
        <v>46143</v>
      </c>
      <c r="AR2" s="3">
        <v>46174</v>
      </c>
      <c r="AS2" s="3">
        <v>46204</v>
      </c>
      <c r="AT2" s="3">
        <v>46235</v>
      </c>
      <c r="AU2" s="3">
        <v>46266</v>
      </c>
      <c r="AV2" s="3">
        <v>46296</v>
      </c>
      <c r="AW2" s="3">
        <v>46327</v>
      </c>
      <c r="AX2" s="3">
        <v>46357</v>
      </c>
      <c r="BA2" s="20" t="s">
        <v>543</v>
      </c>
      <c r="BB2" s="20" t="s">
        <v>544</v>
      </c>
      <c r="BD2" s="5" t="s">
        <v>543</v>
      </c>
      <c r="BE2" s="5" t="s">
        <v>3</v>
      </c>
      <c r="BF2" s="5" t="s">
        <v>4</v>
      </c>
      <c r="BG2" s="5" t="s">
        <v>545</v>
      </c>
      <c r="BI2" s="10" t="s">
        <v>543</v>
      </c>
      <c r="BJ2" s="10" t="s">
        <v>3</v>
      </c>
      <c r="BK2" s="10" t="s">
        <v>4</v>
      </c>
      <c r="BL2" s="10" t="s">
        <v>546</v>
      </c>
      <c r="BM2" s="10" t="s">
        <v>547</v>
      </c>
      <c r="BO2" s="15" t="s">
        <v>543</v>
      </c>
      <c r="BP2" s="15" t="s">
        <v>3</v>
      </c>
      <c r="BQ2" s="15" t="s">
        <v>4</v>
      </c>
      <c r="BR2" s="15" t="s">
        <v>545</v>
      </c>
    </row>
    <row r="3" spans="1:70">
      <c r="A3" t="s">
        <v>14</v>
      </c>
      <c r="B3">
        <v>120010</v>
      </c>
      <c r="C3" s="1">
        <v>198411</v>
      </c>
      <c r="D3" s="1">
        <v>144740</v>
      </c>
      <c r="E3" s="1">
        <v>153194</v>
      </c>
      <c r="F3" s="1">
        <v>228122</v>
      </c>
      <c r="G3" s="1">
        <v>138024</v>
      </c>
      <c r="H3" s="1">
        <v>138152</v>
      </c>
      <c r="I3" s="1">
        <v>148058</v>
      </c>
      <c r="J3" s="1">
        <v>122688</v>
      </c>
      <c r="K3" s="1">
        <v>144542</v>
      </c>
      <c r="L3" s="1">
        <v>95579</v>
      </c>
      <c r="M3" s="1">
        <v>118332</v>
      </c>
      <c r="N3" s="1">
        <v>201199</v>
      </c>
      <c r="O3" s="1">
        <v>203379</v>
      </c>
      <c r="P3" s="1">
        <v>146076</v>
      </c>
      <c r="Q3" s="1">
        <v>255102</v>
      </c>
      <c r="R3" s="1">
        <v>250763</v>
      </c>
      <c r="S3" s="1">
        <v>263026</v>
      </c>
      <c r="T3" s="1">
        <v>242139</v>
      </c>
      <c r="U3" s="1">
        <v>247263</v>
      </c>
      <c r="V3" s="1">
        <v>243983</v>
      </c>
      <c r="W3" s="1">
        <v>218752</v>
      </c>
      <c r="X3" s="1">
        <v>228671</v>
      </c>
      <c r="Y3" s="1">
        <v>210089</v>
      </c>
      <c r="Z3" s="1">
        <v>235624</v>
      </c>
      <c r="AA3" s="1">
        <v>261635</v>
      </c>
      <c r="AB3" s="1">
        <v>244561</v>
      </c>
      <c r="AC3" s="1">
        <v>266025</v>
      </c>
      <c r="AD3" s="1">
        <v>222158</v>
      </c>
      <c r="AE3" s="1">
        <v>467691</v>
      </c>
      <c r="AF3" s="1">
        <v>1054857</v>
      </c>
      <c r="AG3" s="1">
        <v>1165447</v>
      </c>
      <c r="AH3" s="1">
        <v>1001683</v>
      </c>
      <c r="AI3" s="1">
        <v>817021</v>
      </c>
      <c r="AJ3" s="1">
        <v>1339578</v>
      </c>
      <c r="AK3" s="1">
        <v>439155</v>
      </c>
      <c r="AL3" s="1">
        <v>425623</v>
      </c>
      <c r="AM3" s="1">
        <v>417297</v>
      </c>
      <c r="AN3" s="1">
        <v>371578</v>
      </c>
      <c r="AO3" s="1">
        <v>380429</v>
      </c>
      <c r="AP3" s="1">
        <v>358214</v>
      </c>
      <c r="AQ3" s="1">
        <v>353003</v>
      </c>
      <c r="AR3" s="1">
        <v>305981</v>
      </c>
      <c r="AS3" s="1">
        <v>303512</v>
      </c>
      <c r="AT3" s="1">
        <v>296884</v>
      </c>
      <c r="AU3" s="1">
        <v>267552</v>
      </c>
      <c r="AV3" s="1">
        <v>283911</v>
      </c>
      <c r="AW3" s="1">
        <v>289717</v>
      </c>
      <c r="AX3" s="1">
        <v>289019</v>
      </c>
      <c r="AY3" s="1"/>
      <c r="BA3" s="21">
        <f>SUM(C3:N3)</f>
        <v>1831041</v>
      </c>
      <c r="BB3" s="22">
        <f>+BA3/12</f>
        <v>152586.75</v>
      </c>
      <c r="BD3" s="7">
        <f>SUM(O3:Z3)</f>
        <v>2744867</v>
      </c>
      <c r="BE3" s="7">
        <f>+BD3-BA3</f>
        <v>913826</v>
      </c>
      <c r="BF3" s="8">
        <f>(BD3/BA3)-1</f>
        <v>0.49907457014889345</v>
      </c>
      <c r="BG3" s="7">
        <f>BD3/12</f>
        <v>228738.91666666666</v>
      </c>
      <c r="BI3" s="12">
        <f>+SUM(AA3:AL3)</f>
        <v>7705434</v>
      </c>
      <c r="BJ3" s="12">
        <f>+BI3-BD3</f>
        <v>4960567</v>
      </c>
      <c r="BK3" s="13">
        <f>(BI3/BD3)-1</f>
        <v>1.8072157958837352</v>
      </c>
      <c r="BL3" s="24">
        <f>SUM(AA3:AH3)/8</f>
        <v>585507.125</v>
      </c>
      <c r="BM3" s="24">
        <f>SUM(AI3:AL3)/4</f>
        <v>755344.25</v>
      </c>
      <c r="BO3" s="17">
        <f>+SUM(AM3:AX3)</f>
        <v>3917097</v>
      </c>
      <c r="BP3" s="17">
        <f>+BO3-BI3</f>
        <v>-3788337</v>
      </c>
      <c r="BQ3" s="18">
        <f>(BO3/BI3)-1</f>
        <v>-0.49164485738246544</v>
      </c>
      <c r="BR3" s="25">
        <f>BO3/12</f>
        <v>326424.75</v>
      </c>
    </row>
    <row r="4" spans="1:70">
      <c r="A4" t="s">
        <v>15</v>
      </c>
      <c r="B4">
        <v>120020</v>
      </c>
      <c r="C4" s="1">
        <v>38300</v>
      </c>
      <c r="D4" s="1">
        <v>36207</v>
      </c>
      <c r="E4" s="1">
        <v>42240</v>
      </c>
      <c r="F4" s="1">
        <v>48524</v>
      </c>
      <c r="G4" s="1">
        <v>45374</v>
      </c>
      <c r="H4" s="1">
        <v>44265</v>
      </c>
      <c r="I4" s="1">
        <v>47428</v>
      </c>
      <c r="J4" s="1">
        <v>43966</v>
      </c>
      <c r="K4" s="1">
        <v>47437</v>
      </c>
      <c r="L4" s="1">
        <v>49564</v>
      </c>
      <c r="M4" s="1">
        <v>47535</v>
      </c>
      <c r="N4" s="1">
        <v>48913</v>
      </c>
      <c r="O4" s="1">
        <v>52250</v>
      </c>
      <c r="P4" s="1">
        <v>45052</v>
      </c>
      <c r="Q4" s="1">
        <v>48560</v>
      </c>
      <c r="R4" s="1">
        <v>47307</v>
      </c>
      <c r="S4" s="1">
        <v>50015</v>
      </c>
      <c r="T4" s="1">
        <v>50374</v>
      </c>
      <c r="U4" s="1">
        <v>51480</v>
      </c>
      <c r="V4" s="1">
        <v>48786</v>
      </c>
      <c r="W4" s="1">
        <v>43752</v>
      </c>
      <c r="X4" s="1">
        <v>43451</v>
      </c>
      <c r="Y4" s="1">
        <v>39040</v>
      </c>
      <c r="Z4" s="1">
        <v>39050</v>
      </c>
      <c r="AA4" s="1">
        <v>36727</v>
      </c>
      <c r="AB4" s="1">
        <v>33209</v>
      </c>
      <c r="AC4" s="1">
        <v>36569</v>
      </c>
      <c r="AD4" s="1">
        <v>43788</v>
      </c>
      <c r="AE4" s="1">
        <v>51085</v>
      </c>
      <c r="AF4" s="1">
        <v>49808</v>
      </c>
      <c r="AG4" s="1">
        <v>54523</v>
      </c>
      <c r="AH4" s="1">
        <v>51891</v>
      </c>
      <c r="AI4" s="1">
        <v>28271</v>
      </c>
      <c r="AJ4" s="1">
        <v>26568</v>
      </c>
      <c r="AK4" s="1">
        <v>23542</v>
      </c>
      <c r="AL4" s="1">
        <v>22099</v>
      </c>
      <c r="AM4" s="1">
        <v>21149</v>
      </c>
      <c r="AN4" s="1">
        <v>19333</v>
      </c>
      <c r="AO4" s="1">
        <v>20525</v>
      </c>
      <c r="AP4" s="1">
        <v>18995</v>
      </c>
      <c r="AQ4" s="1">
        <v>20439</v>
      </c>
      <c r="AR4" s="1">
        <v>20311</v>
      </c>
      <c r="AS4" s="1">
        <v>21481</v>
      </c>
      <c r="AT4" s="1">
        <v>21711</v>
      </c>
      <c r="AU4" s="1">
        <v>19025</v>
      </c>
      <c r="AV4" s="1">
        <v>17473</v>
      </c>
      <c r="AW4" s="1">
        <v>16581</v>
      </c>
      <c r="AX4" s="1">
        <v>16660</v>
      </c>
      <c r="AY4" s="1"/>
      <c r="BA4" s="21">
        <f>SUM(C4:N4)</f>
        <v>539753</v>
      </c>
      <c r="BB4" s="22">
        <f>+BA4/12</f>
        <v>44979.416666666664</v>
      </c>
      <c r="BD4" s="7">
        <f>SUM(O4:Z4)</f>
        <v>559117</v>
      </c>
      <c r="BE4" s="7">
        <f>+BD4-BA4</f>
        <v>19364</v>
      </c>
      <c r="BF4" s="8">
        <f>(BD4/BA4)-1</f>
        <v>3.5875669056031123E-2</v>
      </c>
      <c r="BG4" s="7">
        <f>BD4/12</f>
        <v>46593.083333333336</v>
      </c>
      <c r="BI4" s="12">
        <f>+SUM(AA4:AL4)</f>
        <v>458080</v>
      </c>
      <c r="BJ4" s="12">
        <f>+BI4-BD4</f>
        <v>-101037</v>
      </c>
      <c r="BK4" s="13">
        <f>(BI4/BD4)-1</f>
        <v>-0.18070815231874549</v>
      </c>
      <c r="BL4" s="24">
        <f>SUM(AA4:AH4)/8</f>
        <v>44700</v>
      </c>
      <c r="BM4" s="24">
        <f>SUM(AI4:AL4)/4</f>
        <v>25120</v>
      </c>
      <c r="BO4" s="17">
        <f>+SUM(AM4:AX4)</f>
        <v>233683</v>
      </c>
      <c r="BP4" s="17">
        <f>+BO4-BI4</f>
        <v>-224397</v>
      </c>
      <c r="BQ4" s="18">
        <f>(BO4/BI4)-1</f>
        <v>-0.48986421585749218</v>
      </c>
      <c r="BR4" s="25">
        <f>BO4/12</f>
        <v>19473.583333333332</v>
      </c>
    </row>
    <row r="5" spans="1:70">
      <c r="A5" t="s">
        <v>16</v>
      </c>
      <c r="B5">
        <v>120021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/>
      <c r="BA5" s="21">
        <f>SUM(C5:N5)</f>
        <v>0</v>
      </c>
      <c r="BB5" s="22">
        <f>+BA5/12</f>
        <v>0</v>
      </c>
      <c r="BD5" s="7">
        <f>SUM(O5:Z5)</f>
        <v>0</v>
      </c>
      <c r="BE5" s="7">
        <f>+BD5-BA5</f>
        <v>0</v>
      </c>
      <c r="BF5" s="8" t="e">
        <f>(BD5/BA5)-1</f>
        <v>#DIV/0!</v>
      </c>
      <c r="BG5" s="7">
        <f>BD5/12</f>
        <v>0</v>
      </c>
      <c r="BI5" s="12">
        <f>+SUM(AA5:AL5)</f>
        <v>0</v>
      </c>
      <c r="BJ5" s="12">
        <f>+BI5-BD5</f>
        <v>0</v>
      </c>
      <c r="BK5" s="13" t="e">
        <f>(BI5/BD5)-1</f>
        <v>#DIV/0!</v>
      </c>
      <c r="BL5" s="24">
        <f>SUM(AA5:AH5)/8</f>
        <v>0</v>
      </c>
      <c r="BM5" s="24">
        <f>SUM(AI5:AL5)/4</f>
        <v>0</v>
      </c>
      <c r="BO5" s="17">
        <f>+SUM(AM5:AX5)</f>
        <v>0</v>
      </c>
      <c r="BP5" s="17">
        <f>+BO5-BI5</f>
        <v>0</v>
      </c>
      <c r="BQ5" s="18" t="e">
        <f>(BO5/BI5)-1</f>
        <v>#DIV/0!</v>
      </c>
      <c r="BR5" s="25">
        <f>BO5/12</f>
        <v>0</v>
      </c>
    </row>
    <row r="6" spans="1:70">
      <c r="A6" t="s">
        <v>11</v>
      </c>
      <c r="B6" t="s">
        <v>12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70">
      <c r="A7" t="s">
        <v>548</v>
      </c>
      <c r="C7" s="1">
        <v>236710</v>
      </c>
      <c r="D7" s="1">
        <v>180946</v>
      </c>
      <c r="E7" s="1">
        <v>195434</v>
      </c>
      <c r="F7" s="1">
        <v>276645</v>
      </c>
      <c r="G7" s="1">
        <v>183397</v>
      </c>
      <c r="H7" s="1">
        <v>182417</v>
      </c>
      <c r="I7" s="1">
        <v>195485</v>
      </c>
      <c r="J7" s="1">
        <v>166654</v>
      </c>
      <c r="K7" s="1">
        <v>191980</v>
      </c>
      <c r="L7" s="1">
        <v>145144</v>
      </c>
      <c r="M7" s="1">
        <v>165867</v>
      </c>
      <c r="N7" s="1">
        <v>250113</v>
      </c>
      <c r="O7" s="1">
        <v>255629</v>
      </c>
      <c r="P7" s="1">
        <v>191129</v>
      </c>
      <c r="Q7" s="1">
        <v>303662</v>
      </c>
      <c r="R7" s="1">
        <v>298070</v>
      </c>
      <c r="S7" s="1">
        <v>313042</v>
      </c>
      <c r="T7" s="1">
        <v>292512</v>
      </c>
      <c r="U7" s="1">
        <v>298743</v>
      </c>
      <c r="V7" s="1">
        <v>292769</v>
      </c>
      <c r="W7" s="1">
        <v>262504</v>
      </c>
      <c r="X7" s="1">
        <v>272122</v>
      </c>
      <c r="Y7" s="1">
        <v>249129</v>
      </c>
      <c r="Z7" s="1">
        <v>274674</v>
      </c>
      <c r="AA7" s="1">
        <v>298361</v>
      </c>
      <c r="AB7" s="1">
        <v>277769</v>
      </c>
      <c r="AC7" s="1">
        <v>302594</v>
      </c>
      <c r="AD7" s="1">
        <v>265946</v>
      </c>
      <c r="AE7" s="1">
        <v>518776</v>
      </c>
      <c r="AF7" s="1">
        <v>1104666</v>
      </c>
      <c r="AG7" s="1">
        <v>1219970</v>
      </c>
      <c r="AH7" s="1">
        <v>1053575</v>
      </c>
      <c r="AI7" s="1">
        <v>845292</v>
      </c>
      <c r="AJ7" s="1">
        <v>1366146</v>
      </c>
      <c r="AK7" s="1">
        <v>462697</v>
      </c>
      <c r="AL7" s="1">
        <v>447722</v>
      </c>
      <c r="AM7" s="1">
        <v>438446</v>
      </c>
      <c r="AN7" s="1">
        <v>390911</v>
      </c>
      <c r="AO7" s="1">
        <v>400955</v>
      </c>
      <c r="AP7" s="1">
        <v>377210</v>
      </c>
      <c r="AQ7" s="1">
        <v>373442</v>
      </c>
      <c r="AR7" s="1">
        <v>326292</v>
      </c>
      <c r="AS7" s="1">
        <v>324993</v>
      </c>
      <c r="AT7" s="1">
        <v>318596</v>
      </c>
      <c r="AU7" s="1">
        <v>286577</v>
      </c>
      <c r="AV7" s="1">
        <v>301384</v>
      </c>
      <c r="AW7" s="1">
        <v>306298</v>
      </c>
      <c r="AX7" s="1">
        <v>305679</v>
      </c>
      <c r="AY7" s="1"/>
      <c r="BA7" s="21">
        <f>SUM(C7:N7)</f>
        <v>2370792</v>
      </c>
      <c r="BB7" s="22">
        <f>+BA7/12</f>
        <v>197566</v>
      </c>
      <c r="BD7" s="7">
        <f>SUM(O7:Z7)</f>
        <v>3303985</v>
      </c>
      <c r="BE7" s="7">
        <f>+BD7-BA7</f>
        <v>933193</v>
      </c>
      <c r="BF7" s="8">
        <f>(BD7/BA7)-1</f>
        <v>0.39362078157847669</v>
      </c>
      <c r="BG7" s="7">
        <f>BD7/12</f>
        <v>275332.08333333331</v>
      </c>
      <c r="BI7" s="12">
        <f>+SUM(AA7:AL7)</f>
        <v>8163514</v>
      </c>
      <c r="BJ7" s="12">
        <f>+BI7-BD7</f>
        <v>4859529</v>
      </c>
      <c r="BK7" s="13">
        <f>(BI7/BD7)-1</f>
        <v>1.4708084328470012</v>
      </c>
      <c r="BL7" s="24">
        <f>SUM(AA7:AH7)/8</f>
        <v>630207.125</v>
      </c>
      <c r="BM7" s="24">
        <f>SUM(AI7:AL7)/4</f>
        <v>780464.25</v>
      </c>
      <c r="BO7" s="17">
        <f>+SUM(AM7:AX7)</f>
        <v>4150783</v>
      </c>
      <c r="BP7" s="17">
        <f>+BO7-BI7</f>
        <v>-4012731</v>
      </c>
      <c r="BQ7" s="18">
        <f>(BO7/BI7)-1</f>
        <v>-0.49154457259459594</v>
      </c>
      <c r="BR7" s="25">
        <f>BO7/12</f>
        <v>345898.58333333331</v>
      </c>
    </row>
    <row r="8" spans="1:70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70">
      <c r="A9" t="s">
        <v>23</v>
      </c>
      <c r="B9">
        <v>120005</v>
      </c>
      <c r="C9" s="1">
        <v>582632</v>
      </c>
      <c r="D9" s="1">
        <v>549203</v>
      </c>
      <c r="E9" s="1">
        <v>571407</v>
      </c>
      <c r="F9" s="1">
        <v>569392</v>
      </c>
      <c r="G9" s="1">
        <v>576150</v>
      </c>
      <c r="H9" s="1">
        <v>559873</v>
      </c>
      <c r="I9" s="1">
        <v>575008</v>
      </c>
      <c r="J9" s="1">
        <v>577030</v>
      </c>
      <c r="K9" s="1">
        <v>564987</v>
      </c>
      <c r="L9" s="1">
        <v>574540</v>
      </c>
      <c r="M9" s="1">
        <v>568131</v>
      </c>
      <c r="N9" s="1">
        <v>574817</v>
      </c>
      <c r="O9" s="1">
        <v>574155</v>
      </c>
      <c r="P9" s="1">
        <v>555337</v>
      </c>
      <c r="Q9" s="1">
        <v>572446</v>
      </c>
      <c r="R9" s="1">
        <v>564081</v>
      </c>
      <c r="S9" s="1">
        <v>565109</v>
      </c>
      <c r="T9" s="1">
        <v>559413</v>
      </c>
      <c r="U9" s="1">
        <v>562311</v>
      </c>
      <c r="V9" s="1">
        <v>574064</v>
      </c>
      <c r="W9" s="1">
        <v>554063</v>
      </c>
      <c r="X9" s="1">
        <v>543561</v>
      </c>
      <c r="Y9" s="1">
        <v>548515</v>
      </c>
      <c r="Z9" s="1">
        <v>549071</v>
      </c>
      <c r="AA9" s="1">
        <v>550872</v>
      </c>
      <c r="AB9" s="1">
        <v>525563</v>
      </c>
      <c r="AC9" s="1">
        <v>543926</v>
      </c>
      <c r="AD9" s="1">
        <v>534669</v>
      </c>
      <c r="AE9" s="1">
        <v>527173</v>
      </c>
      <c r="AF9" s="1">
        <v>516502</v>
      </c>
      <c r="AG9" s="1">
        <v>524304</v>
      </c>
      <c r="AH9" s="1">
        <v>521966</v>
      </c>
      <c r="AI9" s="1">
        <v>233789</v>
      </c>
      <c r="AJ9" s="1">
        <v>233795</v>
      </c>
      <c r="AK9" s="1">
        <v>94915</v>
      </c>
      <c r="AL9" s="1">
        <v>94919</v>
      </c>
      <c r="AM9" s="1">
        <v>94924</v>
      </c>
      <c r="AN9" s="1">
        <v>94930</v>
      </c>
      <c r="AO9" s="1">
        <v>94937</v>
      </c>
      <c r="AP9" s="1">
        <v>94943</v>
      </c>
      <c r="AQ9" s="1">
        <v>94950</v>
      </c>
      <c r="AR9" s="1">
        <v>94956</v>
      </c>
      <c r="AS9" s="1">
        <v>94969</v>
      </c>
      <c r="AT9" s="1">
        <v>94978</v>
      </c>
      <c r="AU9" s="1">
        <v>94985</v>
      </c>
      <c r="AV9" s="1">
        <v>94991</v>
      </c>
      <c r="AW9" s="1">
        <v>94998</v>
      </c>
      <c r="AX9" s="1">
        <v>95004</v>
      </c>
      <c r="AY9" s="1"/>
      <c r="BA9" s="21">
        <f>SUM(C9:N9)</f>
        <v>6843170</v>
      </c>
      <c r="BB9" s="22">
        <f>+BA9/12</f>
        <v>570264.16666666663</v>
      </c>
      <c r="BD9" s="7">
        <f>SUM(O9:Z9)</f>
        <v>6722126</v>
      </c>
      <c r="BE9" s="7">
        <f>+BD9-BA9</f>
        <v>-121044</v>
      </c>
      <c r="BF9" s="8">
        <f>(BD9/BA9)-1</f>
        <v>-1.768829358323698E-2</v>
      </c>
      <c r="BG9" s="7">
        <f>BD9/12</f>
        <v>560177.16666666663</v>
      </c>
      <c r="BI9" s="12">
        <f>+SUM(AA9:AL9)</f>
        <v>4902393</v>
      </c>
      <c r="BJ9" s="12">
        <f>+BI9-BD9</f>
        <v>-1819733</v>
      </c>
      <c r="BK9" s="13">
        <f>(BI9/BD9)-1</f>
        <v>-0.27070795757175636</v>
      </c>
      <c r="BL9" s="24">
        <f>SUM(AA9:AH9)/8</f>
        <v>530621.875</v>
      </c>
      <c r="BM9" s="24">
        <f>SUM(AI9:AL9)/4</f>
        <v>164354.5</v>
      </c>
      <c r="BO9" s="17">
        <f>+SUM(AM9:AX9)</f>
        <v>1139565</v>
      </c>
      <c r="BP9" s="17">
        <f>+BO9-BI9</f>
        <v>-3762828</v>
      </c>
      <c r="BQ9" s="18">
        <f>(BO9/BI9)-1</f>
        <v>-0.7675492356487944</v>
      </c>
      <c r="BR9" s="25">
        <f>BO9/12</f>
        <v>94963.75</v>
      </c>
    </row>
    <row r="10" spans="1:70">
      <c r="A10" t="s">
        <v>549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33333</v>
      </c>
      <c r="AN10" s="1">
        <v>33333</v>
      </c>
      <c r="AO10" s="1">
        <v>33333</v>
      </c>
      <c r="AP10" s="1">
        <v>33333</v>
      </c>
      <c r="AQ10" s="1">
        <v>33333</v>
      </c>
      <c r="AR10" s="1">
        <v>33333</v>
      </c>
      <c r="AS10" s="1">
        <v>33333</v>
      </c>
      <c r="AT10" s="1">
        <v>33333</v>
      </c>
      <c r="AU10" s="1">
        <v>33333</v>
      </c>
      <c r="AV10" s="1">
        <v>33333</v>
      </c>
      <c r="AW10" s="1">
        <v>33333</v>
      </c>
      <c r="AX10" s="1">
        <v>33333</v>
      </c>
      <c r="AY10" s="1"/>
      <c r="BA10" s="21">
        <f>SUM(C10:N10)</f>
        <v>0</v>
      </c>
      <c r="BB10" s="22">
        <f>+BA10/12</f>
        <v>0</v>
      </c>
      <c r="BD10" s="7">
        <f>SUM(O10:Z10)</f>
        <v>0</v>
      </c>
      <c r="BE10" s="7">
        <f>+BD10-BA10</f>
        <v>0</v>
      </c>
      <c r="BF10" s="8" t="e">
        <f>(BD10/BA10)-1</f>
        <v>#DIV/0!</v>
      </c>
      <c r="BG10" s="7">
        <f>BD10/12</f>
        <v>0</v>
      </c>
      <c r="BI10" s="12">
        <f>+SUM(AA10:AL10)</f>
        <v>0</v>
      </c>
      <c r="BJ10" s="12">
        <f>+BI10-BD10</f>
        <v>0</v>
      </c>
      <c r="BK10" s="13" t="e">
        <f>(BI10/BD10)-1</f>
        <v>#DIV/0!</v>
      </c>
      <c r="BL10" s="24">
        <f>SUM(AA10:AH10)/8</f>
        <v>0</v>
      </c>
      <c r="BM10" s="24">
        <f>SUM(AI10:AL10)/4</f>
        <v>0</v>
      </c>
      <c r="BO10" s="17">
        <f>+SUM(AM10:AX10)</f>
        <v>399996</v>
      </c>
      <c r="BP10" s="17">
        <f>+BO10-BI10</f>
        <v>399996</v>
      </c>
      <c r="BQ10" s="18" t="e">
        <f>(BO10/BI10)-1</f>
        <v>#DIV/0!</v>
      </c>
      <c r="BR10" s="25">
        <f>BO10/12</f>
        <v>33333</v>
      </c>
    </row>
    <row r="11" spans="1:70">
      <c r="A11" t="s">
        <v>11</v>
      </c>
      <c r="B11" t="s">
        <v>12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BA11" s="21"/>
      <c r="BB11" s="22"/>
      <c r="BD11" s="7"/>
      <c r="BE11" s="7"/>
      <c r="BF11" s="8"/>
      <c r="BG11" s="7"/>
      <c r="BI11" s="12"/>
      <c r="BJ11" s="12"/>
      <c r="BK11" s="13"/>
      <c r="BL11" s="24"/>
      <c r="BM11" s="24"/>
      <c r="BO11" s="17"/>
      <c r="BP11" s="17"/>
      <c r="BQ11" s="18"/>
      <c r="BR11" s="25"/>
    </row>
    <row r="12" spans="1:70">
      <c r="A12" t="s">
        <v>550</v>
      </c>
      <c r="C12" s="1">
        <v>582632</v>
      </c>
      <c r="D12" s="1">
        <v>549203</v>
      </c>
      <c r="E12" s="1">
        <v>571407</v>
      </c>
      <c r="F12" s="1">
        <v>569392</v>
      </c>
      <c r="G12" s="1">
        <v>576150</v>
      </c>
      <c r="H12" s="1">
        <v>559873</v>
      </c>
      <c r="I12" s="1">
        <v>575008</v>
      </c>
      <c r="J12" s="1">
        <v>577030</v>
      </c>
      <c r="K12" s="1">
        <v>564987</v>
      </c>
      <c r="L12" s="1">
        <v>574540</v>
      </c>
      <c r="M12" s="1">
        <v>568131</v>
      </c>
      <c r="N12" s="1">
        <v>574817</v>
      </c>
      <c r="O12" s="1">
        <v>574155</v>
      </c>
      <c r="P12" s="1">
        <v>555337</v>
      </c>
      <c r="Q12" s="1">
        <v>572446</v>
      </c>
      <c r="R12" s="1">
        <v>564081</v>
      </c>
      <c r="S12" s="1">
        <v>565109</v>
      </c>
      <c r="T12" s="1">
        <v>559413</v>
      </c>
      <c r="U12" s="1">
        <v>562311</v>
      </c>
      <c r="V12" s="1">
        <v>574064</v>
      </c>
      <c r="W12" s="1">
        <v>554063</v>
      </c>
      <c r="X12" s="1">
        <v>543561</v>
      </c>
      <c r="Y12" s="1">
        <v>548515</v>
      </c>
      <c r="Z12" s="1">
        <v>549071</v>
      </c>
      <c r="AA12" s="1">
        <v>550872</v>
      </c>
      <c r="AB12" s="1">
        <v>525563</v>
      </c>
      <c r="AC12" s="1">
        <v>543926</v>
      </c>
      <c r="AD12" s="1">
        <v>534669</v>
      </c>
      <c r="AE12" s="1">
        <v>527173</v>
      </c>
      <c r="AF12" s="1">
        <v>516502</v>
      </c>
      <c r="AG12" s="1">
        <v>524304</v>
      </c>
      <c r="AH12" s="1">
        <v>521966</v>
      </c>
      <c r="AI12" s="1">
        <v>233789</v>
      </c>
      <c r="AJ12" s="1">
        <v>233795</v>
      </c>
      <c r="AK12" s="1">
        <v>94915</v>
      </c>
      <c r="AL12" s="1">
        <v>94919</v>
      </c>
      <c r="AM12" s="1">
        <v>128258</v>
      </c>
      <c r="AN12" s="1">
        <v>128264</v>
      </c>
      <c r="AO12" s="1">
        <v>128270</v>
      </c>
      <c r="AP12" s="1">
        <v>128276</v>
      </c>
      <c r="AQ12" s="1">
        <v>128283</v>
      </c>
      <c r="AR12" s="1">
        <v>128289</v>
      </c>
      <c r="AS12" s="1">
        <v>128302</v>
      </c>
      <c r="AT12" s="1">
        <v>128311</v>
      </c>
      <c r="AU12" s="1">
        <v>128318</v>
      </c>
      <c r="AV12" s="1">
        <v>128325</v>
      </c>
      <c r="AW12" s="1">
        <v>128331</v>
      </c>
      <c r="AX12" s="1">
        <v>128338</v>
      </c>
      <c r="AY12" s="1"/>
      <c r="BA12" s="21">
        <f>SUM(C12:N12)</f>
        <v>6843170</v>
      </c>
      <c r="BB12" s="22">
        <f>+BA12/12</f>
        <v>570264.16666666663</v>
      </c>
      <c r="BD12" s="7">
        <f>SUM(O12:Z12)</f>
        <v>6722126</v>
      </c>
      <c r="BE12" s="7">
        <f>+BD12-BA12</f>
        <v>-121044</v>
      </c>
      <c r="BF12" s="8">
        <f>(BD12/BA12)-1</f>
        <v>-1.768829358323698E-2</v>
      </c>
      <c r="BG12" s="7">
        <f>BD12/12</f>
        <v>560177.16666666663</v>
      </c>
      <c r="BI12" s="12">
        <f>+SUM(AA12:AL12)</f>
        <v>4902393</v>
      </c>
      <c r="BJ12" s="12">
        <f>+BI12-BD12</f>
        <v>-1819733</v>
      </c>
      <c r="BK12" s="13">
        <f>(BI12/BD12)-1</f>
        <v>-0.27070795757175636</v>
      </c>
      <c r="BL12" s="24">
        <f>SUM(AA12:AH12)/8</f>
        <v>530621.875</v>
      </c>
      <c r="BM12" s="24">
        <f>SUM(AI12:AL12)/4</f>
        <v>164354.5</v>
      </c>
      <c r="BO12" s="17">
        <f>+SUM(AM12:AX12)</f>
        <v>1539565</v>
      </c>
      <c r="BP12" s="17">
        <f>+BO12-BI12</f>
        <v>-3362828</v>
      </c>
      <c r="BQ12" s="18">
        <f>(BO12/BI12)-1</f>
        <v>-0.68595642984966732</v>
      </c>
      <c r="BR12" s="25">
        <f>BO12/12</f>
        <v>128297.08333333333</v>
      </c>
    </row>
    <row r="13" spans="1:70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BA13" s="21"/>
      <c r="BB13" s="22"/>
      <c r="BD13" s="7"/>
      <c r="BE13" s="7"/>
      <c r="BF13" s="8"/>
      <c r="BG13" s="7"/>
      <c r="BI13" s="12"/>
      <c r="BJ13" s="12"/>
      <c r="BK13" s="13"/>
      <c r="BL13" s="24"/>
      <c r="BM13" s="24"/>
      <c r="BO13" s="17"/>
      <c r="BP13" s="17"/>
      <c r="BQ13" s="18"/>
      <c r="BR13" s="25"/>
    </row>
    <row r="14" spans="1:70">
      <c r="A14" t="s">
        <v>27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21829</v>
      </c>
      <c r="AJ14" s="1">
        <v>21722</v>
      </c>
      <c r="AK14" s="1">
        <v>21615</v>
      </c>
      <c r="AL14" s="1">
        <v>21508</v>
      </c>
      <c r="AM14" s="1">
        <v>21402</v>
      </c>
      <c r="AN14" s="1">
        <v>21295</v>
      </c>
      <c r="AO14" s="1">
        <v>21183</v>
      </c>
      <c r="AP14" s="1">
        <v>21072</v>
      </c>
      <c r="AQ14" s="1">
        <v>20735</v>
      </c>
      <c r="AR14" s="1">
        <v>19456</v>
      </c>
      <c r="AS14" s="1">
        <v>19438</v>
      </c>
      <c r="AT14" s="1">
        <v>19420</v>
      </c>
      <c r="AU14" s="1">
        <v>19402</v>
      </c>
      <c r="AV14" s="1">
        <v>18745</v>
      </c>
      <c r="AW14" s="1">
        <v>16175</v>
      </c>
      <c r="AX14" s="1">
        <v>16163</v>
      </c>
      <c r="AY14" s="1"/>
      <c r="BA14" s="21">
        <f t="shared" ref="BA14:BA27" si="0">SUM(C14:N14)</f>
        <v>0</v>
      </c>
      <c r="BB14" s="22">
        <f t="shared" ref="BB14:BB27" si="1">+BA14/12</f>
        <v>0</v>
      </c>
      <c r="BD14" s="7">
        <f t="shared" ref="BD14:BD27" si="2">SUM(O14:Z14)</f>
        <v>0</v>
      </c>
      <c r="BE14" s="7">
        <f t="shared" ref="BE14:BE27" si="3">+BD14-BA14</f>
        <v>0</v>
      </c>
      <c r="BF14" s="8" t="e">
        <f t="shared" ref="BF14:BF27" si="4">(BD14/BA14)-1</f>
        <v>#DIV/0!</v>
      </c>
      <c r="BG14" s="7">
        <f t="shared" ref="BG14:BG27" si="5">BD14/12</f>
        <v>0</v>
      </c>
      <c r="BI14" s="12">
        <f t="shared" ref="BI14:BI27" si="6">+SUM(AA14:AL14)</f>
        <v>86674</v>
      </c>
      <c r="BJ14" s="12">
        <f t="shared" ref="BJ14:BJ27" si="7">+BI14-BD14</f>
        <v>86674</v>
      </c>
      <c r="BK14" s="13" t="e">
        <f t="shared" ref="BK14:BK27" si="8">(BI14/BD14)-1</f>
        <v>#DIV/0!</v>
      </c>
      <c r="BL14" s="24">
        <f t="shared" ref="BL14:BL27" si="9">SUM(AA14:AH14)/8</f>
        <v>0</v>
      </c>
      <c r="BM14" s="24">
        <f t="shared" ref="BM14:BM27" si="10">SUM(AI14:AL14)/4</f>
        <v>21668.5</v>
      </c>
      <c r="BO14" s="17">
        <f t="shared" ref="BO14:BO27" si="11">+SUM(AM14:AX14)</f>
        <v>234486</v>
      </c>
      <c r="BP14" s="17">
        <f t="shared" ref="BP14:BP27" si="12">+BO14-BI14</f>
        <v>147812</v>
      </c>
      <c r="BQ14" s="18">
        <f t="shared" ref="BQ14:BQ27" si="13">(BO14/BI14)-1</f>
        <v>1.7053787756420609</v>
      </c>
      <c r="BR14" s="25">
        <f t="shared" ref="BR14:BR27" si="14">BO14/12</f>
        <v>19540.5</v>
      </c>
    </row>
    <row r="15" spans="1:70">
      <c r="A15" t="s">
        <v>28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1699</v>
      </c>
      <c r="AJ15" s="1">
        <v>1897</v>
      </c>
      <c r="AK15" s="1">
        <v>1896</v>
      </c>
      <c r="AL15" s="1">
        <v>1894</v>
      </c>
      <c r="AM15" s="1">
        <v>1893</v>
      </c>
      <c r="AN15" s="1">
        <v>1891</v>
      </c>
      <c r="AO15" s="1">
        <v>1889</v>
      </c>
      <c r="AP15" s="1">
        <v>1888</v>
      </c>
      <c r="AQ15" s="1">
        <v>1886</v>
      </c>
      <c r="AR15" s="1">
        <v>1884</v>
      </c>
      <c r="AS15" s="1">
        <v>1883</v>
      </c>
      <c r="AT15" s="1">
        <v>1881</v>
      </c>
      <c r="AU15" s="1">
        <v>1879</v>
      </c>
      <c r="AV15" s="1">
        <v>1878</v>
      </c>
      <c r="AW15" s="1">
        <v>1876</v>
      </c>
      <c r="AX15" s="1">
        <v>1874</v>
      </c>
      <c r="AY15" s="1"/>
      <c r="BA15" s="21">
        <f t="shared" si="0"/>
        <v>0</v>
      </c>
      <c r="BB15" s="22">
        <f t="shared" si="1"/>
        <v>0</v>
      </c>
      <c r="BD15" s="7">
        <f t="shared" si="2"/>
        <v>0</v>
      </c>
      <c r="BE15" s="7">
        <f t="shared" si="3"/>
        <v>0</v>
      </c>
      <c r="BF15" s="8" t="e">
        <f t="shared" si="4"/>
        <v>#DIV/0!</v>
      </c>
      <c r="BG15" s="7">
        <f t="shared" si="5"/>
        <v>0</v>
      </c>
      <c r="BI15" s="12">
        <f t="shared" si="6"/>
        <v>7386</v>
      </c>
      <c r="BJ15" s="12">
        <f t="shared" si="7"/>
        <v>7386</v>
      </c>
      <c r="BK15" s="13" t="e">
        <f t="shared" si="8"/>
        <v>#DIV/0!</v>
      </c>
      <c r="BL15" s="24">
        <f t="shared" si="9"/>
        <v>0</v>
      </c>
      <c r="BM15" s="24">
        <f t="shared" si="10"/>
        <v>1846.5</v>
      </c>
      <c r="BO15" s="17">
        <f t="shared" si="11"/>
        <v>22602</v>
      </c>
      <c r="BP15" s="17">
        <f t="shared" si="12"/>
        <v>15216</v>
      </c>
      <c r="BQ15" s="18">
        <f t="shared" si="13"/>
        <v>2.0601137286758733</v>
      </c>
      <c r="BR15" s="25">
        <f t="shared" si="14"/>
        <v>1883.5</v>
      </c>
    </row>
    <row r="16" spans="1:70">
      <c r="A16" t="s">
        <v>29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23528</v>
      </c>
      <c r="AJ16" s="1">
        <v>23619</v>
      </c>
      <c r="AK16" s="1">
        <v>23511</v>
      </c>
      <c r="AL16" s="1">
        <v>23402</v>
      </c>
      <c r="AM16" s="1">
        <v>23294</v>
      </c>
      <c r="AN16" s="1">
        <v>23186</v>
      </c>
      <c r="AO16" s="1">
        <v>23073</v>
      </c>
      <c r="AP16" s="1">
        <v>22959</v>
      </c>
      <c r="AQ16" s="1">
        <v>22621</v>
      </c>
      <c r="AR16" s="1">
        <v>21340</v>
      </c>
      <c r="AS16" s="1">
        <v>21320</v>
      </c>
      <c r="AT16" s="1">
        <v>21301</v>
      </c>
      <c r="AU16" s="1">
        <v>21281</v>
      </c>
      <c r="AV16" s="1">
        <v>20623</v>
      </c>
      <c r="AW16" s="1">
        <v>18051</v>
      </c>
      <c r="AX16" s="1">
        <v>18037</v>
      </c>
      <c r="AY16" s="1"/>
      <c r="BA16" s="21">
        <f t="shared" si="0"/>
        <v>0</v>
      </c>
      <c r="BB16" s="22">
        <f t="shared" si="1"/>
        <v>0</v>
      </c>
      <c r="BD16" s="7">
        <f t="shared" si="2"/>
        <v>0</v>
      </c>
      <c r="BE16" s="7">
        <f t="shared" si="3"/>
        <v>0</v>
      </c>
      <c r="BF16" s="8" t="e">
        <f t="shared" si="4"/>
        <v>#DIV/0!</v>
      </c>
      <c r="BG16" s="7">
        <f t="shared" si="5"/>
        <v>0</v>
      </c>
      <c r="BI16" s="12">
        <f t="shared" si="6"/>
        <v>94060</v>
      </c>
      <c r="BJ16" s="12">
        <f t="shared" si="7"/>
        <v>94060</v>
      </c>
      <c r="BK16" s="13" t="e">
        <f t="shared" si="8"/>
        <v>#DIV/0!</v>
      </c>
      <c r="BL16" s="24">
        <f t="shared" si="9"/>
        <v>0</v>
      </c>
      <c r="BM16" s="24">
        <f t="shared" si="10"/>
        <v>23515</v>
      </c>
      <c r="BO16" s="17">
        <f t="shared" si="11"/>
        <v>257086</v>
      </c>
      <c r="BP16" s="17">
        <f t="shared" si="12"/>
        <v>163026</v>
      </c>
      <c r="BQ16" s="18">
        <f t="shared" si="13"/>
        <v>1.7332128428662554</v>
      </c>
      <c r="BR16" s="25">
        <f t="shared" si="14"/>
        <v>21423.833333333332</v>
      </c>
    </row>
    <row r="17" spans="1:70">
      <c r="A17" t="s">
        <v>30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364345</v>
      </c>
      <c r="AJ17" s="1">
        <v>362022</v>
      </c>
      <c r="AK17" s="1">
        <v>362243</v>
      </c>
      <c r="AL17" s="1">
        <v>359929</v>
      </c>
      <c r="AM17" s="1">
        <v>358890</v>
      </c>
      <c r="AN17" s="1">
        <v>361656</v>
      </c>
      <c r="AO17" s="1">
        <v>356814</v>
      </c>
      <c r="AP17" s="1">
        <v>357053</v>
      </c>
      <c r="AQ17" s="1">
        <v>354762</v>
      </c>
      <c r="AR17" s="1">
        <v>355007</v>
      </c>
      <c r="AS17" s="1">
        <v>352725</v>
      </c>
      <c r="AT17" s="1">
        <v>351714</v>
      </c>
      <c r="AU17" s="1">
        <v>351970</v>
      </c>
      <c r="AV17" s="1">
        <v>349700</v>
      </c>
      <c r="AW17" s="1">
        <v>349963</v>
      </c>
      <c r="AX17" s="1">
        <v>347702</v>
      </c>
      <c r="AY17" s="1"/>
      <c r="BA17" s="21">
        <f t="shared" si="0"/>
        <v>0</v>
      </c>
      <c r="BB17" s="22">
        <f t="shared" si="1"/>
        <v>0</v>
      </c>
      <c r="BD17" s="7">
        <f t="shared" si="2"/>
        <v>0</v>
      </c>
      <c r="BE17" s="7">
        <f t="shared" si="3"/>
        <v>0</v>
      </c>
      <c r="BF17" s="8" t="e">
        <f t="shared" si="4"/>
        <v>#DIV/0!</v>
      </c>
      <c r="BG17" s="7">
        <f t="shared" si="5"/>
        <v>0</v>
      </c>
      <c r="BI17" s="12">
        <f t="shared" si="6"/>
        <v>1448539</v>
      </c>
      <c r="BJ17" s="12">
        <f t="shared" si="7"/>
        <v>1448539</v>
      </c>
      <c r="BK17" s="13" t="e">
        <f t="shared" si="8"/>
        <v>#DIV/0!</v>
      </c>
      <c r="BL17" s="24">
        <f t="shared" si="9"/>
        <v>0</v>
      </c>
      <c r="BM17" s="24">
        <f t="shared" si="10"/>
        <v>362134.75</v>
      </c>
      <c r="BO17" s="17">
        <f t="shared" si="11"/>
        <v>4247956</v>
      </c>
      <c r="BP17" s="17">
        <f t="shared" si="12"/>
        <v>2799417</v>
      </c>
      <c r="BQ17" s="18">
        <f t="shared" si="13"/>
        <v>1.9325796543966023</v>
      </c>
      <c r="BR17" s="25">
        <f t="shared" si="14"/>
        <v>353996.33333333331</v>
      </c>
    </row>
    <row r="18" spans="1:70">
      <c r="A18" t="s">
        <v>31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24853</v>
      </c>
      <c r="AJ18" s="1">
        <v>24656</v>
      </c>
      <c r="AK18" s="1">
        <v>24709</v>
      </c>
      <c r="AL18" s="1">
        <v>25086</v>
      </c>
      <c r="AM18" s="1">
        <v>23720</v>
      </c>
      <c r="AN18" s="1">
        <v>23066</v>
      </c>
      <c r="AO18" s="1">
        <v>22109</v>
      </c>
      <c r="AP18" s="1">
        <v>21762</v>
      </c>
      <c r="AQ18" s="1">
        <v>21281</v>
      </c>
      <c r="AR18" s="1">
        <v>20812</v>
      </c>
      <c r="AS18" s="1">
        <v>19057</v>
      </c>
      <c r="AT18" s="1">
        <v>18583</v>
      </c>
      <c r="AU18" s="1">
        <v>18268</v>
      </c>
      <c r="AV18" s="1">
        <v>17957</v>
      </c>
      <c r="AW18" s="1">
        <v>17641</v>
      </c>
      <c r="AX18" s="1">
        <v>17350</v>
      </c>
      <c r="AY18" s="1"/>
      <c r="BA18" s="21">
        <f t="shared" si="0"/>
        <v>0</v>
      </c>
      <c r="BB18" s="22">
        <f t="shared" si="1"/>
        <v>0</v>
      </c>
      <c r="BD18" s="7">
        <f t="shared" si="2"/>
        <v>0</v>
      </c>
      <c r="BE18" s="7">
        <f t="shared" si="3"/>
        <v>0</v>
      </c>
      <c r="BF18" s="8" t="e">
        <f t="shared" si="4"/>
        <v>#DIV/0!</v>
      </c>
      <c r="BG18" s="7">
        <f t="shared" si="5"/>
        <v>0</v>
      </c>
      <c r="BI18" s="12">
        <f t="shared" si="6"/>
        <v>99304</v>
      </c>
      <c r="BJ18" s="12">
        <f t="shared" si="7"/>
        <v>99304</v>
      </c>
      <c r="BK18" s="13" t="e">
        <f t="shared" si="8"/>
        <v>#DIV/0!</v>
      </c>
      <c r="BL18" s="24">
        <f t="shared" si="9"/>
        <v>0</v>
      </c>
      <c r="BM18" s="24">
        <f t="shared" si="10"/>
        <v>24826</v>
      </c>
      <c r="BO18" s="17">
        <f t="shared" si="11"/>
        <v>241606</v>
      </c>
      <c r="BP18" s="17">
        <f t="shared" si="12"/>
        <v>142302</v>
      </c>
      <c r="BQ18" s="18">
        <f t="shared" si="13"/>
        <v>1.4329936357045034</v>
      </c>
      <c r="BR18" s="25">
        <f t="shared" si="14"/>
        <v>20133.833333333332</v>
      </c>
    </row>
    <row r="19" spans="1:70">
      <c r="A19" t="s">
        <v>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389198</v>
      </c>
      <c r="AJ19" s="1">
        <v>386677</v>
      </c>
      <c r="AK19" s="1">
        <v>386952</v>
      </c>
      <c r="AL19" s="1">
        <v>385015</v>
      </c>
      <c r="AM19" s="1">
        <v>382610</v>
      </c>
      <c r="AN19" s="1">
        <v>384722</v>
      </c>
      <c r="AO19" s="1">
        <v>378923</v>
      </c>
      <c r="AP19" s="1">
        <v>378816</v>
      </c>
      <c r="AQ19" s="1">
        <v>376043</v>
      </c>
      <c r="AR19" s="1">
        <v>375819</v>
      </c>
      <c r="AS19" s="1">
        <v>371781</v>
      </c>
      <c r="AT19" s="1">
        <v>370297</v>
      </c>
      <c r="AU19" s="1">
        <v>370237</v>
      </c>
      <c r="AV19" s="1">
        <v>367657</v>
      </c>
      <c r="AW19" s="1">
        <v>367604</v>
      </c>
      <c r="AX19" s="1">
        <v>365052</v>
      </c>
      <c r="AY19" s="1"/>
      <c r="BA19" s="21">
        <f t="shared" si="0"/>
        <v>0</v>
      </c>
      <c r="BB19" s="22">
        <f t="shared" si="1"/>
        <v>0</v>
      </c>
      <c r="BD19" s="7">
        <f t="shared" si="2"/>
        <v>0</v>
      </c>
      <c r="BE19" s="7">
        <f t="shared" si="3"/>
        <v>0</v>
      </c>
      <c r="BF19" s="8" t="e">
        <f t="shared" si="4"/>
        <v>#DIV/0!</v>
      </c>
      <c r="BG19" s="7">
        <f t="shared" si="5"/>
        <v>0</v>
      </c>
      <c r="BI19" s="12">
        <f t="shared" si="6"/>
        <v>1547842</v>
      </c>
      <c r="BJ19" s="12">
        <f t="shared" si="7"/>
        <v>1547842</v>
      </c>
      <c r="BK19" s="13" t="e">
        <f t="shared" si="8"/>
        <v>#DIV/0!</v>
      </c>
      <c r="BL19" s="24">
        <f t="shared" si="9"/>
        <v>0</v>
      </c>
      <c r="BM19" s="24">
        <f t="shared" si="10"/>
        <v>386960.5</v>
      </c>
      <c r="BO19" s="17">
        <f t="shared" si="11"/>
        <v>4489561</v>
      </c>
      <c r="BP19" s="17">
        <f t="shared" si="12"/>
        <v>2941719</v>
      </c>
      <c r="BQ19" s="18">
        <f t="shared" si="13"/>
        <v>1.9005292529857698</v>
      </c>
      <c r="BR19" s="25">
        <f t="shared" si="14"/>
        <v>374130.08333333331</v>
      </c>
    </row>
    <row r="20" spans="1:70">
      <c r="A20" t="s">
        <v>33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556</v>
      </c>
      <c r="AJ20" s="1">
        <v>518</v>
      </c>
      <c r="AK20" s="1">
        <v>502</v>
      </c>
      <c r="AL20" s="1">
        <v>518</v>
      </c>
      <c r="AM20" s="1">
        <v>518</v>
      </c>
      <c r="AN20" s="1">
        <v>468</v>
      </c>
      <c r="AO20" s="1">
        <v>150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/>
      <c r="BA20" s="21">
        <f t="shared" si="0"/>
        <v>0</v>
      </c>
      <c r="BB20" s="22">
        <f t="shared" si="1"/>
        <v>0</v>
      </c>
      <c r="BD20" s="7">
        <f t="shared" si="2"/>
        <v>0</v>
      </c>
      <c r="BE20" s="7">
        <f t="shared" si="3"/>
        <v>0</v>
      </c>
      <c r="BF20" s="8" t="e">
        <f t="shared" si="4"/>
        <v>#DIV/0!</v>
      </c>
      <c r="BG20" s="7">
        <f t="shared" si="5"/>
        <v>0</v>
      </c>
      <c r="BI20" s="12">
        <f t="shared" si="6"/>
        <v>2094</v>
      </c>
      <c r="BJ20" s="12">
        <f t="shared" si="7"/>
        <v>2094</v>
      </c>
      <c r="BK20" s="13" t="e">
        <f t="shared" si="8"/>
        <v>#DIV/0!</v>
      </c>
      <c r="BL20" s="24">
        <f t="shared" si="9"/>
        <v>0</v>
      </c>
      <c r="BM20" s="24">
        <f t="shared" si="10"/>
        <v>523.5</v>
      </c>
      <c r="BO20" s="17">
        <f t="shared" si="11"/>
        <v>1136</v>
      </c>
      <c r="BP20" s="17">
        <f t="shared" si="12"/>
        <v>-958</v>
      </c>
      <c r="BQ20" s="18">
        <f t="shared" si="13"/>
        <v>-0.45749761222540597</v>
      </c>
      <c r="BR20" s="25">
        <f t="shared" si="14"/>
        <v>94.666666666666671</v>
      </c>
    </row>
    <row r="21" spans="1:70">
      <c r="A21" t="s">
        <v>34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3433</v>
      </c>
      <c r="AJ21" s="1">
        <v>3175</v>
      </c>
      <c r="AK21" s="1">
        <v>3126</v>
      </c>
      <c r="AL21" s="1">
        <v>3078</v>
      </c>
      <c r="AM21" s="1">
        <v>3030</v>
      </c>
      <c r="AN21" s="1">
        <v>2983</v>
      </c>
      <c r="AO21" s="1">
        <v>2937</v>
      </c>
      <c r="AP21" s="1">
        <v>2892</v>
      </c>
      <c r="AQ21" s="1">
        <v>2847</v>
      </c>
      <c r="AR21" s="1">
        <v>2803</v>
      </c>
      <c r="AS21" s="1">
        <v>2759</v>
      </c>
      <c r="AT21" s="1">
        <v>2717</v>
      </c>
      <c r="AU21" s="1">
        <v>2675</v>
      </c>
      <c r="AV21" s="1">
        <v>2633</v>
      </c>
      <c r="AW21" s="1">
        <v>2592</v>
      </c>
      <c r="AX21" s="1">
        <v>2552</v>
      </c>
      <c r="AY21" s="1"/>
      <c r="BA21" s="21">
        <f t="shared" si="0"/>
        <v>0</v>
      </c>
      <c r="BB21" s="22">
        <f t="shared" si="1"/>
        <v>0</v>
      </c>
      <c r="BD21" s="7">
        <f t="shared" si="2"/>
        <v>0</v>
      </c>
      <c r="BE21" s="7">
        <f t="shared" si="3"/>
        <v>0</v>
      </c>
      <c r="BF21" s="8" t="e">
        <f t="shared" si="4"/>
        <v>#DIV/0!</v>
      </c>
      <c r="BG21" s="7">
        <f t="shared" si="5"/>
        <v>0</v>
      </c>
      <c r="BI21" s="12">
        <f t="shared" si="6"/>
        <v>12812</v>
      </c>
      <c r="BJ21" s="12">
        <f t="shared" si="7"/>
        <v>12812</v>
      </c>
      <c r="BK21" s="13" t="e">
        <f t="shared" si="8"/>
        <v>#DIV/0!</v>
      </c>
      <c r="BL21" s="24">
        <f t="shared" si="9"/>
        <v>0</v>
      </c>
      <c r="BM21" s="24">
        <f t="shared" si="10"/>
        <v>3203</v>
      </c>
      <c r="BO21" s="17">
        <f t="shared" si="11"/>
        <v>33420</v>
      </c>
      <c r="BP21" s="17">
        <f t="shared" si="12"/>
        <v>20608</v>
      </c>
      <c r="BQ21" s="18">
        <f t="shared" si="13"/>
        <v>1.6084920387137061</v>
      </c>
      <c r="BR21" s="25">
        <f t="shared" si="14"/>
        <v>2785</v>
      </c>
    </row>
    <row r="22" spans="1:70">
      <c r="A22" t="s">
        <v>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3989</v>
      </c>
      <c r="AJ22" s="1">
        <v>3693</v>
      </c>
      <c r="AK22" s="1">
        <v>3628</v>
      </c>
      <c r="AL22" s="1">
        <v>3596</v>
      </c>
      <c r="AM22" s="1">
        <v>3548</v>
      </c>
      <c r="AN22" s="1">
        <v>3451</v>
      </c>
      <c r="AO22" s="1">
        <v>3087</v>
      </c>
      <c r="AP22" s="1">
        <v>2892</v>
      </c>
      <c r="AQ22" s="1">
        <v>2847</v>
      </c>
      <c r="AR22" s="1">
        <v>2803</v>
      </c>
      <c r="AS22" s="1">
        <v>2759</v>
      </c>
      <c r="AT22" s="1">
        <v>2717</v>
      </c>
      <c r="AU22" s="1">
        <v>2675</v>
      </c>
      <c r="AV22" s="1">
        <v>2633</v>
      </c>
      <c r="AW22" s="1">
        <v>2592</v>
      </c>
      <c r="AX22" s="1">
        <v>2552</v>
      </c>
      <c r="AY22" s="1"/>
      <c r="BA22" s="21">
        <f t="shared" si="0"/>
        <v>0</v>
      </c>
      <c r="BB22" s="22">
        <f t="shared" si="1"/>
        <v>0</v>
      </c>
      <c r="BD22" s="7">
        <f t="shared" si="2"/>
        <v>0</v>
      </c>
      <c r="BE22" s="7">
        <f t="shared" si="3"/>
        <v>0</v>
      </c>
      <c r="BF22" s="8" t="e">
        <f t="shared" si="4"/>
        <v>#DIV/0!</v>
      </c>
      <c r="BG22" s="7">
        <f t="shared" si="5"/>
        <v>0</v>
      </c>
      <c r="BI22" s="12">
        <f t="shared" si="6"/>
        <v>14906</v>
      </c>
      <c r="BJ22" s="12">
        <f t="shared" si="7"/>
        <v>14906</v>
      </c>
      <c r="BK22" s="13" t="e">
        <f t="shared" si="8"/>
        <v>#DIV/0!</v>
      </c>
      <c r="BL22" s="24">
        <f t="shared" si="9"/>
        <v>0</v>
      </c>
      <c r="BM22" s="24">
        <f t="shared" si="10"/>
        <v>3726.5</v>
      </c>
      <c r="BO22" s="17">
        <f t="shared" si="11"/>
        <v>34556</v>
      </c>
      <c r="BP22" s="17">
        <f t="shared" si="12"/>
        <v>19650</v>
      </c>
      <c r="BQ22" s="18">
        <f t="shared" si="13"/>
        <v>1.3182611029115794</v>
      </c>
      <c r="BR22" s="25">
        <f t="shared" si="14"/>
        <v>2879.6666666666665</v>
      </c>
    </row>
    <row r="23" spans="1:70">
      <c r="A23" t="s">
        <v>37</v>
      </c>
      <c r="B23">
        <v>120030</v>
      </c>
      <c r="C23" s="1">
        <v>0</v>
      </c>
      <c r="D23" s="1">
        <v>109238</v>
      </c>
      <c r="E23" s="1">
        <v>0</v>
      </c>
      <c r="F23" s="1">
        <v>0</v>
      </c>
      <c r="G23" s="1">
        <v>118533</v>
      </c>
      <c r="H23" s="1">
        <v>0</v>
      </c>
      <c r="I23" s="1">
        <v>0</v>
      </c>
      <c r="J23" s="1">
        <v>133054</v>
      </c>
      <c r="K23" s="1">
        <v>0</v>
      </c>
      <c r="L23" s="1">
        <v>0</v>
      </c>
      <c r="M23" s="1">
        <v>153391</v>
      </c>
      <c r="N23" s="1">
        <v>0</v>
      </c>
      <c r="O23" s="1">
        <v>0</v>
      </c>
      <c r="P23" s="1">
        <v>131836</v>
      </c>
      <c r="Q23" s="1">
        <v>0</v>
      </c>
      <c r="R23" s="1">
        <v>0</v>
      </c>
      <c r="S23" s="1">
        <v>75710</v>
      </c>
      <c r="T23" s="1">
        <v>0</v>
      </c>
      <c r="U23" s="1">
        <v>0</v>
      </c>
      <c r="V23" s="1">
        <v>35817</v>
      </c>
      <c r="W23" s="1">
        <v>0</v>
      </c>
      <c r="X23" s="1">
        <v>0</v>
      </c>
      <c r="Y23" s="1">
        <v>23610</v>
      </c>
      <c r="Z23" s="1">
        <v>0</v>
      </c>
      <c r="AA23" s="1">
        <v>0</v>
      </c>
      <c r="AB23" s="1">
        <v>23068</v>
      </c>
      <c r="AC23" s="1">
        <v>0</v>
      </c>
      <c r="AD23" s="1">
        <v>0</v>
      </c>
      <c r="AE23" s="1">
        <v>240430</v>
      </c>
      <c r="AF23" s="1">
        <v>134138</v>
      </c>
      <c r="AG23" s="1">
        <v>137831</v>
      </c>
      <c r="AH23" s="1">
        <v>99759</v>
      </c>
      <c r="AI23" s="1">
        <v>58249</v>
      </c>
      <c r="AJ23" s="1">
        <v>20610</v>
      </c>
      <c r="AK23" s="1">
        <v>19945</v>
      </c>
      <c r="AL23" s="1">
        <v>20088</v>
      </c>
      <c r="AM23" s="1">
        <v>19567</v>
      </c>
      <c r="AN23" s="1">
        <v>17673</v>
      </c>
      <c r="AO23" s="1">
        <v>19021</v>
      </c>
      <c r="AP23" s="1">
        <v>17878</v>
      </c>
      <c r="AQ23" s="1">
        <v>18474</v>
      </c>
      <c r="AR23" s="1">
        <v>17374</v>
      </c>
      <c r="AS23" s="1">
        <v>17431</v>
      </c>
      <c r="AT23" s="1">
        <v>17431</v>
      </c>
      <c r="AU23" s="1">
        <v>16340</v>
      </c>
      <c r="AV23" s="1">
        <v>16339</v>
      </c>
      <c r="AW23" s="1">
        <v>15812</v>
      </c>
      <c r="AX23" s="1">
        <v>15817</v>
      </c>
      <c r="AY23" s="1"/>
      <c r="BA23" s="21">
        <f t="shared" si="0"/>
        <v>514216</v>
      </c>
      <c r="BB23" s="22">
        <f t="shared" si="1"/>
        <v>42851.333333333336</v>
      </c>
      <c r="BD23" s="7">
        <f t="shared" si="2"/>
        <v>266973</v>
      </c>
      <c r="BE23" s="7">
        <f t="shared" si="3"/>
        <v>-247243</v>
      </c>
      <c r="BF23" s="8">
        <f t="shared" si="4"/>
        <v>-0.48081545498389777</v>
      </c>
      <c r="BG23" s="7">
        <f t="shared" si="5"/>
        <v>22247.75</v>
      </c>
      <c r="BI23" s="12">
        <f t="shared" si="6"/>
        <v>754118</v>
      </c>
      <c r="BJ23" s="12">
        <f t="shared" si="7"/>
        <v>487145</v>
      </c>
      <c r="BK23" s="13">
        <f t="shared" si="8"/>
        <v>1.8246976285991465</v>
      </c>
      <c r="BL23" s="24">
        <f t="shared" si="9"/>
        <v>79403.25</v>
      </c>
      <c r="BM23" s="24">
        <f t="shared" si="10"/>
        <v>29723</v>
      </c>
      <c r="BO23" s="17">
        <f t="shared" si="11"/>
        <v>209157</v>
      </c>
      <c r="BP23" s="17">
        <f t="shared" si="12"/>
        <v>-544961</v>
      </c>
      <c r="BQ23" s="18">
        <f t="shared" si="13"/>
        <v>-0.72264685367541948</v>
      </c>
      <c r="BR23" s="25">
        <f t="shared" si="14"/>
        <v>17429.75</v>
      </c>
    </row>
    <row r="24" spans="1:70">
      <c r="A24" t="s">
        <v>39</v>
      </c>
      <c r="B24">
        <v>120026</v>
      </c>
      <c r="C24" s="1">
        <v>2633</v>
      </c>
      <c r="D24" s="1">
        <v>2378</v>
      </c>
      <c r="E24" s="1">
        <v>2633</v>
      </c>
      <c r="F24" s="1">
        <v>2548</v>
      </c>
      <c r="G24" s="1">
        <v>2633</v>
      </c>
      <c r="H24" s="1">
        <v>2548</v>
      </c>
      <c r="I24" s="1">
        <v>2633</v>
      </c>
      <c r="J24" s="1">
        <v>2633</v>
      </c>
      <c r="K24" s="1">
        <v>2548</v>
      </c>
      <c r="L24" s="1">
        <v>2633</v>
      </c>
      <c r="M24" s="1">
        <v>2548</v>
      </c>
      <c r="N24" s="1">
        <v>2633</v>
      </c>
      <c r="O24" s="1">
        <v>2633</v>
      </c>
      <c r="P24" s="1">
        <v>2463</v>
      </c>
      <c r="Q24" s="1">
        <v>2633</v>
      </c>
      <c r="R24" s="1">
        <v>2548</v>
      </c>
      <c r="S24" s="1">
        <v>2633</v>
      </c>
      <c r="T24" s="1">
        <v>2548</v>
      </c>
      <c r="U24" s="1">
        <v>2633</v>
      </c>
      <c r="V24" s="1">
        <v>2633</v>
      </c>
      <c r="W24" s="1">
        <v>2548</v>
      </c>
      <c r="X24" s="1">
        <v>2633</v>
      </c>
      <c r="Y24" s="1">
        <v>2548</v>
      </c>
      <c r="Z24" s="1">
        <v>655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/>
      <c r="BA24" s="21">
        <f t="shared" si="0"/>
        <v>31001</v>
      </c>
      <c r="BB24" s="22">
        <f t="shared" si="1"/>
        <v>2583.4166666666665</v>
      </c>
      <c r="BD24" s="7">
        <f t="shared" si="2"/>
        <v>29108</v>
      </c>
      <c r="BE24" s="7">
        <f t="shared" si="3"/>
        <v>-1893</v>
      </c>
      <c r="BF24" s="8">
        <f t="shared" si="4"/>
        <v>-6.1062546369471948E-2</v>
      </c>
      <c r="BG24" s="7">
        <f t="shared" si="5"/>
        <v>2425.6666666666665</v>
      </c>
      <c r="BI24" s="12">
        <f t="shared" si="6"/>
        <v>0</v>
      </c>
      <c r="BJ24" s="12">
        <f t="shared" si="7"/>
        <v>-29108</v>
      </c>
      <c r="BK24" s="13">
        <f t="shared" si="8"/>
        <v>-1</v>
      </c>
      <c r="BL24" s="24">
        <f t="shared" si="9"/>
        <v>0</v>
      </c>
      <c r="BM24" s="24">
        <f t="shared" si="10"/>
        <v>0</v>
      </c>
      <c r="BO24" s="17">
        <f t="shared" si="11"/>
        <v>0</v>
      </c>
      <c r="BP24" s="17">
        <f t="shared" si="12"/>
        <v>0</v>
      </c>
      <c r="BQ24" s="18" t="e">
        <f t="shared" si="13"/>
        <v>#DIV/0!</v>
      </c>
      <c r="BR24" s="25">
        <f t="shared" si="14"/>
        <v>0</v>
      </c>
    </row>
    <row r="25" spans="1:70">
      <c r="A25" t="s">
        <v>44</v>
      </c>
      <c r="B25">
        <v>120024</v>
      </c>
      <c r="C25" s="1">
        <v>1067</v>
      </c>
      <c r="D25" s="1">
        <v>0</v>
      </c>
      <c r="E25" s="1">
        <v>0</v>
      </c>
      <c r="F25" s="1">
        <v>1208</v>
      </c>
      <c r="G25" s="1">
        <v>0</v>
      </c>
      <c r="H25" s="1">
        <v>0</v>
      </c>
      <c r="I25" s="1">
        <v>1336</v>
      </c>
      <c r="J25" s="1">
        <v>0</v>
      </c>
      <c r="K25" s="1">
        <v>0</v>
      </c>
      <c r="L25" s="1">
        <v>1412</v>
      </c>
      <c r="M25" s="1">
        <v>0</v>
      </c>
      <c r="N25" s="1">
        <v>0</v>
      </c>
      <c r="O25" s="1">
        <v>1443</v>
      </c>
      <c r="P25" s="1">
        <v>0</v>
      </c>
      <c r="Q25" s="1">
        <v>0</v>
      </c>
      <c r="R25" s="1">
        <v>1249</v>
      </c>
      <c r="S25" s="1">
        <v>0</v>
      </c>
      <c r="T25" s="1">
        <v>0</v>
      </c>
      <c r="U25" s="1">
        <v>1249</v>
      </c>
      <c r="V25" s="1">
        <v>0</v>
      </c>
      <c r="W25" s="1">
        <v>0</v>
      </c>
      <c r="X25" s="1">
        <v>0</v>
      </c>
      <c r="Y25" s="1">
        <v>1267</v>
      </c>
      <c r="Z25" s="1">
        <v>0</v>
      </c>
      <c r="AA25" s="1">
        <v>1144</v>
      </c>
      <c r="AB25" s="1">
        <v>0</v>
      </c>
      <c r="AC25" s="1">
        <v>0</v>
      </c>
      <c r="AD25" s="1">
        <v>0</v>
      </c>
      <c r="AE25" s="1">
        <v>0</v>
      </c>
      <c r="AF25" s="1">
        <v>2208</v>
      </c>
      <c r="AG25" s="1">
        <v>0</v>
      </c>
      <c r="AH25" s="1">
        <v>-163</v>
      </c>
      <c r="AI25" s="1">
        <v>-158</v>
      </c>
      <c r="AJ25" s="1">
        <v>-163</v>
      </c>
      <c r="AK25" s="1">
        <v>-158</v>
      </c>
      <c r="AL25" s="1">
        <v>-163</v>
      </c>
      <c r="AM25" s="1">
        <v>-163</v>
      </c>
      <c r="AN25" s="1">
        <v>-147</v>
      </c>
      <c r="AO25" s="1">
        <v>-163</v>
      </c>
      <c r="AP25" s="1">
        <v>-158</v>
      </c>
      <c r="AQ25" s="1">
        <v>-163</v>
      </c>
      <c r="AR25" s="1">
        <v>-158</v>
      </c>
      <c r="AS25" s="1">
        <v>-163</v>
      </c>
      <c r="AT25" s="1">
        <v>-163</v>
      </c>
      <c r="AU25" s="1">
        <v>-158</v>
      </c>
      <c r="AV25" s="1">
        <v>-163</v>
      </c>
      <c r="AW25" s="1">
        <v>-158</v>
      </c>
      <c r="AX25" s="1">
        <v>-163</v>
      </c>
      <c r="AY25" s="1"/>
      <c r="BA25" s="21">
        <f t="shared" si="0"/>
        <v>5023</v>
      </c>
      <c r="BB25" s="22">
        <f t="shared" si="1"/>
        <v>418.58333333333331</v>
      </c>
      <c r="BD25" s="7">
        <f t="shared" si="2"/>
        <v>5208</v>
      </c>
      <c r="BE25" s="7">
        <f t="shared" si="3"/>
        <v>185</v>
      </c>
      <c r="BF25" s="8">
        <f t="shared" si="4"/>
        <v>3.6830579335058733E-2</v>
      </c>
      <c r="BG25" s="7">
        <f t="shared" si="5"/>
        <v>434</v>
      </c>
      <c r="BI25" s="12">
        <f t="shared" si="6"/>
        <v>2547</v>
      </c>
      <c r="BJ25" s="12">
        <f t="shared" si="7"/>
        <v>-2661</v>
      </c>
      <c r="BK25" s="13">
        <f t="shared" si="8"/>
        <v>-0.51094470046082952</v>
      </c>
      <c r="BL25" s="24">
        <f t="shared" si="9"/>
        <v>398.625</v>
      </c>
      <c r="BM25" s="24">
        <f t="shared" si="10"/>
        <v>-160.5</v>
      </c>
      <c r="BO25" s="17">
        <f t="shared" si="11"/>
        <v>-1920</v>
      </c>
      <c r="BP25" s="17">
        <f t="shared" si="12"/>
        <v>-4467</v>
      </c>
      <c r="BQ25" s="18">
        <f t="shared" si="13"/>
        <v>-1.7538280329799765</v>
      </c>
      <c r="BR25" s="25">
        <f t="shared" si="14"/>
        <v>-160</v>
      </c>
    </row>
    <row r="26" spans="1:70">
      <c r="A26" t="s">
        <v>551</v>
      </c>
      <c r="B26">
        <v>120034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35418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19614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/>
      <c r="BA26" s="21">
        <f t="shared" si="0"/>
        <v>35418</v>
      </c>
      <c r="BB26" s="22">
        <f t="shared" si="1"/>
        <v>2951.5</v>
      </c>
      <c r="BD26" s="7">
        <f t="shared" si="2"/>
        <v>19614</v>
      </c>
      <c r="BE26" s="7">
        <f t="shared" si="3"/>
        <v>-15804</v>
      </c>
      <c r="BF26" s="8">
        <f t="shared" si="4"/>
        <v>-0.44621378959850921</v>
      </c>
      <c r="BG26" s="7">
        <f t="shared" si="5"/>
        <v>1634.5</v>
      </c>
      <c r="BI26" s="12">
        <f t="shared" si="6"/>
        <v>0</v>
      </c>
      <c r="BJ26" s="12">
        <f t="shared" si="7"/>
        <v>-19614</v>
      </c>
      <c r="BK26" s="13">
        <f t="shared" si="8"/>
        <v>-1</v>
      </c>
      <c r="BL26" s="24">
        <f t="shared" si="9"/>
        <v>0</v>
      </c>
      <c r="BM26" s="24">
        <f t="shared" si="10"/>
        <v>0</v>
      </c>
      <c r="BO26" s="17">
        <f t="shared" si="11"/>
        <v>0</v>
      </c>
      <c r="BP26" s="17">
        <f t="shared" si="12"/>
        <v>0</v>
      </c>
      <c r="BQ26" s="18" t="e">
        <f t="shared" si="13"/>
        <v>#DIV/0!</v>
      </c>
      <c r="BR26" s="25">
        <f t="shared" si="14"/>
        <v>0</v>
      </c>
    </row>
    <row r="27" spans="1:70">
      <c r="A27" t="s">
        <v>49</v>
      </c>
      <c r="B27">
        <v>120037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58672</v>
      </c>
      <c r="L27" s="1">
        <v>0</v>
      </c>
      <c r="M27" s="1">
        <v>0</v>
      </c>
      <c r="N27" s="1">
        <v>66647</v>
      </c>
      <c r="O27" s="1">
        <v>0</v>
      </c>
      <c r="P27" s="1">
        <v>0</v>
      </c>
      <c r="Q27" s="1">
        <v>66786</v>
      </c>
      <c r="R27" s="1">
        <v>0</v>
      </c>
      <c r="S27" s="1">
        <v>0</v>
      </c>
      <c r="T27" s="1">
        <v>67656</v>
      </c>
      <c r="U27" s="1">
        <v>0</v>
      </c>
      <c r="V27" s="1">
        <v>0</v>
      </c>
      <c r="W27" s="1">
        <v>69296</v>
      </c>
      <c r="X27" s="1">
        <v>0</v>
      </c>
      <c r="Y27" s="1">
        <v>0</v>
      </c>
      <c r="Z27" s="1">
        <v>70209</v>
      </c>
      <c r="AA27" s="1">
        <v>0</v>
      </c>
      <c r="AB27" s="1">
        <v>0</v>
      </c>
      <c r="AC27" s="1">
        <v>69578</v>
      </c>
      <c r="AD27" s="1">
        <v>0</v>
      </c>
      <c r="AE27" s="1">
        <v>0</v>
      </c>
      <c r="AF27" s="1">
        <v>71262</v>
      </c>
      <c r="AG27" s="1">
        <v>0</v>
      </c>
      <c r="AH27" s="1">
        <v>0</v>
      </c>
      <c r="AI27" s="1">
        <v>22768</v>
      </c>
      <c r="AJ27" s="1">
        <v>23526</v>
      </c>
      <c r="AK27" s="1">
        <v>22768</v>
      </c>
      <c r="AL27" s="1">
        <v>23526</v>
      </c>
      <c r="AM27" s="1">
        <v>23526</v>
      </c>
      <c r="AN27" s="1">
        <v>21250</v>
      </c>
      <c r="AO27" s="1">
        <v>23526</v>
      </c>
      <c r="AP27" s="1">
        <v>22768</v>
      </c>
      <c r="AQ27" s="1">
        <v>23526</v>
      </c>
      <c r="AR27" s="1">
        <v>22768</v>
      </c>
      <c r="AS27" s="1">
        <v>23526</v>
      </c>
      <c r="AT27" s="1">
        <v>23526</v>
      </c>
      <c r="AU27" s="1">
        <v>22768</v>
      </c>
      <c r="AV27" s="1">
        <v>23526</v>
      </c>
      <c r="AW27" s="1">
        <v>22768</v>
      </c>
      <c r="AX27" s="1">
        <v>23526</v>
      </c>
      <c r="AY27" s="1"/>
      <c r="BA27" s="21">
        <f t="shared" si="0"/>
        <v>125319</v>
      </c>
      <c r="BB27" s="22">
        <f t="shared" si="1"/>
        <v>10443.25</v>
      </c>
      <c r="BD27" s="7">
        <f t="shared" si="2"/>
        <v>273947</v>
      </c>
      <c r="BE27" s="7">
        <f t="shared" si="3"/>
        <v>148628</v>
      </c>
      <c r="BF27" s="8">
        <f t="shared" si="4"/>
        <v>1.1859973348015864</v>
      </c>
      <c r="BG27" s="7">
        <f t="shared" si="5"/>
        <v>22828.916666666668</v>
      </c>
      <c r="BI27" s="12">
        <f t="shared" si="6"/>
        <v>233428</v>
      </c>
      <c r="BJ27" s="12">
        <f t="shared" si="7"/>
        <v>-40519</v>
      </c>
      <c r="BK27" s="13">
        <f t="shared" si="8"/>
        <v>-0.14790817201867512</v>
      </c>
      <c r="BL27" s="24">
        <f t="shared" si="9"/>
        <v>17605</v>
      </c>
      <c r="BM27" s="24">
        <f t="shared" si="10"/>
        <v>23147</v>
      </c>
      <c r="BO27" s="17">
        <f t="shared" si="11"/>
        <v>277004</v>
      </c>
      <c r="BP27" s="17">
        <f t="shared" si="12"/>
        <v>43576</v>
      </c>
      <c r="BQ27" s="18">
        <f t="shared" si="13"/>
        <v>0.18667854756070401</v>
      </c>
      <c r="BR27" s="25">
        <f t="shared" si="14"/>
        <v>23083.666666666668</v>
      </c>
    </row>
    <row r="28" spans="1:70">
      <c r="A28" t="s">
        <v>11</v>
      </c>
      <c r="B28" t="s">
        <v>12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BA28" s="21"/>
      <c r="BB28" s="22"/>
      <c r="BD28" s="7"/>
      <c r="BE28" s="7"/>
      <c r="BF28" s="8"/>
      <c r="BG28" s="7"/>
      <c r="BI28" s="12"/>
      <c r="BJ28" s="12"/>
      <c r="BK28" s="13"/>
      <c r="BL28" s="24"/>
      <c r="BM28" s="24"/>
      <c r="BO28" s="17"/>
      <c r="BP28" s="17"/>
      <c r="BQ28" s="18"/>
      <c r="BR28" s="25"/>
    </row>
    <row r="29" spans="1:70">
      <c r="A29" t="s">
        <v>552</v>
      </c>
      <c r="C29" s="1">
        <v>3700</v>
      </c>
      <c r="D29" s="1">
        <v>111616</v>
      </c>
      <c r="E29" s="1">
        <v>2633</v>
      </c>
      <c r="F29" s="1">
        <v>3756</v>
      </c>
      <c r="G29" s="1">
        <v>121166</v>
      </c>
      <c r="H29" s="1">
        <v>2548</v>
      </c>
      <c r="I29" s="1">
        <v>3969</v>
      </c>
      <c r="J29" s="1">
        <v>135687</v>
      </c>
      <c r="K29" s="1">
        <v>61220</v>
      </c>
      <c r="L29" s="1">
        <v>4045</v>
      </c>
      <c r="M29" s="1">
        <v>155939</v>
      </c>
      <c r="N29" s="1">
        <v>104698</v>
      </c>
      <c r="O29" s="1">
        <v>4076</v>
      </c>
      <c r="P29" s="1">
        <v>134299</v>
      </c>
      <c r="Q29" s="1">
        <v>69419</v>
      </c>
      <c r="R29" s="1">
        <v>3797</v>
      </c>
      <c r="S29" s="1">
        <v>78343</v>
      </c>
      <c r="T29" s="1">
        <v>70204</v>
      </c>
      <c r="U29" s="1">
        <v>3882</v>
      </c>
      <c r="V29" s="1">
        <v>38450</v>
      </c>
      <c r="W29" s="1">
        <v>71844</v>
      </c>
      <c r="X29" s="1">
        <v>2633</v>
      </c>
      <c r="Y29" s="1">
        <v>27425</v>
      </c>
      <c r="Z29" s="1">
        <v>90478</v>
      </c>
      <c r="AA29" s="1">
        <v>1144</v>
      </c>
      <c r="AB29" s="1">
        <v>23068</v>
      </c>
      <c r="AC29" s="1">
        <v>69578</v>
      </c>
      <c r="AD29" s="1">
        <v>0</v>
      </c>
      <c r="AE29" s="1">
        <v>240430</v>
      </c>
      <c r="AF29" s="1">
        <v>207608</v>
      </c>
      <c r="AG29" s="1">
        <v>137831</v>
      </c>
      <c r="AH29" s="1">
        <v>99596</v>
      </c>
      <c r="AI29" s="1">
        <v>80859</v>
      </c>
      <c r="AJ29" s="1">
        <v>43973</v>
      </c>
      <c r="AK29" s="1">
        <v>42555</v>
      </c>
      <c r="AL29" s="1">
        <v>43452</v>
      </c>
      <c r="AM29" s="1">
        <v>42930</v>
      </c>
      <c r="AN29" s="1">
        <v>38776</v>
      </c>
      <c r="AO29" s="1">
        <v>42384</v>
      </c>
      <c r="AP29" s="1">
        <v>40488</v>
      </c>
      <c r="AQ29" s="1">
        <v>41838</v>
      </c>
      <c r="AR29" s="1">
        <v>39984</v>
      </c>
      <c r="AS29" s="1">
        <v>40795</v>
      </c>
      <c r="AT29" s="1">
        <v>40795</v>
      </c>
      <c r="AU29" s="1">
        <v>38950</v>
      </c>
      <c r="AV29" s="1">
        <v>39702</v>
      </c>
      <c r="AW29" s="1">
        <v>38422</v>
      </c>
      <c r="AX29" s="1">
        <v>39181</v>
      </c>
      <c r="AY29" s="1"/>
      <c r="BA29" s="21">
        <f>SUM(C29:N29)</f>
        <v>710977</v>
      </c>
      <c r="BB29" s="22">
        <f>+BA29/12</f>
        <v>59248.083333333336</v>
      </c>
      <c r="BD29" s="7">
        <f>SUM(O29:Z29)</f>
        <v>594850</v>
      </c>
      <c r="BE29" s="7">
        <f>+BD29-BA29</f>
        <v>-116127</v>
      </c>
      <c r="BF29" s="8">
        <f>(BD29/BA29)-1</f>
        <v>-0.16333439759654678</v>
      </c>
      <c r="BG29" s="7">
        <f>BD29/12</f>
        <v>49570.833333333336</v>
      </c>
      <c r="BI29" s="12">
        <f>+SUM(AA29:AL29)</f>
        <v>990094</v>
      </c>
      <c r="BJ29" s="12">
        <f>+BI29-BD29</f>
        <v>395244</v>
      </c>
      <c r="BK29" s="13">
        <f>(BI29/BD29)-1</f>
        <v>0.66444313692527524</v>
      </c>
      <c r="BL29" s="24">
        <f>SUM(AA29:AH29)/8</f>
        <v>97406.875</v>
      </c>
      <c r="BM29" s="24">
        <f>SUM(AI29:AL29)/4</f>
        <v>52709.75</v>
      </c>
      <c r="BO29" s="17">
        <f>+SUM(AM29:AX29)</f>
        <v>484245</v>
      </c>
      <c r="BP29" s="17">
        <f>+BO29-BI29</f>
        <v>-505849</v>
      </c>
      <c r="BQ29" s="18">
        <f>(BO29/BI29)-1</f>
        <v>-0.51091007520498055</v>
      </c>
      <c r="BR29" s="25">
        <f>BO29/12</f>
        <v>40353.75</v>
      </c>
    </row>
    <row r="30" spans="1:70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70">
      <c r="A31" t="s">
        <v>553</v>
      </c>
      <c r="B31">
        <v>120035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1</v>
      </c>
      <c r="AY31" s="1"/>
      <c r="BA31" s="21">
        <f>SUM(C31:N31)</f>
        <v>0</v>
      </c>
      <c r="BB31" s="22">
        <f>+BA31/12</f>
        <v>0</v>
      </c>
      <c r="BD31" s="7">
        <f>SUM(O31:Z31)</f>
        <v>0</v>
      </c>
      <c r="BE31" s="7">
        <f>+BD31-BA31</f>
        <v>0</v>
      </c>
      <c r="BF31" s="8" t="e">
        <f>(BD31/BA31)-1</f>
        <v>#DIV/0!</v>
      </c>
      <c r="BG31" s="7">
        <f>BD31/12</f>
        <v>0</v>
      </c>
      <c r="BI31" s="12">
        <f>+SUM(AA31:AL31)</f>
        <v>0</v>
      </c>
      <c r="BJ31" s="12">
        <f>+BI31-BD31</f>
        <v>0</v>
      </c>
      <c r="BK31" s="13" t="e">
        <f>(BI31/BD31)-1</f>
        <v>#DIV/0!</v>
      </c>
      <c r="BL31" s="24">
        <f>SUM(AA31:AH31)/8</f>
        <v>0</v>
      </c>
      <c r="BM31" s="24">
        <f>SUM(AI31:AL31)/4</f>
        <v>0</v>
      </c>
      <c r="BO31" s="17">
        <f>+SUM(AM31:AX31)</f>
        <v>1</v>
      </c>
      <c r="BP31" s="17">
        <f>+BO31-BI31</f>
        <v>1</v>
      </c>
      <c r="BQ31" s="18" t="e">
        <f>(BO31/BI31)-1</f>
        <v>#DIV/0!</v>
      </c>
      <c r="BR31" s="25">
        <f>BO31/12</f>
        <v>8.3333333333333329E-2</v>
      </c>
    </row>
    <row r="32" spans="1:70">
      <c r="A32" t="s">
        <v>11</v>
      </c>
      <c r="B32" t="s">
        <v>12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70">
      <c r="A33" t="s">
        <v>554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1</v>
      </c>
      <c r="AY33" s="1"/>
      <c r="BA33" s="21">
        <f>SUM(C33:N33)</f>
        <v>0</v>
      </c>
      <c r="BB33" s="22">
        <f>+BA33/12</f>
        <v>0</v>
      </c>
      <c r="BD33" s="7">
        <f>SUM(O33:Z33)</f>
        <v>0</v>
      </c>
      <c r="BE33" s="7">
        <f>+BD33-BA33</f>
        <v>0</v>
      </c>
      <c r="BF33" s="8" t="e">
        <f>(BD33/BA33)-1</f>
        <v>#DIV/0!</v>
      </c>
      <c r="BG33" s="7">
        <f>BD33/12</f>
        <v>0</v>
      </c>
      <c r="BI33" s="12">
        <f>+SUM(AA33:AL33)</f>
        <v>0</v>
      </c>
      <c r="BJ33" s="12">
        <f>+BI33-BD33</f>
        <v>0</v>
      </c>
      <c r="BK33" s="13" t="e">
        <f>(BI33/BD33)-1</f>
        <v>#DIV/0!</v>
      </c>
      <c r="BL33" s="24">
        <f>SUM(AA33:AH33)/8</f>
        <v>0</v>
      </c>
      <c r="BM33" s="24">
        <f>SUM(AI33:AL33)/4</f>
        <v>0</v>
      </c>
      <c r="BO33" s="17">
        <f>+SUM(AM33:AX33)</f>
        <v>1</v>
      </c>
      <c r="BP33" s="17">
        <f>+BO33-BI33</f>
        <v>1</v>
      </c>
      <c r="BQ33" s="18" t="e">
        <f>(BO33/BI33)-1</f>
        <v>#DIV/0!</v>
      </c>
      <c r="BR33" s="25">
        <f>BO33/12</f>
        <v>8.3333333333333329E-2</v>
      </c>
    </row>
    <row r="34" spans="1:70">
      <c r="A34" t="s">
        <v>11</v>
      </c>
      <c r="B34" t="s">
        <v>12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BA34" s="21"/>
      <c r="BB34" s="22"/>
      <c r="BD34" s="7"/>
      <c r="BE34" s="7"/>
      <c r="BF34" s="8"/>
      <c r="BG34" s="7"/>
      <c r="BI34" s="12"/>
      <c r="BJ34" s="12"/>
      <c r="BK34" s="13"/>
      <c r="BL34" s="24"/>
      <c r="BM34" s="24"/>
      <c r="BO34" s="17"/>
      <c r="BP34" s="17"/>
      <c r="BQ34" s="18"/>
      <c r="BR34" s="25"/>
    </row>
    <row r="35" spans="1:70">
      <c r="A35" t="s">
        <v>555</v>
      </c>
      <c r="C35" s="1">
        <v>823043</v>
      </c>
      <c r="D35" s="1">
        <v>841766</v>
      </c>
      <c r="E35" s="1">
        <v>769474</v>
      </c>
      <c r="F35" s="1">
        <v>849793</v>
      </c>
      <c r="G35" s="1">
        <v>880714</v>
      </c>
      <c r="H35" s="1">
        <v>744838</v>
      </c>
      <c r="I35" s="1">
        <v>774462</v>
      </c>
      <c r="J35" s="1">
        <v>879371</v>
      </c>
      <c r="K35" s="1">
        <v>818187</v>
      </c>
      <c r="L35" s="1">
        <v>723729</v>
      </c>
      <c r="M35" s="1">
        <v>889937</v>
      </c>
      <c r="N35" s="1">
        <v>929628</v>
      </c>
      <c r="O35" s="1">
        <v>833860</v>
      </c>
      <c r="P35" s="1">
        <v>880764</v>
      </c>
      <c r="Q35" s="1">
        <v>945528</v>
      </c>
      <c r="R35" s="1">
        <v>865948</v>
      </c>
      <c r="S35" s="1">
        <v>956494</v>
      </c>
      <c r="T35" s="1">
        <v>922130</v>
      </c>
      <c r="U35" s="1">
        <v>864936</v>
      </c>
      <c r="V35" s="1">
        <v>905282</v>
      </c>
      <c r="W35" s="1">
        <v>888412</v>
      </c>
      <c r="X35" s="1">
        <v>818316</v>
      </c>
      <c r="Y35" s="1">
        <v>825069</v>
      </c>
      <c r="Z35" s="1">
        <v>914223</v>
      </c>
      <c r="AA35" s="1">
        <v>850377</v>
      </c>
      <c r="AB35" s="1">
        <v>826400</v>
      </c>
      <c r="AC35" s="1">
        <v>916097</v>
      </c>
      <c r="AD35" s="1">
        <v>800615</v>
      </c>
      <c r="AE35" s="1">
        <v>1286378</v>
      </c>
      <c r="AF35" s="1">
        <v>1828776</v>
      </c>
      <c r="AG35" s="1">
        <v>1882105</v>
      </c>
      <c r="AH35" s="1">
        <v>1675137</v>
      </c>
      <c r="AI35" s="1">
        <v>1576655</v>
      </c>
      <c r="AJ35" s="1">
        <v>2057904</v>
      </c>
      <c r="AK35" s="1">
        <v>1014257</v>
      </c>
      <c r="AL35" s="1">
        <v>998107</v>
      </c>
      <c r="AM35" s="1">
        <v>1019087</v>
      </c>
      <c r="AN35" s="1">
        <v>969309</v>
      </c>
      <c r="AO35" s="1">
        <v>976692</v>
      </c>
      <c r="AP35" s="1">
        <v>950641</v>
      </c>
      <c r="AQ35" s="1">
        <v>945073</v>
      </c>
      <c r="AR35" s="1">
        <v>894527</v>
      </c>
      <c r="AS35" s="1">
        <v>889951</v>
      </c>
      <c r="AT35" s="1">
        <v>882016</v>
      </c>
      <c r="AU35" s="1">
        <v>848038</v>
      </c>
      <c r="AV35" s="1">
        <v>860325</v>
      </c>
      <c r="AW35" s="1">
        <v>861298</v>
      </c>
      <c r="AX35" s="1">
        <v>858840</v>
      </c>
      <c r="AY35" s="1"/>
      <c r="BA35" s="21">
        <f>SUM(C35:N35)</f>
        <v>9924942</v>
      </c>
      <c r="BB35" s="22">
        <f>+BA35/12</f>
        <v>827078.5</v>
      </c>
      <c r="BD35" s="7">
        <f>SUM(O35:Z35)</f>
        <v>10620962</v>
      </c>
      <c r="BE35" s="7">
        <f>+BD35-BA35</f>
        <v>696020</v>
      </c>
      <c r="BF35" s="8">
        <f>(BD35/BA35)-1</f>
        <v>7.0128369515912503E-2</v>
      </c>
      <c r="BG35" s="7">
        <f>BD35/12</f>
        <v>885080.16666666663</v>
      </c>
      <c r="BI35" s="12">
        <f>+SUM(AA35:AL35)</f>
        <v>15712808</v>
      </c>
      <c r="BJ35" s="12">
        <f>+BI35-BD35</f>
        <v>5091846</v>
      </c>
      <c r="BK35" s="13">
        <f>(BI35/BD35)-1</f>
        <v>0.47941476487723045</v>
      </c>
      <c r="BL35" s="24">
        <f>SUM(AA35:AH35)/8</f>
        <v>1258235.625</v>
      </c>
      <c r="BM35" s="24">
        <f>SUM(AI35:AL35)/4</f>
        <v>1411730.75</v>
      </c>
      <c r="BO35" s="17">
        <f>+SUM(AM35:AX35)</f>
        <v>10955797</v>
      </c>
      <c r="BP35" s="17">
        <f>+BO35-BI35</f>
        <v>-4757011</v>
      </c>
      <c r="BQ35" s="18">
        <f>(BO35/BI35)-1</f>
        <v>-0.30274735107817774</v>
      </c>
      <c r="BR35" s="25">
        <f>BO35/12</f>
        <v>912983.08333333337</v>
      </c>
    </row>
    <row r="36" spans="1:70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BA36" s="21"/>
      <c r="BB36" s="22"/>
      <c r="BD36" s="7"/>
      <c r="BE36" s="7"/>
      <c r="BF36" s="8"/>
      <c r="BG36" s="7"/>
      <c r="BI36" s="12"/>
      <c r="BJ36" s="12"/>
      <c r="BK36" s="13"/>
      <c r="BL36" s="24"/>
      <c r="BM36" s="24"/>
      <c r="BO36" s="17"/>
      <c r="BP36" s="17"/>
      <c r="BQ36" s="18"/>
      <c r="BR36" s="25"/>
    </row>
    <row r="37" spans="1:70">
      <c r="A37" t="s">
        <v>58</v>
      </c>
      <c r="B37">
        <v>110005</v>
      </c>
      <c r="C37" s="1">
        <v>1065513</v>
      </c>
      <c r="D37" s="1">
        <v>959370</v>
      </c>
      <c r="E37" s="1">
        <v>1088183</v>
      </c>
      <c r="F37" s="1">
        <v>1082917</v>
      </c>
      <c r="G37" s="1">
        <v>1171530</v>
      </c>
      <c r="H37" s="1">
        <v>1179438</v>
      </c>
      <c r="I37" s="1">
        <v>1241672</v>
      </c>
      <c r="J37" s="1">
        <v>1286576</v>
      </c>
      <c r="K37" s="1">
        <v>1276351</v>
      </c>
      <c r="L37" s="1">
        <v>1333519</v>
      </c>
      <c r="M37" s="1">
        <v>1305471</v>
      </c>
      <c r="N37" s="1">
        <v>1338255</v>
      </c>
      <c r="O37" s="1">
        <v>1376299</v>
      </c>
      <c r="P37" s="1">
        <v>1298515</v>
      </c>
      <c r="Q37" s="1">
        <v>1376538</v>
      </c>
      <c r="R37" s="1">
        <v>1337993</v>
      </c>
      <c r="S37" s="1">
        <v>1361756</v>
      </c>
      <c r="T37" s="1">
        <v>1327818</v>
      </c>
      <c r="U37" s="1">
        <v>1365310</v>
      </c>
      <c r="V37" s="1">
        <v>1373184</v>
      </c>
      <c r="W37" s="1">
        <v>1337210</v>
      </c>
      <c r="X37" s="1">
        <v>1398054</v>
      </c>
      <c r="Y37" s="1">
        <v>1375716</v>
      </c>
      <c r="Z37" s="1">
        <v>1427529</v>
      </c>
      <c r="AA37" s="1">
        <v>1444602</v>
      </c>
      <c r="AB37" s="1">
        <v>1315619</v>
      </c>
      <c r="AC37" s="1">
        <v>1457017</v>
      </c>
      <c r="AD37" s="1">
        <v>1420788</v>
      </c>
      <c r="AE37" s="1">
        <v>1473829</v>
      </c>
      <c r="AF37" s="1">
        <v>1420794</v>
      </c>
      <c r="AG37" s="1">
        <v>1461190</v>
      </c>
      <c r="AH37" s="1">
        <v>1456055</v>
      </c>
      <c r="AI37" s="1">
        <v>1317990</v>
      </c>
      <c r="AJ37" s="1">
        <v>1274746</v>
      </c>
      <c r="AK37" s="1">
        <v>1250514</v>
      </c>
      <c r="AL37" s="1">
        <v>1312177</v>
      </c>
      <c r="AM37" s="1">
        <v>1324514</v>
      </c>
      <c r="AN37" s="1">
        <v>1206002</v>
      </c>
      <c r="AO37" s="1">
        <v>1354526</v>
      </c>
      <c r="AP37" s="1">
        <v>1329918</v>
      </c>
      <c r="AQ37" s="1">
        <v>1393130</v>
      </c>
      <c r="AR37" s="1">
        <v>1364893</v>
      </c>
      <c r="AS37" s="1">
        <v>1426597</v>
      </c>
      <c r="AT37" s="1">
        <v>1441141</v>
      </c>
      <c r="AU37" s="1">
        <v>1407854</v>
      </c>
      <c r="AV37" s="1">
        <v>1466333</v>
      </c>
      <c r="AW37" s="1">
        <v>1428273</v>
      </c>
      <c r="AX37" s="1">
        <v>1483303</v>
      </c>
      <c r="AY37" s="1"/>
      <c r="BA37" s="21">
        <f t="shared" ref="BA37:BA44" si="15">SUM(C37:N37)</f>
        <v>14328795</v>
      </c>
      <c r="BB37" s="22">
        <f t="shared" ref="BB37:BB44" si="16">+BA37/12</f>
        <v>1194066.25</v>
      </c>
      <c r="BD37" s="7">
        <f t="shared" ref="BD37:BD44" si="17">SUM(O37:Z37)</f>
        <v>16355922</v>
      </c>
      <c r="BE37" s="7">
        <f t="shared" ref="BE37:BE44" si="18">+BD37-BA37</f>
        <v>2027127</v>
      </c>
      <c r="BF37" s="8">
        <f t="shared" ref="BF37:BF44" si="19">(BD37/BA37)-1</f>
        <v>0.14147225918159911</v>
      </c>
      <c r="BG37" s="7">
        <f t="shared" ref="BG37:BG44" si="20">BD37/12</f>
        <v>1362993.5</v>
      </c>
      <c r="BI37" s="12">
        <f t="shared" ref="BI37:BI44" si="21">+SUM(AA37:AL37)</f>
        <v>16605321</v>
      </c>
      <c r="BJ37" s="12">
        <f t="shared" ref="BJ37:BJ44" si="22">+BI37-BD37</f>
        <v>249399</v>
      </c>
      <c r="BK37" s="13">
        <f t="shared" ref="BK37:BK44" si="23">(BI37/BD37)-1</f>
        <v>1.524823852791668E-2</v>
      </c>
      <c r="BL37" s="24">
        <f t="shared" ref="BL37:BL44" si="24">SUM(AA37:AH37)/8</f>
        <v>1431236.75</v>
      </c>
      <c r="BM37" s="24">
        <f t="shared" ref="BM37:BM44" si="25">SUM(AI37:AL37)/4</f>
        <v>1288856.75</v>
      </c>
      <c r="BO37" s="17">
        <f t="shared" ref="BO37:BO44" si="26">+SUM(AM37:AX37)</f>
        <v>16626484</v>
      </c>
      <c r="BP37" s="17">
        <f t="shared" ref="BP37:BP44" si="27">+BO37-BI37</f>
        <v>21163</v>
      </c>
      <c r="BQ37" s="18">
        <f t="shared" ref="BQ37:BQ44" si="28">(BO37/BI37)-1</f>
        <v>1.2744709963752321E-3</v>
      </c>
      <c r="BR37" s="25">
        <f t="shared" ref="BR37:BR44" si="29">BO37/12</f>
        <v>1385540.3333333333</v>
      </c>
    </row>
    <row r="38" spans="1:70">
      <c r="A38" t="s">
        <v>59</v>
      </c>
      <c r="B38">
        <v>110010</v>
      </c>
      <c r="C38" s="1">
        <v>-126465</v>
      </c>
      <c r="D38" s="1">
        <v>-131929</v>
      </c>
      <c r="E38" s="1">
        <v>-143752</v>
      </c>
      <c r="F38" s="1">
        <v>-127400</v>
      </c>
      <c r="G38" s="1">
        <v>-144863</v>
      </c>
      <c r="H38" s="1">
        <v>-140272</v>
      </c>
      <c r="I38" s="1">
        <v>-147180</v>
      </c>
      <c r="J38" s="1">
        <v>-129369</v>
      </c>
      <c r="K38" s="1">
        <v>-146649</v>
      </c>
      <c r="L38" s="1">
        <v>-135637</v>
      </c>
      <c r="M38" s="1">
        <v>-135734</v>
      </c>
      <c r="N38" s="1">
        <v>-133201</v>
      </c>
      <c r="O38" s="1">
        <v>-148843</v>
      </c>
      <c r="P38" s="1">
        <v>-136600</v>
      </c>
      <c r="Q38" s="1">
        <v>-153509</v>
      </c>
      <c r="R38" s="1">
        <v>-156050</v>
      </c>
      <c r="S38" s="1">
        <v>-137915</v>
      </c>
      <c r="T38" s="1">
        <v>-143561</v>
      </c>
      <c r="U38" s="1">
        <v>-165543</v>
      </c>
      <c r="V38" s="1">
        <v>-154438</v>
      </c>
      <c r="W38" s="1">
        <v>-151884</v>
      </c>
      <c r="X38" s="1">
        <v>-156948</v>
      </c>
      <c r="Y38" s="1">
        <v>-147668</v>
      </c>
      <c r="Z38" s="1">
        <v>-142390</v>
      </c>
      <c r="AA38" s="1">
        <v>-162852</v>
      </c>
      <c r="AB38" s="1">
        <v>-153388</v>
      </c>
      <c r="AC38" s="1">
        <v>-164148</v>
      </c>
      <c r="AD38" s="1">
        <v>-166808</v>
      </c>
      <c r="AE38" s="1">
        <v>-175821</v>
      </c>
      <c r="AF38" s="1">
        <v>-164328</v>
      </c>
      <c r="AG38" s="1">
        <v>-165071</v>
      </c>
      <c r="AH38" s="1">
        <v>-152863</v>
      </c>
      <c r="AI38" s="1">
        <v>-152863</v>
      </c>
      <c r="AJ38" s="1">
        <v>-152863</v>
      </c>
      <c r="AK38" s="1">
        <v>-152863</v>
      </c>
      <c r="AL38" s="1">
        <v>-152863</v>
      </c>
      <c r="AM38" s="1">
        <v>-152863</v>
      </c>
      <c r="AN38" s="1">
        <v>-152863</v>
      </c>
      <c r="AO38" s="1">
        <v>-152863</v>
      </c>
      <c r="AP38" s="1">
        <v>-152863</v>
      </c>
      <c r="AQ38" s="1">
        <v>-152863</v>
      </c>
      <c r="AR38" s="1">
        <v>-152863</v>
      </c>
      <c r="AS38" s="1">
        <v>-152863</v>
      </c>
      <c r="AT38" s="1">
        <v>-152863</v>
      </c>
      <c r="AU38" s="1">
        <v>-152863</v>
      </c>
      <c r="AV38" s="1">
        <v>-152863</v>
      </c>
      <c r="AW38" s="1">
        <v>-152863</v>
      </c>
      <c r="AX38" s="1">
        <v>-152863</v>
      </c>
      <c r="AY38" s="1"/>
      <c r="BA38" s="21">
        <f t="shared" si="15"/>
        <v>-1642451</v>
      </c>
      <c r="BB38" s="22">
        <f t="shared" si="16"/>
        <v>-136870.91666666666</v>
      </c>
      <c r="BD38" s="7">
        <f t="shared" si="17"/>
        <v>-1795349</v>
      </c>
      <c r="BE38" s="7">
        <f t="shared" si="18"/>
        <v>-152898</v>
      </c>
      <c r="BF38" s="8">
        <f t="shared" si="19"/>
        <v>9.3091361629662028E-2</v>
      </c>
      <c r="BG38" s="7">
        <f t="shared" si="20"/>
        <v>-149612.41666666666</v>
      </c>
      <c r="BI38" s="12">
        <f t="shared" si="21"/>
        <v>-1916731</v>
      </c>
      <c r="BJ38" s="12">
        <f t="shared" si="22"/>
        <v>-121382</v>
      </c>
      <c r="BK38" s="13">
        <f t="shared" si="23"/>
        <v>6.7609138947357872E-2</v>
      </c>
      <c r="BL38" s="24">
        <f t="shared" si="24"/>
        <v>-163159.875</v>
      </c>
      <c r="BM38" s="24">
        <f t="shared" si="25"/>
        <v>-152863</v>
      </c>
      <c r="BO38" s="17">
        <f t="shared" si="26"/>
        <v>-1834356</v>
      </c>
      <c r="BP38" s="17">
        <f t="shared" si="27"/>
        <v>82375</v>
      </c>
      <c r="BQ38" s="18">
        <f t="shared" si="28"/>
        <v>-4.2976818343314682E-2</v>
      </c>
      <c r="BR38" s="25">
        <f t="shared" si="29"/>
        <v>-152863</v>
      </c>
    </row>
    <row r="39" spans="1:70">
      <c r="A39" t="s">
        <v>60</v>
      </c>
      <c r="B39">
        <v>110015</v>
      </c>
      <c r="C39" s="1">
        <v>2639317</v>
      </c>
      <c r="D39" s="1">
        <v>2402821</v>
      </c>
      <c r="E39" s="1">
        <v>2721524</v>
      </c>
      <c r="F39" s="1">
        <v>2706380</v>
      </c>
      <c r="G39" s="1">
        <v>2872049</v>
      </c>
      <c r="H39" s="1">
        <v>2890540</v>
      </c>
      <c r="I39" s="1">
        <v>3051001</v>
      </c>
      <c r="J39" s="1">
        <v>3114398</v>
      </c>
      <c r="K39" s="1">
        <v>3058484</v>
      </c>
      <c r="L39" s="1">
        <v>3178556</v>
      </c>
      <c r="M39" s="1">
        <v>3082114</v>
      </c>
      <c r="N39" s="1">
        <v>3195844</v>
      </c>
      <c r="O39" s="1">
        <v>3205311</v>
      </c>
      <c r="P39" s="1">
        <v>3009460</v>
      </c>
      <c r="Q39" s="1">
        <v>3248150</v>
      </c>
      <c r="R39" s="1">
        <v>3117448</v>
      </c>
      <c r="S39" s="1">
        <v>3216304</v>
      </c>
      <c r="T39" s="1">
        <v>3115692</v>
      </c>
      <c r="U39" s="1">
        <v>3224897</v>
      </c>
      <c r="V39" s="1">
        <v>3242019</v>
      </c>
      <c r="W39" s="1">
        <v>3171655</v>
      </c>
      <c r="X39" s="1">
        <v>3300835</v>
      </c>
      <c r="Y39" s="1">
        <v>3234222</v>
      </c>
      <c r="Z39" s="1">
        <v>3400601</v>
      </c>
      <c r="AA39" s="1">
        <v>3454939</v>
      </c>
      <c r="AB39" s="1">
        <v>3162862</v>
      </c>
      <c r="AC39" s="1">
        <v>3575251</v>
      </c>
      <c r="AD39" s="1">
        <v>3515681</v>
      </c>
      <c r="AE39" s="1">
        <v>3670676</v>
      </c>
      <c r="AF39" s="1">
        <v>3569677</v>
      </c>
      <c r="AG39" s="1">
        <v>3703445</v>
      </c>
      <c r="AH39" s="1">
        <v>3736625</v>
      </c>
      <c r="AI39" s="1">
        <v>3350182</v>
      </c>
      <c r="AJ39" s="1">
        <v>3214760</v>
      </c>
      <c r="AK39" s="1">
        <v>3144263</v>
      </c>
      <c r="AL39" s="1">
        <v>3290967</v>
      </c>
      <c r="AM39" s="1">
        <v>3350825</v>
      </c>
      <c r="AN39" s="1">
        <v>3087883</v>
      </c>
      <c r="AO39" s="1">
        <v>3481320</v>
      </c>
      <c r="AP39" s="1">
        <v>3430976</v>
      </c>
      <c r="AQ39" s="1">
        <v>3607019</v>
      </c>
      <c r="AR39" s="1">
        <v>3545621</v>
      </c>
      <c r="AS39" s="1">
        <v>3717634</v>
      </c>
      <c r="AT39" s="1">
        <v>3766698</v>
      </c>
      <c r="AU39" s="1">
        <v>3689976</v>
      </c>
      <c r="AV39" s="1">
        <v>3853025</v>
      </c>
      <c r="AW39" s="1">
        <v>3761967</v>
      </c>
      <c r="AX39" s="1">
        <v>3916100</v>
      </c>
      <c r="AY39" s="1"/>
      <c r="BA39" s="21">
        <f t="shared" si="15"/>
        <v>34913028</v>
      </c>
      <c r="BB39" s="22">
        <f t="shared" si="16"/>
        <v>2909419</v>
      </c>
      <c r="BD39" s="7">
        <f t="shared" si="17"/>
        <v>38486594</v>
      </c>
      <c r="BE39" s="7">
        <f t="shared" si="18"/>
        <v>3573566</v>
      </c>
      <c r="BF39" s="8">
        <f t="shared" si="19"/>
        <v>0.10235623217785639</v>
      </c>
      <c r="BG39" s="7">
        <f t="shared" si="20"/>
        <v>3207216.1666666665</v>
      </c>
      <c r="BI39" s="12">
        <f t="shared" si="21"/>
        <v>41389328</v>
      </c>
      <c r="BJ39" s="12">
        <f t="shared" si="22"/>
        <v>2902734</v>
      </c>
      <c r="BK39" s="13">
        <f t="shared" si="23"/>
        <v>7.5421950822668338E-2</v>
      </c>
      <c r="BL39" s="24">
        <f t="shared" si="24"/>
        <v>3548644.5</v>
      </c>
      <c r="BM39" s="24">
        <f t="shared" si="25"/>
        <v>3250043</v>
      </c>
      <c r="BO39" s="17">
        <f t="shared" si="26"/>
        <v>43209044</v>
      </c>
      <c r="BP39" s="17">
        <f t="shared" si="27"/>
        <v>1819716</v>
      </c>
      <c r="BQ39" s="18">
        <f t="shared" si="28"/>
        <v>4.3965826166590505E-2</v>
      </c>
      <c r="BR39" s="25">
        <f t="shared" si="29"/>
        <v>3600753.6666666665</v>
      </c>
    </row>
    <row r="40" spans="1:70">
      <c r="A40" t="s">
        <v>61</v>
      </c>
      <c r="B40">
        <v>110020</v>
      </c>
      <c r="C40" s="1">
        <v>-321784</v>
      </c>
      <c r="D40" s="1">
        <v>-320534</v>
      </c>
      <c r="E40" s="1">
        <v>-336212</v>
      </c>
      <c r="F40" s="1">
        <v>-344365</v>
      </c>
      <c r="G40" s="1">
        <v>-347490</v>
      </c>
      <c r="H40" s="1">
        <v>-377790</v>
      </c>
      <c r="I40" s="1">
        <v>-366978</v>
      </c>
      <c r="J40" s="1">
        <v>-359142</v>
      </c>
      <c r="K40" s="1">
        <v>-362280</v>
      </c>
      <c r="L40" s="1">
        <v>-359714</v>
      </c>
      <c r="M40" s="1">
        <v>-337544</v>
      </c>
      <c r="N40" s="1">
        <v>-329419</v>
      </c>
      <c r="O40" s="1">
        <v>-355520</v>
      </c>
      <c r="P40" s="1">
        <v>-359593</v>
      </c>
      <c r="Q40" s="1">
        <v>-367473</v>
      </c>
      <c r="R40" s="1">
        <v>-379773</v>
      </c>
      <c r="S40" s="1">
        <v>-340946</v>
      </c>
      <c r="T40" s="1">
        <v>-370379</v>
      </c>
      <c r="U40" s="1">
        <v>-382947</v>
      </c>
      <c r="V40" s="1">
        <v>-363282</v>
      </c>
      <c r="W40" s="1">
        <v>-369454</v>
      </c>
      <c r="X40" s="1">
        <v>-380943</v>
      </c>
      <c r="Y40" s="1">
        <v>-373286</v>
      </c>
      <c r="Z40" s="1">
        <v>-371745</v>
      </c>
      <c r="AA40" s="1">
        <v>-393355</v>
      </c>
      <c r="AB40" s="1">
        <v>-399197</v>
      </c>
      <c r="AC40" s="1">
        <v>-405842</v>
      </c>
      <c r="AD40" s="1">
        <v>-433537</v>
      </c>
      <c r="AE40" s="1">
        <v>-400484</v>
      </c>
      <c r="AF40" s="1">
        <v>-409812</v>
      </c>
      <c r="AG40" s="1">
        <v>-434107</v>
      </c>
      <c r="AH40" s="1">
        <v>-398604</v>
      </c>
      <c r="AI40" s="1">
        <v>-398604</v>
      </c>
      <c r="AJ40" s="1">
        <v>-398604</v>
      </c>
      <c r="AK40" s="1">
        <v>-398604</v>
      </c>
      <c r="AL40" s="1">
        <v>-398604</v>
      </c>
      <c r="AM40" s="1">
        <v>-398604</v>
      </c>
      <c r="AN40" s="1">
        <v>-398604</v>
      </c>
      <c r="AO40" s="1">
        <v>-398604</v>
      </c>
      <c r="AP40" s="1">
        <v>-398604</v>
      </c>
      <c r="AQ40" s="1">
        <v>-398604</v>
      </c>
      <c r="AR40" s="1">
        <v>-398604</v>
      </c>
      <c r="AS40" s="1">
        <v>-398604</v>
      </c>
      <c r="AT40" s="1">
        <v>-398604</v>
      </c>
      <c r="AU40" s="1">
        <v>-398604</v>
      </c>
      <c r="AV40" s="1">
        <v>-398604</v>
      </c>
      <c r="AW40" s="1">
        <v>-398604</v>
      </c>
      <c r="AX40" s="1">
        <v>-398604</v>
      </c>
      <c r="AY40" s="1"/>
      <c r="BA40" s="21">
        <f t="shared" si="15"/>
        <v>-4163252</v>
      </c>
      <c r="BB40" s="22">
        <f t="shared" si="16"/>
        <v>-346937.66666666669</v>
      </c>
      <c r="BD40" s="7">
        <f t="shared" si="17"/>
        <v>-4415341</v>
      </c>
      <c r="BE40" s="7">
        <f t="shared" si="18"/>
        <v>-252089</v>
      </c>
      <c r="BF40" s="8">
        <f t="shared" si="19"/>
        <v>6.0550982741376158E-2</v>
      </c>
      <c r="BG40" s="7">
        <f t="shared" si="20"/>
        <v>-367945.08333333331</v>
      </c>
      <c r="BI40" s="12">
        <f t="shared" si="21"/>
        <v>-4869354</v>
      </c>
      <c r="BJ40" s="12">
        <f t="shared" si="22"/>
        <v>-454013</v>
      </c>
      <c r="BK40" s="13">
        <f t="shared" si="23"/>
        <v>0.10282625962524761</v>
      </c>
      <c r="BL40" s="24">
        <f t="shared" si="24"/>
        <v>-409367.25</v>
      </c>
      <c r="BM40" s="24">
        <f t="shared" si="25"/>
        <v>-398604</v>
      </c>
      <c r="BO40" s="17">
        <f t="shared" si="26"/>
        <v>-4783248</v>
      </c>
      <c r="BP40" s="17">
        <f t="shared" si="27"/>
        <v>86106</v>
      </c>
      <c r="BQ40" s="18">
        <f t="shared" si="28"/>
        <v>-1.768324915378916E-2</v>
      </c>
      <c r="BR40" s="25">
        <f t="shared" si="29"/>
        <v>-398604</v>
      </c>
    </row>
    <row r="41" spans="1:70">
      <c r="A41" t="s">
        <v>556</v>
      </c>
      <c r="B41">
        <v>110025</v>
      </c>
      <c r="C41" s="1">
        <v>107799</v>
      </c>
      <c r="D41" s="1">
        <v>103736</v>
      </c>
      <c r="E41" s="1">
        <v>123847</v>
      </c>
      <c r="F41" s="1">
        <v>134058</v>
      </c>
      <c r="G41" s="1">
        <v>164201</v>
      </c>
      <c r="H41" s="1">
        <v>188123</v>
      </c>
      <c r="I41" s="1">
        <v>210527</v>
      </c>
      <c r="J41" s="1">
        <v>234018</v>
      </c>
      <c r="K41" s="1">
        <v>240041</v>
      </c>
      <c r="L41" s="1">
        <v>263403</v>
      </c>
      <c r="M41" s="1">
        <v>259998</v>
      </c>
      <c r="N41" s="1">
        <v>272708</v>
      </c>
      <c r="O41" s="1">
        <v>278904</v>
      </c>
      <c r="P41" s="1">
        <v>261952</v>
      </c>
      <c r="Q41" s="1">
        <v>282796</v>
      </c>
      <c r="R41" s="1">
        <v>279899</v>
      </c>
      <c r="S41" s="1">
        <v>291343</v>
      </c>
      <c r="T41" s="1">
        <v>293569</v>
      </c>
      <c r="U41" s="1">
        <v>308920</v>
      </c>
      <c r="V41" s="1">
        <v>321670</v>
      </c>
      <c r="W41" s="1">
        <v>312321</v>
      </c>
      <c r="X41" s="1">
        <v>331995</v>
      </c>
      <c r="Y41" s="1">
        <v>318332</v>
      </c>
      <c r="Z41" s="1">
        <v>331783</v>
      </c>
      <c r="AA41" s="1">
        <v>351783</v>
      </c>
      <c r="AB41" s="1">
        <v>327714</v>
      </c>
      <c r="AC41" s="1">
        <v>373905</v>
      </c>
      <c r="AD41" s="1">
        <v>372383</v>
      </c>
      <c r="AE41" s="1">
        <v>399796</v>
      </c>
      <c r="AF41" s="1">
        <v>399359</v>
      </c>
      <c r="AG41" s="1">
        <v>419276</v>
      </c>
      <c r="AH41" s="1">
        <v>417422</v>
      </c>
      <c r="AI41" s="1">
        <v>415398</v>
      </c>
      <c r="AJ41" s="1">
        <v>441063</v>
      </c>
      <c r="AK41" s="1">
        <v>438477</v>
      </c>
      <c r="AL41" s="1">
        <v>457910</v>
      </c>
      <c r="AM41" s="1">
        <v>455688</v>
      </c>
      <c r="AN41" s="1">
        <v>409695</v>
      </c>
      <c r="AO41" s="1">
        <v>451905</v>
      </c>
      <c r="AP41" s="1">
        <v>436088</v>
      </c>
      <c r="AQ41" s="1">
        <v>449369</v>
      </c>
      <c r="AR41" s="1">
        <v>433629</v>
      </c>
      <c r="AS41" s="1">
        <v>446922</v>
      </c>
      <c r="AT41" s="1">
        <v>446071</v>
      </c>
      <c r="AU41" s="1">
        <v>431099</v>
      </c>
      <c r="AV41" s="1">
        <v>444791</v>
      </c>
      <c r="AW41" s="1">
        <v>429612</v>
      </c>
      <c r="AX41" s="1">
        <v>442896</v>
      </c>
      <c r="AY41" s="1"/>
      <c r="BA41" s="21">
        <f t="shared" si="15"/>
        <v>2302459</v>
      </c>
      <c r="BB41" s="22">
        <f t="shared" si="16"/>
        <v>191871.58333333334</v>
      </c>
      <c r="BD41" s="7">
        <f t="shared" si="17"/>
        <v>3613484</v>
      </c>
      <c r="BE41" s="7">
        <f t="shared" si="18"/>
        <v>1311025</v>
      </c>
      <c r="BF41" s="8">
        <f t="shared" si="19"/>
        <v>0.56940210444572514</v>
      </c>
      <c r="BG41" s="7">
        <f t="shared" si="20"/>
        <v>301123.66666666669</v>
      </c>
      <c r="BI41" s="12">
        <f t="shared" si="21"/>
        <v>4814486</v>
      </c>
      <c r="BJ41" s="12">
        <f t="shared" si="22"/>
        <v>1201002</v>
      </c>
      <c r="BK41" s="13">
        <f t="shared" si="23"/>
        <v>0.33236676847053981</v>
      </c>
      <c r="BL41" s="24">
        <f t="shared" si="24"/>
        <v>382704.75</v>
      </c>
      <c r="BM41" s="24">
        <f t="shared" si="25"/>
        <v>438212</v>
      </c>
      <c r="BO41" s="17">
        <f t="shared" si="26"/>
        <v>5277765</v>
      </c>
      <c r="BP41" s="17">
        <f t="shared" si="27"/>
        <v>463279</v>
      </c>
      <c r="BQ41" s="18">
        <f t="shared" si="28"/>
        <v>9.6226056114816716E-2</v>
      </c>
      <c r="BR41" s="25">
        <f t="shared" si="29"/>
        <v>439813.75</v>
      </c>
    </row>
    <row r="42" spans="1:70">
      <c r="A42" t="s">
        <v>557</v>
      </c>
      <c r="B42">
        <v>110030</v>
      </c>
      <c r="C42" s="1">
        <v>-5334</v>
      </c>
      <c r="D42" s="1">
        <v>-3721</v>
      </c>
      <c r="E42" s="1">
        <v>-6410</v>
      </c>
      <c r="F42" s="1">
        <v>-4392</v>
      </c>
      <c r="G42" s="1">
        <v>-6939</v>
      </c>
      <c r="H42" s="1">
        <v>-9171</v>
      </c>
      <c r="I42" s="1">
        <v>-6409</v>
      </c>
      <c r="J42" s="1">
        <v>-8479</v>
      </c>
      <c r="K42" s="1">
        <v>-9553</v>
      </c>
      <c r="L42" s="1">
        <v>-8285</v>
      </c>
      <c r="M42" s="1">
        <v>-6686</v>
      </c>
      <c r="N42" s="1">
        <v>-9022</v>
      </c>
      <c r="O42" s="1">
        <v>-7205</v>
      </c>
      <c r="P42" s="1">
        <v>-10350</v>
      </c>
      <c r="Q42" s="1">
        <v>-11274</v>
      </c>
      <c r="R42" s="1">
        <v>-7070</v>
      </c>
      <c r="S42" s="1">
        <v>-12681</v>
      </c>
      <c r="T42" s="1">
        <v>-13367</v>
      </c>
      <c r="U42" s="1">
        <v>-11129</v>
      </c>
      <c r="V42" s="1">
        <v>-13776</v>
      </c>
      <c r="W42" s="1">
        <v>-11396</v>
      </c>
      <c r="X42" s="1">
        <v>-13333</v>
      </c>
      <c r="Y42" s="1">
        <v>-13056</v>
      </c>
      <c r="Z42" s="1">
        <v>-9074</v>
      </c>
      <c r="AA42" s="1">
        <v>-12513</v>
      </c>
      <c r="AB42" s="1">
        <v>-12411</v>
      </c>
      <c r="AC42" s="1">
        <v>-13830</v>
      </c>
      <c r="AD42" s="1">
        <v>-20205</v>
      </c>
      <c r="AE42" s="1">
        <v>-13860</v>
      </c>
      <c r="AF42" s="1">
        <v>-14674</v>
      </c>
      <c r="AG42" s="1">
        <v>-16528</v>
      </c>
      <c r="AH42" s="1">
        <v>-12012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/>
      <c r="BA42" s="21">
        <f t="shared" si="15"/>
        <v>-84401</v>
      </c>
      <c r="BB42" s="22">
        <f t="shared" si="16"/>
        <v>-7033.416666666667</v>
      </c>
      <c r="BD42" s="7">
        <f t="shared" si="17"/>
        <v>-133711</v>
      </c>
      <c r="BE42" s="7">
        <f t="shared" si="18"/>
        <v>-49310</v>
      </c>
      <c r="BF42" s="8">
        <f t="shared" si="19"/>
        <v>0.5842347839480575</v>
      </c>
      <c r="BG42" s="7">
        <f t="shared" si="20"/>
        <v>-11142.583333333334</v>
      </c>
      <c r="BI42" s="12">
        <f t="shared" si="21"/>
        <v>-116033</v>
      </c>
      <c r="BJ42" s="12">
        <f t="shared" si="22"/>
        <v>17678</v>
      </c>
      <c r="BK42" s="13">
        <f t="shared" si="23"/>
        <v>-0.13221051371988846</v>
      </c>
      <c r="BL42" s="24">
        <f t="shared" si="24"/>
        <v>-14504.125</v>
      </c>
      <c r="BM42" s="24">
        <f t="shared" si="25"/>
        <v>0</v>
      </c>
      <c r="BO42" s="17">
        <f t="shared" si="26"/>
        <v>0</v>
      </c>
      <c r="BP42" s="17">
        <f t="shared" si="27"/>
        <v>116033</v>
      </c>
      <c r="BQ42" s="18">
        <f t="shared" si="28"/>
        <v>-1</v>
      </c>
      <c r="BR42" s="25">
        <f t="shared" si="29"/>
        <v>0</v>
      </c>
    </row>
    <row r="43" spans="1:70">
      <c r="A43" t="s">
        <v>558</v>
      </c>
      <c r="B43">
        <v>110035</v>
      </c>
      <c r="C43" s="1">
        <v>64220</v>
      </c>
      <c r="D43" s="1">
        <v>64879</v>
      </c>
      <c r="E43" s="1">
        <v>70442</v>
      </c>
      <c r="F43" s="1">
        <v>78069</v>
      </c>
      <c r="G43" s="1">
        <v>91089</v>
      </c>
      <c r="H43" s="1">
        <v>101973</v>
      </c>
      <c r="I43" s="1">
        <v>112511</v>
      </c>
      <c r="J43" s="1">
        <v>120894</v>
      </c>
      <c r="K43" s="1">
        <v>123971</v>
      </c>
      <c r="L43" s="1">
        <v>137722</v>
      </c>
      <c r="M43" s="1">
        <v>141830</v>
      </c>
      <c r="N43" s="1">
        <v>149805</v>
      </c>
      <c r="O43" s="1">
        <v>153418</v>
      </c>
      <c r="P43" s="1">
        <v>147280</v>
      </c>
      <c r="Q43" s="1">
        <v>162205</v>
      </c>
      <c r="R43" s="1">
        <v>160966</v>
      </c>
      <c r="S43" s="1">
        <v>167318</v>
      </c>
      <c r="T43" s="1">
        <v>165511</v>
      </c>
      <c r="U43" s="1">
        <v>183527</v>
      </c>
      <c r="V43" s="1">
        <v>187512</v>
      </c>
      <c r="W43" s="1">
        <v>186845</v>
      </c>
      <c r="X43" s="1">
        <v>195131</v>
      </c>
      <c r="Y43" s="1">
        <v>190157</v>
      </c>
      <c r="Z43" s="1">
        <v>208065</v>
      </c>
      <c r="AA43" s="1">
        <v>195457</v>
      </c>
      <c r="AB43" s="1">
        <v>194014</v>
      </c>
      <c r="AC43" s="1">
        <v>221074</v>
      </c>
      <c r="AD43" s="1">
        <v>220188</v>
      </c>
      <c r="AE43" s="1">
        <v>231651</v>
      </c>
      <c r="AF43" s="1">
        <v>228578</v>
      </c>
      <c r="AG43" s="1">
        <v>240816</v>
      </c>
      <c r="AH43" s="1">
        <v>242619</v>
      </c>
      <c r="AI43" s="1">
        <v>237897</v>
      </c>
      <c r="AJ43" s="1">
        <v>250937</v>
      </c>
      <c r="AK43" s="1">
        <v>247511</v>
      </c>
      <c r="AL43" s="1">
        <v>257412</v>
      </c>
      <c r="AM43" s="1">
        <v>256049</v>
      </c>
      <c r="AN43" s="1">
        <v>230143</v>
      </c>
      <c r="AO43" s="1">
        <v>253793</v>
      </c>
      <c r="AP43" s="1">
        <v>244817</v>
      </c>
      <c r="AQ43" s="1">
        <v>252178</v>
      </c>
      <c r="AR43" s="1">
        <v>243253</v>
      </c>
      <c r="AS43" s="1">
        <v>250612</v>
      </c>
      <c r="AT43" s="1">
        <v>250032</v>
      </c>
      <c r="AU43" s="1">
        <v>241535</v>
      </c>
      <c r="AV43" s="1">
        <v>249100</v>
      </c>
      <c r="AW43" s="1">
        <v>241216</v>
      </c>
      <c r="AX43" s="1">
        <v>250186</v>
      </c>
      <c r="AY43" s="1"/>
      <c r="BA43" s="21">
        <f t="shared" si="15"/>
        <v>1257405</v>
      </c>
      <c r="BB43" s="22">
        <f t="shared" si="16"/>
        <v>104783.75</v>
      </c>
      <c r="BD43" s="7">
        <f t="shared" si="17"/>
        <v>2107935</v>
      </c>
      <c r="BE43" s="7">
        <f t="shared" si="18"/>
        <v>850530</v>
      </c>
      <c r="BF43" s="8">
        <f t="shared" si="19"/>
        <v>0.67641690624739037</v>
      </c>
      <c r="BG43" s="7">
        <f t="shared" si="20"/>
        <v>175661.25</v>
      </c>
      <c r="BI43" s="12">
        <f t="shared" si="21"/>
        <v>2768154</v>
      </c>
      <c r="BJ43" s="12">
        <f t="shared" si="22"/>
        <v>660219</v>
      </c>
      <c r="BK43" s="13">
        <f t="shared" si="23"/>
        <v>0.31320652676671723</v>
      </c>
      <c r="BL43" s="24">
        <f t="shared" si="24"/>
        <v>221799.625</v>
      </c>
      <c r="BM43" s="24">
        <f t="shared" si="25"/>
        <v>248439.25</v>
      </c>
      <c r="BO43" s="17">
        <f t="shared" si="26"/>
        <v>2962914</v>
      </c>
      <c r="BP43" s="17">
        <f t="shared" si="27"/>
        <v>194760</v>
      </c>
      <c r="BQ43" s="18">
        <f t="shared" si="28"/>
        <v>7.0357357285757871E-2</v>
      </c>
      <c r="BR43" s="25">
        <f t="shared" si="29"/>
        <v>246909.5</v>
      </c>
    </row>
    <row r="44" spans="1:70">
      <c r="A44" t="s">
        <v>559</v>
      </c>
      <c r="B44">
        <v>110040</v>
      </c>
      <c r="C44" s="1">
        <v>-3464</v>
      </c>
      <c r="D44" s="1">
        <v>-2138</v>
      </c>
      <c r="E44" s="1">
        <v>-2727</v>
      </c>
      <c r="F44" s="1">
        <v>-2522</v>
      </c>
      <c r="G44" s="1">
        <v>-5522</v>
      </c>
      <c r="H44" s="1">
        <v>-5597</v>
      </c>
      <c r="I44" s="1">
        <v>-4304</v>
      </c>
      <c r="J44" s="1">
        <v>-4631</v>
      </c>
      <c r="K44" s="1">
        <v>-6071</v>
      </c>
      <c r="L44" s="1">
        <v>-4300</v>
      </c>
      <c r="M44" s="1">
        <v>-3910</v>
      </c>
      <c r="N44" s="1">
        <v>-6709</v>
      </c>
      <c r="O44" s="1">
        <v>-4528</v>
      </c>
      <c r="P44" s="1">
        <v>-3168</v>
      </c>
      <c r="Q44" s="1">
        <v>-7212</v>
      </c>
      <c r="R44" s="1">
        <v>-4337</v>
      </c>
      <c r="S44" s="1">
        <v>-4771</v>
      </c>
      <c r="T44" s="1">
        <v>-7633</v>
      </c>
      <c r="U44" s="1">
        <v>-6434</v>
      </c>
      <c r="V44" s="1">
        <v>-8084</v>
      </c>
      <c r="W44" s="1">
        <v>-7157</v>
      </c>
      <c r="X44" s="1">
        <v>-7840</v>
      </c>
      <c r="Y44" s="1">
        <v>-8207</v>
      </c>
      <c r="Z44" s="1">
        <v>-5639</v>
      </c>
      <c r="AA44" s="1">
        <v>-7165</v>
      </c>
      <c r="AB44" s="1">
        <v>-5874</v>
      </c>
      <c r="AC44" s="1">
        <v>-11482</v>
      </c>
      <c r="AD44" s="1">
        <v>-7788</v>
      </c>
      <c r="AE44" s="1">
        <v>-10541</v>
      </c>
      <c r="AF44" s="1">
        <v>-8996</v>
      </c>
      <c r="AG44" s="1">
        <v>-8447</v>
      </c>
      <c r="AH44" s="1">
        <v>-10174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/>
      <c r="BA44" s="21">
        <f t="shared" si="15"/>
        <v>-51895</v>
      </c>
      <c r="BB44" s="22">
        <f t="shared" si="16"/>
        <v>-4324.583333333333</v>
      </c>
      <c r="BD44" s="7">
        <f t="shared" si="17"/>
        <v>-75010</v>
      </c>
      <c r="BE44" s="7">
        <f t="shared" si="18"/>
        <v>-23115</v>
      </c>
      <c r="BF44" s="8">
        <f t="shared" si="19"/>
        <v>0.44541863377974766</v>
      </c>
      <c r="BG44" s="7">
        <f t="shared" si="20"/>
        <v>-6250.833333333333</v>
      </c>
      <c r="BI44" s="12">
        <f t="shared" si="21"/>
        <v>-70467</v>
      </c>
      <c r="BJ44" s="12">
        <f t="shared" si="22"/>
        <v>4543</v>
      </c>
      <c r="BK44" s="13">
        <f t="shared" si="23"/>
        <v>-6.0565257965604635E-2</v>
      </c>
      <c r="BL44" s="24">
        <f t="shared" si="24"/>
        <v>-8808.375</v>
      </c>
      <c r="BM44" s="24">
        <f t="shared" si="25"/>
        <v>0</v>
      </c>
      <c r="BO44" s="17">
        <f t="shared" si="26"/>
        <v>0</v>
      </c>
      <c r="BP44" s="17">
        <f t="shared" si="27"/>
        <v>70467</v>
      </c>
      <c r="BQ44" s="18">
        <f t="shared" si="28"/>
        <v>-1</v>
      </c>
      <c r="BR44" s="25">
        <f t="shared" si="29"/>
        <v>0</v>
      </c>
    </row>
    <row r="45" spans="1:70">
      <c r="A45" t="s">
        <v>11</v>
      </c>
      <c r="B45" t="s">
        <v>12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BA45" s="21"/>
      <c r="BB45" s="22"/>
      <c r="BD45" s="7"/>
      <c r="BE45" s="7"/>
      <c r="BF45" s="8"/>
      <c r="BG45" s="7"/>
      <c r="BI45" s="12"/>
      <c r="BJ45" s="12"/>
      <c r="BK45" s="13"/>
      <c r="BL45" s="24"/>
      <c r="BM45" s="24"/>
      <c r="BO45" s="17"/>
      <c r="BP45" s="17"/>
      <c r="BQ45" s="18"/>
      <c r="BR45" s="25"/>
    </row>
    <row r="46" spans="1:70">
      <c r="A46" t="s">
        <v>560</v>
      </c>
      <c r="C46" s="1">
        <v>3419803</v>
      </c>
      <c r="D46" s="1">
        <v>3072484</v>
      </c>
      <c r="E46" s="1">
        <v>3514895</v>
      </c>
      <c r="F46" s="1">
        <v>3522745</v>
      </c>
      <c r="G46" s="1">
        <v>3794057</v>
      </c>
      <c r="H46" s="1">
        <v>3827244</v>
      </c>
      <c r="I46" s="1">
        <v>4090840</v>
      </c>
      <c r="J46" s="1">
        <v>4254265</v>
      </c>
      <c r="K46" s="1">
        <v>4174294</v>
      </c>
      <c r="L46" s="1">
        <v>4405264</v>
      </c>
      <c r="M46" s="1">
        <v>4305539</v>
      </c>
      <c r="N46" s="1">
        <v>4478263</v>
      </c>
      <c r="O46" s="1">
        <v>4497836</v>
      </c>
      <c r="P46" s="1">
        <v>4207497</v>
      </c>
      <c r="Q46" s="1">
        <v>4530223</v>
      </c>
      <c r="R46" s="1">
        <v>4349077</v>
      </c>
      <c r="S46" s="1">
        <v>4540408</v>
      </c>
      <c r="T46" s="1">
        <v>4367650</v>
      </c>
      <c r="U46" s="1">
        <v>4516602</v>
      </c>
      <c r="V46" s="1">
        <v>4584805</v>
      </c>
      <c r="W46" s="1">
        <v>4468139</v>
      </c>
      <c r="X46" s="1">
        <v>4666950</v>
      </c>
      <c r="Y46" s="1">
        <v>4576210</v>
      </c>
      <c r="Z46" s="1">
        <v>4839130</v>
      </c>
      <c r="AA46" s="1">
        <v>4870896</v>
      </c>
      <c r="AB46" s="1">
        <v>4429339</v>
      </c>
      <c r="AC46" s="1">
        <v>5031945</v>
      </c>
      <c r="AD46" s="1">
        <v>4900702</v>
      </c>
      <c r="AE46" s="1">
        <v>5175245</v>
      </c>
      <c r="AF46" s="1">
        <v>5020598</v>
      </c>
      <c r="AG46" s="1">
        <v>5200575</v>
      </c>
      <c r="AH46" s="1">
        <v>5279070</v>
      </c>
      <c r="AI46" s="1">
        <v>4770000</v>
      </c>
      <c r="AJ46" s="1">
        <v>4630040</v>
      </c>
      <c r="AK46" s="1">
        <v>4529298</v>
      </c>
      <c r="AL46" s="1">
        <v>4766999</v>
      </c>
      <c r="AM46" s="1">
        <v>4835608</v>
      </c>
      <c r="AN46" s="1">
        <v>4382256</v>
      </c>
      <c r="AO46" s="1">
        <v>4990078</v>
      </c>
      <c r="AP46" s="1">
        <v>4890332</v>
      </c>
      <c r="AQ46" s="1">
        <v>5150229</v>
      </c>
      <c r="AR46" s="1">
        <v>5035929</v>
      </c>
      <c r="AS46" s="1">
        <v>5290299</v>
      </c>
      <c r="AT46" s="1">
        <v>5352475</v>
      </c>
      <c r="AU46" s="1">
        <v>5218997</v>
      </c>
      <c r="AV46" s="1">
        <v>5461782</v>
      </c>
      <c r="AW46" s="1">
        <v>5309601</v>
      </c>
      <c r="AX46" s="1">
        <v>5541018</v>
      </c>
      <c r="AY46" s="1"/>
      <c r="BA46" s="21">
        <f>SUM(C46:N46)</f>
        <v>46859693</v>
      </c>
      <c r="BB46" s="22">
        <f>+BA46/12</f>
        <v>3904974.4166666665</v>
      </c>
      <c r="BD46" s="7">
        <f>SUM(O46:Z46)</f>
        <v>54144527</v>
      </c>
      <c r="BE46" s="7">
        <f>+BD46-BA46</f>
        <v>7284834</v>
      </c>
      <c r="BF46" s="8">
        <f>(BD46/BA46)-1</f>
        <v>0.15546055754142474</v>
      </c>
      <c r="BG46" s="7">
        <f>BD46/12</f>
        <v>4512043.916666667</v>
      </c>
      <c r="BI46" s="12">
        <f>+SUM(AA46:AL46)</f>
        <v>58604707</v>
      </c>
      <c r="BJ46" s="12">
        <f>+BI46-BD46</f>
        <v>4460180</v>
      </c>
      <c r="BK46" s="13">
        <f>(BI46/BD46)-1</f>
        <v>8.2375454124846259E-2</v>
      </c>
      <c r="BL46" s="24">
        <f>SUM(AA46:AH46)/8</f>
        <v>4988546.25</v>
      </c>
      <c r="BM46" s="24">
        <f>SUM(AI46:AL46)/4</f>
        <v>4674084.25</v>
      </c>
      <c r="BO46" s="17">
        <f>+SUM(AM46:AX46)</f>
        <v>61458604</v>
      </c>
      <c r="BP46" s="17">
        <f>+BO46-BI46</f>
        <v>2853897</v>
      </c>
      <c r="BQ46" s="18">
        <f>(BO46/BI46)-1</f>
        <v>4.8697402411721047E-2</v>
      </c>
      <c r="BR46" s="25">
        <f>BO46/12</f>
        <v>5121550.333333333</v>
      </c>
    </row>
    <row r="47" spans="1:70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BA47" s="21"/>
      <c r="BB47" s="22"/>
      <c r="BD47" s="7"/>
      <c r="BE47" s="7"/>
      <c r="BF47" s="8"/>
      <c r="BG47" s="7"/>
      <c r="BI47" s="12"/>
      <c r="BJ47" s="12"/>
      <c r="BK47" s="13"/>
      <c r="BL47" s="24"/>
      <c r="BM47" s="24"/>
      <c r="BO47" s="17"/>
      <c r="BP47" s="17"/>
      <c r="BQ47" s="18"/>
      <c r="BR47" s="25"/>
    </row>
    <row r="48" spans="1:70">
      <c r="A48" t="s">
        <v>67</v>
      </c>
      <c r="B48">
        <v>110105</v>
      </c>
      <c r="C48" s="1">
        <v>4</v>
      </c>
      <c r="D48" s="1">
        <v>4</v>
      </c>
      <c r="E48" s="1">
        <v>3</v>
      </c>
      <c r="F48" s="1">
        <v>3</v>
      </c>
      <c r="G48" s="1">
        <v>3</v>
      </c>
      <c r="H48" s="1">
        <v>2</v>
      </c>
      <c r="I48" s="1">
        <v>2</v>
      </c>
      <c r="J48" s="1">
        <v>2</v>
      </c>
      <c r="K48" s="1">
        <v>-11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/>
      <c r="BA48" s="21">
        <f>SUM(C48:N48)</f>
        <v>12</v>
      </c>
      <c r="BB48" s="22">
        <f t="shared" ref="BB48:BB49" si="30">+BA48/12</f>
        <v>1</v>
      </c>
      <c r="BD48" s="7">
        <f>SUM(O48:Z48)</f>
        <v>0</v>
      </c>
      <c r="BE48" s="7">
        <f t="shared" ref="BE48:BE49" si="31">+BD48-BA48</f>
        <v>-12</v>
      </c>
      <c r="BF48" s="8">
        <f t="shared" ref="BF48:BF49" si="32">(BD48/BA48)-1</f>
        <v>-1</v>
      </c>
      <c r="BG48" s="7">
        <f t="shared" ref="BG48:BG49" si="33">BD48/12</f>
        <v>0</v>
      </c>
      <c r="BI48" s="12">
        <f>+SUM(AA48:AL48)</f>
        <v>0</v>
      </c>
      <c r="BJ48" s="12">
        <f t="shared" ref="BJ48:BJ49" si="34">+BI48-BD48</f>
        <v>0</v>
      </c>
      <c r="BK48" s="13" t="e">
        <f t="shared" ref="BK48:BK49" si="35">(BI48/BD48)-1</f>
        <v>#DIV/0!</v>
      </c>
      <c r="BL48" s="24">
        <f>SUM(AA48:AH48)/8</f>
        <v>0</v>
      </c>
      <c r="BM48" s="24">
        <f>SUM(AI48:AL48)/4</f>
        <v>0</v>
      </c>
      <c r="BO48" s="17">
        <f>+SUM(AM48:AX48)</f>
        <v>0</v>
      </c>
      <c r="BP48" s="17">
        <f t="shared" ref="BP48:BP49" si="36">+BO48-BI48</f>
        <v>0</v>
      </c>
      <c r="BQ48" s="18" t="e">
        <f t="shared" ref="BQ48:BQ49" si="37">(BO48/BI48)-1</f>
        <v>#DIV/0!</v>
      </c>
      <c r="BR48" s="25">
        <f t="shared" ref="BR48:BR49" si="38">BO48/12</f>
        <v>0</v>
      </c>
    </row>
    <row r="49" spans="1:70">
      <c r="A49" t="s">
        <v>71</v>
      </c>
      <c r="B49">
        <v>110110</v>
      </c>
      <c r="C49" s="1">
        <v>3</v>
      </c>
      <c r="D49" s="1">
        <v>2</v>
      </c>
      <c r="E49" s="1">
        <v>2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/>
      <c r="BA49" s="21">
        <f>SUM(C49:N49)</f>
        <v>8</v>
      </c>
      <c r="BB49" s="22">
        <f t="shared" si="30"/>
        <v>0.66666666666666663</v>
      </c>
      <c r="BD49" s="7">
        <f>SUM(O49:Z49)</f>
        <v>0</v>
      </c>
      <c r="BE49" s="7">
        <f t="shared" si="31"/>
        <v>-8</v>
      </c>
      <c r="BF49" s="8">
        <f t="shared" si="32"/>
        <v>-1</v>
      </c>
      <c r="BG49" s="7">
        <f t="shared" si="33"/>
        <v>0</v>
      </c>
      <c r="BI49" s="12">
        <f>+SUM(AA49:AL49)</f>
        <v>0</v>
      </c>
      <c r="BJ49" s="12">
        <f t="shared" si="34"/>
        <v>0</v>
      </c>
      <c r="BK49" s="13" t="e">
        <f t="shared" si="35"/>
        <v>#DIV/0!</v>
      </c>
      <c r="BL49" s="24">
        <f>SUM(AA49:AH49)/8</f>
        <v>0</v>
      </c>
      <c r="BM49" s="24">
        <f>SUM(AI49:AL49)/4</f>
        <v>0</v>
      </c>
      <c r="BO49" s="17">
        <f>+SUM(AM49:AX49)</f>
        <v>0</v>
      </c>
      <c r="BP49" s="17">
        <f t="shared" si="36"/>
        <v>0</v>
      </c>
      <c r="BQ49" s="18" t="e">
        <f t="shared" si="37"/>
        <v>#DIV/0!</v>
      </c>
      <c r="BR49" s="25">
        <f t="shared" si="38"/>
        <v>0</v>
      </c>
    </row>
    <row r="50" spans="1:70">
      <c r="A50" t="s">
        <v>11</v>
      </c>
      <c r="B50" t="s">
        <v>12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BA50" s="21"/>
      <c r="BB50" s="22"/>
      <c r="BD50" s="7"/>
      <c r="BE50" s="7"/>
      <c r="BF50" s="8"/>
      <c r="BG50" s="7"/>
      <c r="BI50" s="12"/>
      <c r="BJ50" s="12"/>
      <c r="BK50" s="13"/>
      <c r="BL50" s="24"/>
      <c r="BM50" s="24"/>
      <c r="BO50" s="17"/>
      <c r="BP50" s="17"/>
      <c r="BQ50" s="18"/>
      <c r="BR50" s="25"/>
    </row>
    <row r="51" spans="1:70">
      <c r="A51" t="s">
        <v>561</v>
      </c>
      <c r="C51" s="1">
        <v>7</v>
      </c>
      <c r="D51" s="1">
        <v>6</v>
      </c>
      <c r="E51" s="1">
        <v>5</v>
      </c>
      <c r="F51" s="1">
        <v>4</v>
      </c>
      <c r="G51" s="1">
        <v>3</v>
      </c>
      <c r="H51" s="1">
        <v>2</v>
      </c>
      <c r="I51" s="1">
        <v>2</v>
      </c>
      <c r="J51" s="1">
        <v>2</v>
      </c>
      <c r="K51" s="1">
        <v>-11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/>
      <c r="BA51" s="21">
        <f>SUM(C51:N51)</f>
        <v>20</v>
      </c>
      <c r="BB51" s="22">
        <f>+BA51/12</f>
        <v>1.6666666666666667</v>
      </c>
      <c r="BD51" s="7">
        <f>SUM(O51:Z51)</f>
        <v>0</v>
      </c>
      <c r="BE51" s="7">
        <f>+BD51-BA51</f>
        <v>-20</v>
      </c>
      <c r="BF51" s="8">
        <f>(BD51/BA51)-1</f>
        <v>-1</v>
      </c>
      <c r="BG51" s="7">
        <f>BD51/12</f>
        <v>0</v>
      </c>
      <c r="BI51" s="12">
        <f>+SUM(AA51:AL51)</f>
        <v>0</v>
      </c>
      <c r="BJ51" s="12">
        <f>+BI51-BD51</f>
        <v>0</v>
      </c>
      <c r="BK51" s="13" t="e">
        <f>(BI51/BD51)-1</f>
        <v>#DIV/0!</v>
      </c>
      <c r="BL51" s="24">
        <f>SUM(AA51:AH51)/8</f>
        <v>0</v>
      </c>
      <c r="BM51" s="24">
        <f>SUM(AI51:AL51)/4</f>
        <v>0</v>
      </c>
      <c r="BO51" s="17">
        <f>+SUM(AM51:AX51)</f>
        <v>0</v>
      </c>
      <c r="BP51" s="17">
        <f>+BO51-BI51</f>
        <v>0</v>
      </c>
      <c r="BQ51" s="18" t="e">
        <f>(BO51/BI51)-1</f>
        <v>#DIV/0!</v>
      </c>
      <c r="BR51" s="25">
        <f>BO51/12</f>
        <v>0</v>
      </c>
    </row>
    <row r="52" spans="1:70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BA52" s="21"/>
      <c r="BB52" s="22"/>
      <c r="BD52" s="7"/>
      <c r="BE52" s="7"/>
      <c r="BF52" s="8"/>
      <c r="BG52" s="7"/>
      <c r="BI52" s="12"/>
      <c r="BJ52" s="12"/>
      <c r="BK52" s="13"/>
      <c r="BL52" s="24"/>
      <c r="BM52" s="24"/>
      <c r="BO52" s="17"/>
      <c r="BP52" s="17"/>
      <c r="BQ52" s="18"/>
      <c r="BR52" s="25"/>
    </row>
    <row r="53" spans="1:70">
      <c r="A53" t="s">
        <v>562</v>
      </c>
      <c r="B53">
        <v>110130</v>
      </c>
      <c r="C53" s="1">
        <v>206933</v>
      </c>
      <c r="D53" s="1">
        <v>229492</v>
      </c>
      <c r="E53" s="1">
        <v>295799</v>
      </c>
      <c r="F53" s="1">
        <v>341330</v>
      </c>
      <c r="G53" s="1">
        <v>427119</v>
      </c>
      <c r="H53" s="1">
        <v>476157</v>
      </c>
      <c r="I53" s="1">
        <v>548335</v>
      </c>
      <c r="J53" s="1">
        <v>628957</v>
      </c>
      <c r="K53" s="1">
        <v>638547</v>
      </c>
      <c r="L53" s="1">
        <v>692731</v>
      </c>
      <c r="M53" s="1">
        <v>651292</v>
      </c>
      <c r="N53" s="1">
        <v>806250</v>
      </c>
      <c r="O53" s="1">
        <v>704494</v>
      </c>
      <c r="P53" s="1">
        <v>653517</v>
      </c>
      <c r="Q53" s="1">
        <v>690065</v>
      </c>
      <c r="R53" s="1">
        <v>641169</v>
      </c>
      <c r="S53" s="1">
        <v>658107</v>
      </c>
      <c r="T53" s="1">
        <v>626327</v>
      </c>
      <c r="U53" s="1">
        <v>624202</v>
      </c>
      <c r="V53" s="1">
        <v>618178</v>
      </c>
      <c r="W53" s="1">
        <v>599579</v>
      </c>
      <c r="X53" s="1">
        <v>590642</v>
      </c>
      <c r="Y53" s="1">
        <v>571152</v>
      </c>
      <c r="Z53" s="1">
        <v>570272</v>
      </c>
      <c r="AA53" s="1">
        <v>512107</v>
      </c>
      <c r="AB53" s="1">
        <v>496262</v>
      </c>
      <c r="AC53" s="1">
        <v>544836</v>
      </c>
      <c r="AD53" s="1">
        <v>526448</v>
      </c>
      <c r="AE53" s="1">
        <v>525862</v>
      </c>
      <c r="AF53" s="1">
        <v>510626</v>
      </c>
      <c r="AG53" s="1">
        <v>512052</v>
      </c>
      <c r="AH53" s="1">
        <v>509425</v>
      </c>
      <c r="AI53" s="1">
        <v>495851</v>
      </c>
      <c r="AJ53" s="1">
        <v>495146</v>
      </c>
      <c r="AK53" s="1">
        <v>463049</v>
      </c>
      <c r="AL53" s="1">
        <v>462375</v>
      </c>
      <c r="AM53" s="1">
        <v>446800</v>
      </c>
      <c r="AN53" s="1">
        <v>391602</v>
      </c>
      <c r="AO53" s="1">
        <v>422529</v>
      </c>
      <c r="AP53" s="1">
        <v>398489</v>
      </c>
      <c r="AQ53" s="1">
        <v>401281</v>
      </c>
      <c r="AR53" s="1">
        <v>378436</v>
      </c>
      <c r="AS53" s="1">
        <v>381074</v>
      </c>
      <c r="AT53" s="1">
        <v>371345</v>
      </c>
      <c r="AU53" s="1">
        <v>350184</v>
      </c>
      <c r="AV53" s="1">
        <v>352606</v>
      </c>
      <c r="AW53" s="1">
        <v>332501</v>
      </c>
      <c r="AX53" s="1">
        <v>334787</v>
      </c>
      <c r="AY53" s="1"/>
      <c r="BA53" s="21">
        <f>SUM(C53:N53)</f>
        <v>5942942</v>
      </c>
      <c r="BB53" s="22">
        <f t="shared" ref="BB53:BB54" si="39">+BA53/12</f>
        <v>495245.16666666669</v>
      </c>
      <c r="BD53" s="7">
        <f>SUM(O53:Z53)</f>
        <v>7547704</v>
      </c>
      <c r="BE53" s="7">
        <f t="shared" ref="BE53:BE54" si="40">+BD53-BA53</f>
        <v>1604762</v>
      </c>
      <c r="BF53" s="8">
        <f t="shared" ref="BF53:BF54" si="41">(BD53/BA53)-1</f>
        <v>0.27002821161640145</v>
      </c>
      <c r="BG53" s="7">
        <f t="shared" ref="BG53:BG54" si="42">BD53/12</f>
        <v>628975.33333333337</v>
      </c>
      <c r="BI53" s="12">
        <f>+SUM(AA53:AL53)</f>
        <v>6054039</v>
      </c>
      <c r="BJ53" s="12">
        <f t="shared" ref="BJ53:BJ54" si="43">+BI53-BD53</f>
        <v>-1493665</v>
      </c>
      <c r="BK53" s="13">
        <f t="shared" ref="BK53:BK54" si="44">(BI53/BD53)-1</f>
        <v>-0.19789660537827136</v>
      </c>
      <c r="BL53" s="24">
        <f>SUM(AA53:AH53)/8</f>
        <v>517202.25</v>
      </c>
      <c r="BM53" s="24">
        <f>SUM(AI53:AL53)/4</f>
        <v>479105.25</v>
      </c>
      <c r="BO53" s="17">
        <f>+SUM(AM53:AX53)</f>
        <v>4561634</v>
      </c>
      <c r="BP53" s="17">
        <f t="shared" ref="BP53:BP54" si="45">+BO53-BI53</f>
        <v>-1492405</v>
      </c>
      <c r="BQ53" s="18">
        <f t="shared" ref="BQ53:BQ54" si="46">(BO53/BI53)-1</f>
        <v>-0.24651393887617834</v>
      </c>
      <c r="BR53" s="25">
        <f t="shared" ref="BR53:BR54" si="47">BO53/12</f>
        <v>380136.16666666669</v>
      </c>
    </row>
    <row r="54" spans="1:70">
      <c r="A54" t="s">
        <v>563</v>
      </c>
      <c r="B54">
        <v>110131</v>
      </c>
      <c r="C54" s="1">
        <v>68972</v>
      </c>
      <c r="D54" s="1">
        <v>83756</v>
      </c>
      <c r="E54" s="1">
        <v>89839</v>
      </c>
      <c r="F54" s="1">
        <v>84284</v>
      </c>
      <c r="G54" s="1">
        <v>143900</v>
      </c>
      <c r="H54" s="1">
        <v>167165</v>
      </c>
      <c r="I54" s="1">
        <v>128371</v>
      </c>
      <c r="J54" s="1">
        <v>157532</v>
      </c>
      <c r="K54" s="1">
        <v>156703</v>
      </c>
      <c r="L54" s="1">
        <v>149203</v>
      </c>
      <c r="M54" s="1">
        <v>185635</v>
      </c>
      <c r="N54" s="1">
        <v>130549</v>
      </c>
      <c r="O54" s="1">
        <v>170737</v>
      </c>
      <c r="P54" s="1">
        <v>178613</v>
      </c>
      <c r="Q54" s="1">
        <v>151284</v>
      </c>
      <c r="R54" s="1">
        <v>182788</v>
      </c>
      <c r="S54" s="1">
        <v>221926</v>
      </c>
      <c r="T54" s="1">
        <v>149286</v>
      </c>
      <c r="U54" s="1">
        <v>241497</v>
      </c>
      <c r="V54" s="1">
        <v>278720</v>
      </c>
      <c r="W54" s="1">
        <v>231112</v>
      </c>
      <c r="X54" s="1">
        <v>208802</v>
      </c>
      <c r="Y54" s="1">
        <v>249729</v>
      </c>
      <c r="Z54" s="1">
        <v>190243</v>
      </c>
      <c r="AA54" s="1">
        <v>167632</v>
      </c>
      <c r="AB54" s="1">
        <v>164773</v>
      </c>
      <c r="AC54" s="1">
        <v>242811</v>
      </c>
      <c r="AD54" s="1">
        <v>244073</v>
      </c>
      <c r="AE54" s="1">
        <v>187704</v>
      </c>
      <c r="AF54" s="1">
        <v>218580</v>
      </c>
      <c r="AG54" s="1">
        <v>259325</v>
      </c>
      <c r="AH54" s="1">
        <v>196758</v>
      </c>
      <c r="AI54" s="1">
        <v>193320</v>
      </c>
      <c r="AJ54" s="1">
        <v>188278</v>
      </c>
      <c r="AK54" s="1">
        <v>183282</v>
      </c>
      <c r="AL54" s="1">
        <v>178332</v>
      </c>
      <c r="AM54" s="1">
        <v>173427</v>
      </c>
      <c r="AN54" s="1">
        <v>168568</v>
      </c>
      <c r="AO54" s="1">
        <v>163753</v>
      </c>
      <c r="AP54" s="1">
        <v>158982</v>
      </c>
      <c r="AQ54" s="1">
        <v>154256</v>
      </c>
      <c r="AR54" s="1">
        <v>149573</v>
      </c>
      <c r="AS54" s="1">
        <v>144933</v>
      </c>
      <c r="AT54" s="1">
        <v>140335</v>
      </c>
      <c r="AU54" s="1">
        <v>135780</v>
      </c>
      <c r="AV54" s="1">
        <v>131267</v>
      </c>
      <c r="AW54" s="1">
        <v>126795</v>
      </c>
      <c r="AX54" s="1">
        <v>122365</v>
      </c>
      <c r="AY54" s="1"/>
      <c r="BA54" s="21">
        <f>SUM(C54:N54)</f>
        <v>1545909</v>
      </c>
      <c r="BB54" s="22">
        <f t="shared" si="39"/>
        <v>128825.75</v>
      </c>
      <c r="BD54" s="7">
        <f>SUM(O54:Z54)</f>
        <v>2454737</v>
      </c>
      <c r="BE54" s="7">
        <f t="shared" si="40"/>
        <v>908828</v>
      </c>
      <c r="BF54" s="8">
        <f t="shared" si="41"/>
        <v>0.58789230155203187</v>
      </c>
      <c r="BG54" s="7">
        <f t="shared" si="42"/>
        <v>204561.41666666666</v>
      </c>
      <c r="BI54" s="12">
        <f>+SUM(AA54:AL54)</f>
        <v>2424868</v>
      </c>
      <c r="BJ54" s="12">
        <f t="shared" si="43"/>
        <v>-29869</v>
      </c>
      <c r="BK54" s="13">
        <f t="shared" si="44"/>
        <v>-1.216790230480902E-2</v>
      </c>
      <c r="BL54" s="24">
        <f>SUM(AA54:AH54)/8</f>
        <v>210207</v>
      </c>
      <c r="BM54" s="24">
        <f>SUM(AI54:AL54)/4</f>
        <v>185803</v>
      </c>
      <c r="BO54" s="17">
        <f>+SUM(AM54:AX54)</f>
        <v>1770034</v>
      </c>
      <c r="BP54" s="17">
        <f t="shared" si="45"/>
        <v>-654834</v>
      </c>
      <c r="BQ54" s="18">
        <f t="shared" si="46"/>
        <v>-0.27004933876813086</v>
      </c>
      <c r="BR54" s="25">
        <f t="shared" si="47"/>
        <v>147502.83333333334</v>
      </c>
    </row>
    <row r="55" spans="1:70">
      <c r="A55" t="s">
        <v>11</v>
      </c>
      <c r="B55" t="s">
        <v>12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BA55" s="21"/>
      <c r="BB55" s="22"/>
      <c r="BD55" s="7"/>
      <c r="BE55" s="7"/>
      <c r="BF55" s="8"/>
      <c r="BG55" s="7"/>
      <c r="BI55" s="12"/>
      <c r="BJ55" s="12"/>
      <c r="BK55" s="13"/>
      <c r="BL55" s="24"/>
      <c r="BM55" s="24"/>
      <c r="BO55" s="17"/>
      <c r="BP55" s="17"/>
      <c r="BQ55" s="18"/>
      <c r="BR55" s="25"/>
    </row>
    <row r="56" spans="1:70">
      <c r="A56" t="s">
        <v>564</v>
      </c>
      <c r="C56" s="1">
        <v>275905</v>
      </c>
      <c r="D56" s="1">
        <v>313248</v>
      </c>
      <c r="E56" s="1">
        <v>385638</v>
      </c>
      <c r="F56" s="1">
        <v>425614</v>
      </c>
      <c r="G56" s="1">
        <v>571019</v>
      </c>
      <c r="H56" s="1">
        <v>643321</v>
      </c>
      <c r="I56" s="1">
        <v>676706</v>
      </c>
      <c r="J56" s="1">
        <v>786490</v>
      </c>
      <c r="K56" s="1">
        <v>795250</v>
      </c>
      <c r="L56" s="1">
        <v>841935</v>
      </c>
      <c r="M56" s="1">
        <v>836927</v>
      </c>
      <c r="N56" s="1">
        <v>936799</v>
      </c>
      <c r="O56" s="1">
        <v>875230</v>
      </c>
      <c r="P56" s="1">
        <v>832130</v>
      </c>
      <c r="Q56" s="1">
        <v>841350</v>
      </c>
      <c r="R56" s="1">
        <v>823956</v>
      </c>
      <c r="S56" s="1">
        <v>880033</v>
      </c>
      <c r="T56" s="1">
        <v>775613</v>
      </c>
      <c r="U56" s="1">
        <v>865699</v>
      </c>
      <c r="V56" s="1">
        <v>896898</v>
      </c>
      <c r="W56" s="1">
        <v>830691</v>
      </c>
      <c r="X56" s="1">
        <v>799445</v>
      </c>
      <c r="Y56" s="1">
        <v>820881</v>
      </c>
      <c r="Z56" s="1">
        <v>760515</v>
      </c>
      <c r="AA56" s="1">
        <v>679739</v>
      </c>
      <c r="AB56" s="1">
        <v>661034</v>
      </c>
      <c r="AC56" s="1">
        <v>787647</v>
      </c>
      <c r="AD56" s="1">
        <v>770521</v>
      </c>
      <c r="AE56" s="1">
        <v>713565</v>
      </c>
      <c r="AF56" s="1">
        <v>729205</v>
      </c>
      <c r="AG56" s="1">
        <v>771377</v>
      </c>
      <c r="AH56" s="1">
        <v>706183</v>
      </c>
      <c r="AI56" s="1">
        <v>689171</v>
      </c>
      <c r="AJ56" s="1">
        <v>683424</v>
      </c>
      <c r="AK56" s="1">
        <v>646331</v>
      </c>
      <c r="AL56" s="1">
        <v>640706</v>
      </c>
      <c r="AM56" s="1">
        <v>620227</v>
      </c>
      <c r="AN56" s="1">
        <v>560170</v>
      </c>
      <c r="AO56" s="1">
        <v>586282</v>
      </c>
      <c r="AP56" s="1">
        <v>557471</v>
      </c>
      <c r="AQ56" s="1">
        <v>555537</v>
      </c>
      <c r="AR56" s="1">
        <v>528009</v>
      </c>
      <c r="AS56" s="1">
        <v>526006</v>
      </c>
      <c r="AT56" s="1">
        <v>511680</v>
      </c>
      <c r="AU56" s="1">
        <v>485965</v>
      </c>
      <c r="AV56" s="1">
        <v>483873</v>
      </c>
      <c r="AW56" s="1">
        <v>459296</v>
      </c>
      <c r="AX56" s="1">
        <v>457152</v>
      </c>
      <c r="AY56" s="1"/>
      <c r="BA56" s="21">
        <f>SUM(C56:N56)</f>
        <v>7488852</v>
      </c>
      <c r="BB56" s="22">
        <f>+BA56/12</f>
        <v>624071</v>
      </c>
      <c r="BD56" s="7">
        <f>SUM(O56:Z56)</f>
        <v>10002441</v>
      </c>
      <c r="BE56" s="7">
        <f>+BD56-BA56</f>
        <v>2513589</v>
      </c>
      <c r="BF56" s="8">
        <f>(BD56/BA56)-1</f>
        <v>0.33564410139230949</v>
      </c>
      <c r="BG56" s="7">
        <f>BD56/12</f>
        <v>833536.75</v>
      </c>
      <c r="BI56" s="12">
        <f>+SUM(AA56:AL56)</f>
        <v>8478903</v>
      </c>
      <c r="BJ56" s="12">
        <f>+BI56-BD56</f>
        <v>-1523538</v>
      </c>
      <c r="BK56" s="13">
        <f>(BI56/BD56)-1</f>
        <v>-0.15231661951317688</v>
      </c>
      <c r="BL56" s="24">
        <f>SUM(AA56:AH56)/8</f>
        <v>727408.875</v>
      </c>
      <c r="BM56" s="24">
        <f>SUM(AI56:AL56)/4</f>
        <v>664908</v>
      </c>
      <c r="BO56" s="17">
        <f>+SUM(AM56:AX56)</f>
        <v>6331668</v>
      </c>
      <c r="BP56" s="17">
        <f>+BO56-BI56</f>
        <v>-2147235</v>
      </c>
      <c r="BQ56" s="18">
        <f>(BO56/BI56)-1</f>
        <v>-0.25324443504071226</v>
      </c>
      <c r="BR56" s="25">
        <f>BO56/12</f>
        <v>527639</v>
      </c>
    </row>
    <row r="57" spans="1:70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BA57" s="21"/>
      <c r="BB57" s="22"/>
      <c r="BD57" s="7"/>
      <c r="BE57" s="7"/>
      <c r="BF57" s="8"/>
      <c r="BG57" s="7"/>
      <c r="BI57" s="12"/>
      <c r="BJ57" s="12"/>
      <c r="BK57" s="13"/>
      <c r="BL57" s="24"/>
      <c r="BM57" s="24"/>
      <c r="BO57" s="17"/>
      <c r="BP57" s="17"/>
      <c r="BQ57" s="18"/>
      <c r="BR57" s="25"/>
    </row>
    <row r="58" spans="1:70">
      <c r="A58" t="s">
        <v>80</v>
      </c>
      <c r="B58">
        <v>110205</v>
      </c>
      <c r="C58" s="1">
        <v>64537</v>
      </c>
      <c r="D58" s="1">
        <v>58214</v>
      </c>
      <c r="E58" s="1">
        <v>63454</v>
      </c>
      <c r="F58" s="1">
        <v>60189</v>
      </c>
      <c r="G58" s="1">
        <v>62622</v>
      </c>
      <c r="H58" s="1">
        <v>61091</v>
      </c>
      <c r="I58" s="1">
        <v>63143</v>
      </c>
      <c r="J58" s="1">
        <v>62412</v>
      </c>
      <c r="K58" s="1">
        <v>60241</v>
      </c>
      <c r="L58" s="1">
        <v>61102</v>
      </c>
      <c r="M58" s="1">
        <v>58335</v>
      </c>
      <c r="N58" s="1">
        <v>61215</v>
      </c>
      <c r="O58" s="1">
        <v>60630</v>
      </c>
      <c r="P58" s="1">
        <v>56005</v>
      </c>
      <c r="Q58" s="1">
        <v>60982</v>
      </c>
      <c r="R58" s="1">
        <v>58537</v>
      </c>
      <c r="S58" s="1">
        <v>61607</v>
      </c>
      <c r="T58" s="1">
        <v>60988</v>
      </c>
      <c r="U58" s="1">
        <v>60242</v>
      </c>
      <c r="V58" s="1">
        <v>62228</v>
      </c>
      <c r="W58" s="1">
        <v>62435</v>
      </c>
      <c r="X58" s="1">
        <v>66509</v>
      </c>
      <c r="Y58" s="1">
        <v>65886</v>
      </c>
      <c r="Z58" s="1">
        <v>72181</v>
      </c>
      <c r="AA58" s="1">
        <v>72615</v>
      </c>
      <c r="AB58" s="1">
        <v>66536</v>
      </c>
      <c r="AC58" s="1">
        <v>75412</v>
      </c>
      <c r="AD58" s="1">
        <v>74867</v>
      </c>
      <c r="AE58" s="1">
        <v>80457</v>
      </c>
      <c r="AF58" s="1">
        <v>81049</v>
      </c>
      <c r="AG58" s="1">
        <v>84748</v>
      </c>
      <c r="AH58" s="1">
        <v>83816</v>
      </c>
      <c r="AI58" s="1">
        <v>67030</v>
      </c>
      <c r="AJ58" s="1">
        <v>60568</v>
      </c>
      <c r="AK58" s="1">
        <v>60653</v>
      </c>
      <c r="AL58" s="1">
        <v>64661</v>
      </c>
      <c r="AM58" s="1">
        <v>66761</v>
      </c>
      <c r="AN58" s="1">
        <v>62160</v>
      </c>
      <c r="AO58" s="1">
        <v>70835</v>
      </c>
      <c r="AP58" s="1">
        <v>71519</v>
      </c>
      <c r="AQ58" s="1">
        <v>76829</v>
      </c>
      <c r="AR58" s="1">
        <v>76108</v>
      </c>
      <c r="AS58" s="1">
        <v>80356</v>
      </c>
      <c r="AT58" s="1">
        <v>82036</v>
      </c>
      <c r="AU58" s="1">
        <v>81028</v>
      </c>
      <c r="AV58" s="1">
        <v>84971</v>
      </c>
      <c r="AW58" s="1">
        <v>83052</v>
      </c>
      <c r="AX58" s="1">
        <v>86449</v>
      </c>
      <c r="AY58" s="1"/>
      <c r="BA58" s="21">
        <f t="shared" ref="BA58:BA64" si="48">SUM(C58:N58)</f>
        <v>736555</v>
      </c>
      <c r="BB58" s="22">
        <f t="shared" ref="BB58:BB64" si="49">+BA58/12</f>
        <v>61379.583333333336</v>
      </c>
      <c r="BD58" s="7">
        <f t="shared" ref="BD58:BD64" si="50">SUM(O58:Z58)</f>
        <v>748230</v>
      </c>
      <c r="BE58" s="7">
        <f t="shared" ref="BE58:BE64" si="51">+BD58-BA58</f>
        <v>11675</v>
      </c>
      <c r="BF58" s="8">
        <f t="shared" ref="BF58:BF64" si="52">(BD58/BA58)-1</f>
        <v>1.5850819015552187E-2</v>
      </c>
      <c r="BG58" s="7">
        <f t="shared" ref="BG58:BG64" si="53">BD58/12</f>
        <v>62352.5</v>
      </c>
      <c r="BI58" s="12">
        <f t="shared" ref="BI58:BI64" si="54">+SUM(AA58:AL58)</f>
        <v>872412</v>
      </c>
      <c r="BJ58" s="12">
        <f t="shared" ref="BJ58:BJ64" si="55">+BI58-BD58</f>
        <v>124182</v>
      </c>
      <c r="BK58" s="13">
        <f t="shared" ref="BK58:BK64" si="56">(BI58/BD58)-1</f>
        <v>0.16596768373361126</v>
      </c>
      <c r="BL58" s="24">
        <f t="shared" ref="BL58:BL64" si="57">SUM(AA58:AH58)/8</f>
        <v>77437.5</v>
      </c>
      <c r="BM58" s="24">
        <f t="shared" ref="BM58:BM64" si="58">SUM(AI58:AL58)/4</f>
        <v>63228</v>
      </c>
      <c r="BO58" s="17">
        <f t="shared" ref="BO58:BO64" si="59">+SUM(AM58:AX58)</f>
        <v>922104</v>
      </c>
      <c r="BP58" s="17">
        <f t="shared" ref="BP58:BP64" si="60">+BO58-BI58</f>
        <v>49692</v>
      </c>
      <c r="BQ58" s="18">
        <f t="shared" ref="BQ58:BQ64" si="61">(BO58/BI58)-1</f>
        <v>5.6959326556718537E-2</v>
      </c>
      <c r="BR58" s="25">
        <f t="shared" ref="BR58:BR64" si="62">BO58/12</f>
        <v>76842</v>
      </c>
    </row>
    <row r="59" spans="1:70">
      <c r="A59" t="s">
        <v>81</v>
      </c>
      <c r="B59">
        <v>110210</v>
      </c>
      <c r="C59" s="1">
        <v>316852</v>
      </c>
      <c r="D59" s="1">
        <v>283241</v>
      </c>
      <c r="E59" s="1">
        <v>313835</v>
      </c>
      <c r="F59" s="1">
        <v>306576</v>
      </c>
      <c r="G59" s="1">
        <v>306464</v>
      </c>
      <c r="H59" s="1">
        <v>302640</v>
      </c>
      <c r="I59" s="1">
        <v>314655</v>
      </c>
      <c r="J59" s="1">
        <v>314841</v>
      </c>
      <c r="K59" s="1">
        <v>302232</v>
      </c>
      <c r="L59" s="1">
        <v>306744</v>
      </c>
      <c r="M59" s="1">
        <v>299510</v>
      </c>
      <c r="N59" s="1">
        <v>304072</v>
      </c>
      <c r="O59" s="1">
        <v>304009</v>
      </c>
      <c r="P59" s="1">
        <v>284184</v>
      </c>
      <c r="Q59" s="1">
        <v>304937</v>
      </c>
      <c r="R59" s="1">
        <v>297037</v>
      </c>
      <c r="S59" s="1">
        <v>306742</v>
      </c>
      <c r="T59" s="1">
        <v>300890</v>
      </c>
      <c r="U59" s="1">
        <v>308357</v>
      </c>
      <c r="V59" s="1">
        <v>311701</v>
      </c>
      <c r="W59" s="1">
        <v>303347</v>
      </c>
      <c r="X59" s="1">
        <v>315984</v>
      </c>
      <c r="Y59" s="1">
        <v>315186</v>
      </c>
      <c r="Z59" s="1">
        <v>328033</v>
      </c>
      <c r="AA59" s="1">
        <v>340061</v>
      </c>
      <c r="AB59" s="1">
        <v>307962</v>
      </c>
      <c r="AC59" s="1">
        <v>346879</v>
      </c>
      <c r="AD59" s="1">
        <v>354655</v>
      </c>
      <c r="AE59" s="1">
        <v>367134</v>
      </c>
      <c r="AF59" s="1">
        <v>364690</v>
      </c>
      <c r="AG59" s="1">
        <v>388781</v>
      </c>
      <c r="AH59" s="1">
        <v>393702</v>
      </c>
      <c r="AI59" s="1">
        <v>327223</v>
      </c>
      <c r="AJ59" s="1">
        <v>296275</v>
      </c>
      <c r="AK59" s="1">
        <v>291675</v>
      </c>
      <c r="AL59" s="1">
        <v>308904</v>
      </c>
      <c r="AM59" s="1">
        <v>318059</v>
      </c>
      <c r="AN59" s="1">
        <v>295402</v>
      </c>
      <c r="AO59" s="1">
        <v>336026</v>
      </c>
      <c r="AP59" s="1">
        <v>338789</v>
      </c>
      <c r="AQ59" s="1">
        <v>363713</v>
      </c>
      <c r="AR59" s="1">
        <v>360355</v>
      </c>
      <c r="AS59" s="1">
        <v>380677</v>
      </c>
      <c r="AT59" s="1">
        <v>389070</v>
      </c>
      <c r="AU59" s="1">
        <v>384877</v>
      </c>
      <c r="AV59" s="1">
        <v>404325</v>
      </c>
      <c r="AW59" s="1">
        <v>396043</v>
      </c>
      <c r="AX59" s="1">
        <v>413261</v>
      </c>
      <c r="AY59" s="1"/>
      <c r="BA59" s="21">
        <f t="shared" si="48"/>
        <v>3671662</v>
      </c>
      <c r="BB59" s="22">
        <f t="shared" si="49"/>
        <v>305971.83333333331</v>
      </c>
      <c r="BD59" s="7">
        <f t="shared" si="50"/>
        <v>3680407</v>
      </c>
      <c r="BE59" s="7">
        <f t="shared" si="51"/>
        <v>8745</v>
      </c>
      <c r="BF59" s="8">
        <f t="shared" si="52"/>
        <v>2.3817551833473782E-3</v>
      </c>
      <c r="BG59" s="7">
        <f t="shared" si="53"/>
        <v>306700.58333333331</v>
      </c>
      <c r="BI59" s="12">
        <f t="shared" si="54"/>
        <v>4087941</v>
      </c>
      <c r="BJ59" s="12">
        <f t="shared" si="55"/>
        <v>407534</v>
      </c>
      <c r="BK59" s="13">
        <f t="shared" si="56"/>
        <v>0.11073068820921161</v>
      </c>
      <c r="BL59" s="24">
        <f t="shared" si="57"/>
        <v>357983</v>
      </c>
      <c r="BM59" s="24">
        <f t="shared" si="58"/>
        <v>306019.25</v>
      </c>
      <c r="BO59" s="17">
        <f t="shared" si="59"/>
        <v>4380597</v>
      </c>
      <c r="BP59" s="17">
        <f t="shared" si="60"/>
        <v>292656</v>
      </c>
      <c r="BQ59" s="18">
        <f t="shared" si="61"/>
        <v>7.1590074318587327E-2</v>
      </c>
      <c r="BR59" s="25">
        <f t="shared" si="62"/>
        <v>365049.75</v>
      </c>
    </row>
    <row r="60" spans="1:70">
      <c r="A60" t="s">
        <v>82</v>
      </c>
      <c r="B60">
        <v>110215</v>
      </c>
      <c r="C60" s="1">
        <v>4453</v>
      </c>
      <c r="D60" s="1">
        <v>3943</v>
      </c>
      <c r="E60" s="1">
        <v>4520</v>
      </c>
      <c r="F60" s="1">
        <v>4297</v>
      </c>
      <c r="G60" s="1">
        <v>4496</v>
      </c>
      <c r="H60" s="1">
        <v>4520</v>
      </c>
      <c r="I60" s="1">
        <v>5005</v>
      </c>
      <c r="J60" s="1">
        <v>5320</v>
      </c>
      <c r="K60" s="1">
        <v>5111</v>
      </c>
      <c r="L60" s="1">
        <v>5380</v>
      </c>
      <c r="M60" s="1">
        <v>4880</v>
      </c>
      <c r="N60" s="1">
        <v>5131</v>
      </c>
      <c r="O60" s="1">
        <v>4947</v>
      </c>
      <c r="P60" s="1">
        <v>4543</v>
      </c>
      <c r="Q60" s="1">
        <v>4736</v>
      </c>
      <c r="R60" s="1">
        <v>4648</v>
      </c>
      <c r="S60" s="1">
        <v>4691</v>
      </c>
      <c r="T60" s="1">
        <v>4463</v>
      </c>
      <c r="U60" s="1">
        <v>4664</v>
      </c>
      <c r="V60" s="1">
        <v>4726</v>
      </c>
      <c r="W60" s="1">
        <v>4633</v>
      </c>
      <c r="X60" s="1">
        <v>4756</v>
      </c>
      <c r="Y60" s="1">
        <v>4638</v>
      </c>
      <c r="Z60" s="1">
        <v>4596</v>
      </c>
      <c r="AA60" s="1">
        <v>4491</v>
      </c>
      <c r="AB60" s="1">
        <v>3954</v>
      </c>
      <c r="AC60" s="1">
        <v>4363</v>
      </c>
      <c r="AD60" s="1">
        <v>4226</v>
      </c>
      <c r="AE60" s="1">
        <v>4629</v>
      </c>
      <c r="AF60" s="1">
        <v>4517</v>
      </c>
      <c r="AG60" s="1">
        <v>4664</v>
      </c>
      <c r="AH60" s="1">
        <v>4570</v>
      </c>
      <c r="AI60" s="1">
        <v>4319</v>
      </c>
      <c r="AJ60" s="1">
        <v>4340</v>
      </c>
      <c r="AK60" s="1">
        <v>4104</v>
      </c>
      <c r="AL60" s="1">
        <v>4094</v>
      </c>
      <c r="AM60" s="1">
        <v>3936</v>
      </c>
      <c r="AN60" s="1">
        <v>3490</v>
      </c>
      <c r="AO60" s="1">
        <v>3924</v>
      </c>
      <c r="AP60" s="1">
        <v>3939</v>
      </c>
      <c r="AQ60" s="1">
        <v>4213</v>
      </c>
      <c r="AR60" s="1">
        <v>4161</v>
      </c>
      <c r="AS60" s="1">
        <v>4382</v>
      </c>
      <c r="AT60" s="1">
        <v>4467</v>
      </c>
      <c r="AU60" s="1">
        <v>4407</v>
      </c>
      <c r="AV60" s="1">
        <v>4619</v>
      </c>
      <c r="AW60" s="1">
        <v>4515</v>
      </c>
      <c r="AX60" s="1">
        <v>4702</v>
      </c>
      <c r="AY60" s="1"/>
      <c r="BA60" s="21">
        <f t="shared" si="48"/>
        <v>57056</v>
      </c>
      <c r="BB60" s="22">
        <f t="shared" si="49"/>
        <v>4754.666666666667</v>
      </c>
      <c r="BD60" s="7">
        <f t="shared" si="50"/>
        <v>56041</v>
      </c>
      <c r="BE60" s="7">
        <f t="shared" si="51"/>
        <v>-1015</v>
      </c>
      <c r="BF60" s="8">
        <f t="shared" si="52"/>
        <v>-1.778954010095346E-2</v>
      </c>
      <c r="BG60" s="7">
        <f t="shared" si="53"/>
        <v>4670.083333333333</v>
      </c>
      <c r="BI60" s="12">
        <f t="shared" si="54"/>
        <v>52271</v>
      </c>
      <c r="BJ60" s="12">
        <f t="shared" si="55"/>
        <v>-3770</v>
      </c>
      <c r="BK60" s="13">
        <f t="shared" si="56"/>
        <v>-6.727217572848454E-2</v>
      </c>
      <c r="BL60" s="24">
        <f t="shared" si="57"/>
        <v>4426.75</v>
      </c>
      <c r="BM60" s="24">
        <f t="shared" si="58"/>
        <v>4214.25</v>
      </c>
      <c r="BO60" s="17">
        <f t="shared" si="59"/>
        <v>50755</v>
      </c>
      <c r="BP60" s="17">
        <f t="shared" si="60"/>
        <v>-1516</v>
      </c>
      <c r="BQ60" s="18">
        <f t="shared" si="61"/>
        <v>-2.9002697480438488E-2</v>
      </c>
      <c r="BR60" s="25">
        <f t="shared" si="62"/>
        <v>4229.583333333333</v>
      </c>
    </row>
    <row r="61" spans="1:70">
      <c r="A61" t="s">
        <v>83</v>
      </c>
      <c r="B61">
        <v>110220</v>
      </c>
      <c r="C61" s="1">
        <v>5270</v>
      </c>
      <c r="D61" s="1">
        <v>4592</v>
      </c>
      <c r="E61" s="1">
        <v>5144</v>
      </c>
      <c r="F61" s="1">
        <v>4949</v>
      </c>
      <c r="G61" s="1">
        <v>4791</v>
      </c>
      <c r="H61" s="1">
        <v>4593</v>
      </c>
      <c r="I61" s="1">
        <v>4606</v>
      </c>
      <c r="J61" s="1">
        <v>4416</v>
      </c>
      <c r="K61" s="1">
        <v>4407</v>
      </c>
      <c r="L61" s="1">
        <v>4439</v>
      </c>
      <c r="M61" s="1">
        <v>4187</v>
      </c>
      <c r="N61" s="1">
        <v>4240</v>
      </c>
      <c r="O61" s="1">
        <v>4128</v>
      </c>
      <c r="P61" s="1">
        <v>3865</v>
      </c>
      <c r="Q61" s="1">
        <v>4247</v>
      </c>
      <c r="R61" s="1">
        <v>4011</v>
      </c>
      <c r="S61" s="1">
        <v>4055</v>
      </c>
      <c r="T61" s="1">
        <v>3809</v>
      </c>
      <c r="U61" s="1">
        <v>4116</v>
      </c>
      <c r="V61" s="1">
        <v>4101</v>
      </c>
      <c r="W61" s="1">
        <v>3836</v>
      </c>
      <c r="X61" s="1">
        <v>3835</v>
      </c>
      <c r="Y61" s="1">
        <v>3806</v>
      </c>
      <c r="Z61" s="1">
        <v>3893</v>
      </c>
      <c r="AA61" s="1">
        <v>3784</v>
      </c>
      <c r="AB61" s="1">
        <v>3119</v>
      </c>
      <c r="AC61" s="1">
        <v>3148</v>
      </c>
      <c r="AD61" s="1">
        <v>3058</v>
      </c>
      <c r="AE61" s="1">
        <v>2953</v>
      </c>
      <c r="AF61" s="1">
        <v>2870</v>
      </c>
      <c r="AG61" s="1">
        <v>2921</v>
      </c>
      <c r="AH61" s="1">
        <v>2895</v>
      </c>
      <c r="AI61" s="1">
        <v>2705</v>
      </c>
      <c r="AJ61" s="1">
        <v>2725</v>
      </c>
      <c r="AK61" s="1">
        <v>2595</v>
      </c>
      <c r="AL61" s="1">
        <v>2606</v>
      </c>
      <c r="AM61" s="1">
        <v>2518</v>
      </c>
      <c r="AN61" s="1">
        <v>2208</v>
      </c>
      <c r="AO61" s="1">
        <v>2442</v>
      </c>
      <c r="AP61" s="1">
        <v>2439</v>
      </c>
      <c r="AQ61" s="1">
        <v>2596</v>
      </c>
      <c r="AR61" s="1">
        <v>2553</v>
      </c>
      <c r="AS61" s="1">
        <v>2680</v>
      </c>
      <c r="AT61" s="1">
        <v>2722</v>
      </c>
      <c r="AU61" s="1">
        <v>2675</v>
      </c>
      <c r="AV61" s="1">
        <v>2794</v>
      </c>
      <c r="AW61" s="1">
        <v>2723</v>
      </c>
      <c r="AX61" s="1">
        <v>2828</v>
      </c>
      <c r="AY61" s="1"/>
      <c r="BA61" s="21">
        <f t="shared" si="48"/>
        <v>55634</v>
      </c>
      <c r="BB61" s="22">
        <f t="shared" si="49"/>
        <v>4636.166666666667</v>
      </c>
      <c r="BD61" s="7">
        <f t="shared" si="50"/>
        <v>47702</v>
      </c>
      <c r="BE61" s="7">
        <f t="shared" si="51"/>
        <v>-7932</v>
      </c>
      <c r="BF61" s="8">
        <f t="shared" si="52"/>
        <v>-0.14257468454542188</v>
      </c>
      <c r="BG61" s="7">
        <f t="shared" si="53"/>
        <v>3975.1666666666665</v>
      </c>
      <c r="BI61" s="12">
        <f t="shared" si="54"/>
        <v>35379</v>
      </c>
      <c r="BJ61" s="12">
        <f t="shared" si="55"/>
        <v>-12323</v>
      </c>
      <c r="BK61" s="13">
        <f t="shared" si="56"/>
        <v>-0.25833298394197313</v>
      </c>
      <c r="BL61" s="24">
        <f t="shared" si="57"/>
        <v>3093.5</v>
      </c>
      <c r="BM61" s="24">
        <f t="shared" si="58"/>
        <v>2657.75</v>
      </c>
      <c r="BO61" s="17">
        <f t="shared" si="59"/>
        <v>31178</v>
      </c>
      <c r="BP61" s="17">
        <f t="shared" si="60"/>
        <v>-4201</v>
      </c>
      <c r="BQ61" s="18">
        <f t="shared" si="61"/>
        <v>-0.11874275700274173</v>
      </c>
      <c r="BR61" s="25">
        <f t="shared" si="62"/>
        <v>2598.1666666666665</v>
      </c>
    </row>
    <row r="62" spans="1:70">
      <c r="A62" t="s">
        <v>84</v>
      </c>
      <c r="B62">
        <v>110225</v>
      </c>
      <c r="C62" s="1">
        <v>65965</v>
      </c>
      <c r="D62" s="1">
        <v>60019</v>
      </c>
      <c r="E62" s="1">
        <v>66597</v>
      </c>
      <c r="F62" s="1">
        <v>63946</v>
      </c>
      <c r="G62" s="1">
        <v>65291</v>
      </c>
      <c r="H62" s="1">
        <v>62986</v>
      </c>
      <c r="I62" s="1">
        <v>63679</v>
      </c>
      <c r="J62" s="1">
        <v>62748</v>
      </c>
      <c r="K62" s="1">
        <v>60344</v>
      </c>
      <c r="L62" s="1">
        <v>63076</v>
      </c>
      <c r="M62" s="1">
        <v>61315</v>
      </c>
      <c r="N62" s="1">
        <v>62439</v>
      </c>
      <c r="O62" s="1">
        <v>58848</v>
      </c>
      <c r="P62" s="1">
        <v>57290</v>
      </c>
      <c r="Q62" s="1">
        <v>61347</v>
      </c>
      <c r="R62" s="1">
        <v>59562</v>
      </c>
      <c r="S62" s="1">
        <v>61075</v>
      </c>
      <c r="T62" s="1">
        <v>57965</v>
      </c>
      <c r="U62" s="1">
        <v>56746</v>
      </c>
      <c r="V62" s="1">
        <v>57644</v>
      </c>
      <c r="W62" s="1">
        <v>56335</v>
      </c>
      <c r="X62" s="1">
        <v>57258</v>
      </c>
      <c r="Y62" s="1">
        <v>54898</v>
      </c>
      <c r="Z62" s="1">
        <v>55939</v>
      </c>
      <c r="AA62" s="1">
        <v>55394</v>
      </c>
      <c r="AB62" s="1">
        <v>48165</v>
      </c>
      <c r="AC62" s="1">
        <v>55467</v>
      </c>
      <c r="AD62" s="1">
        <v>51532</v>
      </c>
      <c r="AE62" s="1">
        <v>53259</v>
      </c>
      <c r="AF62" s="1">
        <v>48285</v>
      </c>
      <c r="AG62" s="1">
        <v>50880</v>
      </c>
      <c r="AH62" s="1">
        <v>50893</v>
      </c>
      <c r="AI62" s="1">
        <v>49817</v>
      </c>
      <c r="AJ62" s="1">
        <v>52032</v>
      </c>
      <c r="AK62" s="1">
        <v>51025</v>
      </c>
      <c r="AL62" s="1">
        <v>52761</v>
      </c>
      <c r="AM62" s="1">
        <v>52628</v>
      </c>
      <c r="AN62" s="1">
        <v>47281</v>
      </c>
      <c r="AO62" s="1">
        <v>51882</v>
      </c>
      <c r="AP62" s="1">
        <v>49789</v>
      </c>
      <c r="AQ62" s="1">
        <v>50960</v>
      </c>
      <c r="AR62" s="1">
        <v>49069</v>
      </c>
      <c r="AS62" s="1">
        <v>51476</v>
      </c>
      <c r="AT62" s="1">
        <v>52937</v>
      </c>
      <c r="AU62" s="1">
        <v>52677</v>
      </c>
      <c r="AV62" s="1">
        <v>55599</v>
      </c>
      <c r="AW62" s="1">
        <v>54665</v>
      </c>
      <c r="AX62" s="1">
        <v>57218</v>
      </c>
      <c r="AY62" s="1"/>
      <c r="BA62" s="21">
        <f t="shared" si="48"/>
        <v>758405</v>
      </c>
      <c r="BB62" s="22">
        <f t="shared" si="49"/>
        <v>63200.416666666664</v>
      </c>
      <c r="BD62" s="7">
        <f t="shared" si="50"/>
        <v>694907</v>
      </c>
      <c r="BE62" s="7">
        <f t="shared" si="51"/>
        <v>-63498</v>
      </c>
      <c r="BF62" s="8">
        <f t="shared" si="52"/>
        <v>-8.3725713833637694E-2</v>
      </c>
      <c r="BG62" s="7">
        <f t="shared" si="53"/>
        <v>57908.916666666664</v>
      </c>
      <c r="BI62" s="12">
        <f t="shared" si="54"/>
        <v>619510</v>
      </c>
      <c r="BJ62" s="12">
        <f t="shared" si="55"/>
        <v>-75397</v>
      </c>
      <c r="BK62" s="13">
        <f t="shared" si="56"/>
        <v>-0.10849941071251257</v>
      </c>
      <c r="BL62" s="24">
        <f t="shared" si="57"/>
        <v>51734.375</v>
      </c>
      <c r="BM62" s="24">
        <f t="shared" si="58"/>
        <v>51408.75</v>
      </c>
      <c r="BO62" s="17">
        <f t="shared" si="59"/>
        <v>626181</v>
      </c>
      <c r="BP62" s="17">
        <f t="shared" si="60"/>
        <v>6671</v>
      </c>
      <c r="BQ62" s="18">
        <f t="shared" si="61"/>
        <v>1.0768187761295289E-2</v>
      </c>
      <c r="BR62" s="25">
        <f t="shared" si="62"/>
        <v>52181.75</v>
      </c>
    </row>
    <row r="63" spans="1:70">
      <c r="A63" t="s">
        <v>85</v>
      </c>
      <c r="B63">
        <v>110230</v>
      </c>
      <c r="C63" s="1">
        <v>112830</v>
      </c>
      <c r="D63" s="1">
        <v>104799</v>
      </c>
      <c r="E63" s="1">
        <v>118720</v>
      </c>
      <c r="F63" s="1">
        <v>115348</v>
      </c>
      <c r="G63" s="1">
        <v>120208</v>
      </c>
      <c r="H63" s="1">
        <v>120127</v>
      </c>
      <c r="I63" s="1">
        <v>127055</v>
      </c>
      <c r="J63" s="1">
        <v>129391</v>
      </c>
      <c r="K63" s="1">
        <v>125529</v>
      </c>
      <c r="L63" s="1">
        <v>131551</v>
      </c>
      <c r="M63" s="1">
        <v>126787</v>
      </c>
      <c r="N63" s="1">
        <v>129875</v>
      </c>
      <c r="O63" s="1">
        <v>128397</v>
      </c>
      <c r="P63" s="1">
        <v>119250</v>
      </c>
      <c r="Q63" s="1">
        <v>129376</v>
      </c>
      <c r="R63" s="1">
        <v>125314</v>
      </c>
      <c r="S63" s="1">
        <v>130117</v>
      </c>
      <c r="T63" s="1">
        <v>126655</v>
      </c>
      <c r="U63" s="1">
        <v>130010</v>
      </c>
      <c r="V63" s="1">
        <v>132462</v>
      </c>
      <c r="W63" s="1">
        <v>125143</v>
      </c>
      <c r="X63" s="1">
        <v>125228</v>
      </c>
      <c r="Y63" s="1">
        <v>126698</v>
      </c>
      <c r="Z63" s="1">
        <v>125862</v>
      </c>
      <c r="AA63" s="1">
        <v>125152</v>
      </c>
      <c r="AB63" s="1">
        <v>112051</v>
      </c>
      <c r="AC63" s="1">
        <v>123550</v>
      </c>
      <c r="AD63" s="1">
        <v>118786</v>
      </c>
      <c r="AE63" s="1">
        <v>125698</v>
      </c>
      <c r="AF63" s="1">
        <v>123991</v>
      </c>
      <c r="AG63" s="1">
        <v>127449</v>
      </c>
      <c r="AH63" s="1">
        <v>126472</v>
      </c>
      <c r="AI63" s="1">
        <v>125784</v>
      </c>
      <c r="AJ63" s="1">
        <v>131640</v>
      </c>
      <c r="AK63" s="1">
        <v>129021</v>
      </c>
      <c r="AL63" s="1">
        <v>133434</v>
      </c>
      <c r="AM63" s="1">
        <v>133158</v>
      </c>
      <c r="AN63" s="1">
        <v>119703</v>
      </c>
      <c r="AO63" s="1">
        <v>131459</v>
      </c>
      <c r="AP63" s="1">
        <v>126260</v>
      </c>
      <c r="AQ63" s="1">
        <v>129427</v>
      </c>
      <c r="AR63" s="1">
        <v>124123</v>
      </c>
      <c r="AS63" s="1">
        <v>129401</v>
      </c>
      <c r="AT63" s="1">
        <v>132824</v>
      </c>
      <c r="AU63" s="1">
        <v>131965</v>
      </c>
      <c r="AV63" s="1">
        <v>139105</v>
      </c>
      <c r="AW63" s="1">
        <v>136625</v>
      </c>
      <c r="AX63" s="1">
        <v>142869</v>
      </c>
      <c r="AY63" s="1"/>
      <c r="BA63" s="21">
        <f t="shared" si="48"/>
        <v>1462220</v>
      </c>
      <c r="BB63" s="22">
        <f t="shared" si="49"/>
        <v>121851.66666666667</v>
      </c>
      <c r="BD63" s="7">
        <f t="shared" si="50"/>
        <v>1524512</v>
      </c>
      <c r="BE63" s="7">
        <f t="shared" si="51"/>
        <v>62292</v>
      </c>
      <c r="BF63" s="8">
        <f t="shared" si="52"/>
        <v>4.2600976597228835E-2</v>
      </c>
      <c r="BG63" s="7">
        <f t="shared" si="53"/>
        <v>127042.66666666667</v>
      </c>
      <c r="BI63" s="12">
        <f t="shared" si="54"/>
        <v>1503028</v>
      </c>
      <c r="BJ63" s="12">
        <f t="shared" si="55"/>
        <v>-21484</v>
      </c>
      <c r="BK63" s="13">
        <f t="shared" si="56"/>
        <v>-1.4092378413551376E-2</v>
      </c>
      <c r="BL63" s="24">
        <f t="shared" si="57"/>
        <v>122893.625</v>
      </c>
      <c r="BM63" s="24">
        <f t="shared" si="58"/>
        <v>129969.75</v>
      </c>
      <c r="BO63" s="17">
        <f t="shared" si="59"/>
        <v>1576919</v>
      </c>
      <c r="BP63" s="17">
        <f t="shared" si="60"/>
        <v>73891</v>
      </c>
      <c r="BQ63" s="18">
        <f t="shared" si="61"/>
        <v>4.9161426134443298E-2</v>
      </c>
      <c r="BR63" s="25">
        <f t="shared" si="62"/>
        <v>131409.91666666666</v>
      </c>
    </row>
    <row r="64" spans="1:70">
      <c r="A64" t="s">
        <v>86</v>
      </c>
      <c r="B64">
        <v>110235</v>
      </c>
      <c r="C64" s="1">
        <v>39630</v>
      </c>
      <c r="D64" s="1">
        <v>35562</v>
      </c>
      <c r="E64" s="1">
        <v>39363</v>
      </c>
      <c r="F64" s="1">
        <v>39057</v>
      </c>
      <c r="G64" s="1">
        <v>41270</v>
      </c>
      <c r="H64" s="1">
        <v>42581</v>
      </c>
      <c r="I64" s="1">
        <v>44867</v>
      </c>
      <c r="J64" s="1">
        <v>45875</v>
      </c>
      <c r="K64" s="1">
        <v>45579</v>
      </c>
      <c r="L64" s="1">
        <v>45569</v>
      </c>
      <c r="M64" s="1">
        <v>44211</v>
      </c>
      <c r="N64" s="1">
        <v>43994</v>
      </c>
      <c r="O64" s="1">
        <v>44973</v>
      </c>
      <c r="P64" s="1">
        <v>41666</v>
      </c>
      <c r="Q64" s="1">
        <v>43577</v>
      </c>
      <c r="R64" s="1">
        <v>41895</v>
      </c>
      <c r="S64" s="1">
        <v>42533</v>
      </c>
      <c r="T64" s="1">
        <v>40616</v>
      </c>
      <c r="U64" s="1">
        <v>42741</v>
      </c>
      <c r="V64" s="1">
        <v>43078</v>
      </c>
      <c r="W64" s="1">
        <v>41284</v>
      </c>
      <c r="X64" s="1">
        <v>40895</v>
      </c>
      <c r="Y64" s="1">
        <v>38523</v>
      </c>
      <c r="Z64" s="1">
        <v>36864</v>
      </c>
      <c r="AA64" s="1">
        <v>37808</v>
      </c>
      <c r="AB64" s="1">
        <v>34022</v>
      </c>
      <c r="AC64" s="1">
        <v>37668</v>
      </c>
      <c r="AD64" s="1">
        <v>36185</v>
      </c>
      <c r="AE64" s="1">
        <v>37251</v>
      </c>
      <c r="AF64" s="1">
        <v>35466</v>
      </c>
      <c r="AG64" s="1">
        <v>37433</v>
      </c>
      <c r="AH64" s="1">
        <v>37158</v>
      </c>
      <c r="AI64" s="1">
        <v>34273</v>
      </c>
      <c r="AJ64" s="1">
        <v>35447</v>
      </c>
      <c r="AK64" s="1">
        <v>34583</v>
      </c>
      <c r="AL64" s="1">
        <v>35558</v>
      </c>
      <c r="AM64" s="1">
        <v>35231</v>
      </c>
      <c r="AN64" s="1">
        <v>31438</v>
      </c>
      <c r="AO64" s="1">
        <v>34283</v>
      </c>
      <c r="AP64" s="1">
        <v>32687</v>
      </c>
      <c r="AQ64" s="1">
        <v>33948</v>
      </c>
      <c r="AR64" s="1">
        <v>33698</v>
      </c>
      <c r="AS64" s="1">
        <v>35757</v>
      </c>
      <c r="AT64" s="1">
        <v>36701</v>
      </c>
      <c r="AU64" s="1">
        <v>36456</v>
      </c>
      <c r="AV64" s="1">
        <v>38429</v>
      </c>
      <c r="AW64" s="1">
        <v>37749</v>
      </c>
      <c r="AX64" s="1">
        <v>39484</v>
      </c>
      <c r="AY64" s="1"/>
      <c r="BA64" s="21">
        <f t="shared" si="48"/>
        <v>507558</v>
      </c>
      <c r="BB64" s="22">
        <f t="shared" si="49"/>
        <v>42296.5</v>
      </c>
      <c r="BD64" s="7">
        <f t="shared" si="50"/>
        <v>498645</v>
      </c>
      <c r="BE64" s="7">
        <f t="shared" si="51"/>
        <v>-8913</v>
      </c>
      <c r="BF64" s="8">
        <f t="shared" si="52"/>
        <v>-1.7560554655822624E-2</v>
      </c>
      <c r="BG64" s="7">
        <f t="shared" si="53"/>
        <v>41553.75</v>
      </c>
      <c r="BI64" s="12">
        <f t="shared" si="54"/>
        <v>432852</v>
      </c>
      <c r="BJ64" s="12">
        <f t="shared" si="55"/>
        <v>-65793</v>
      </c>
      <c r="BK64" s="13">
        <f t="shared" si="56"/>
        <v>-0.13194356706675092</v>
      </c>
      <c r="BL64" s="24">
        <f t="shared" si="57"/>
        <v>36623.875</v>
      </c>
      <c r="BM64" s="24">
        <f t="shared" si="58"/>
        <v>34965.25</v>
      </c>
      <c r="BO64" s="17">
        <f t="shared" si="59"/>
        <v>425861</v>
      </c>
      <c r="BP64" s="17">
        <f t="shared" si="60"/>
        <v>-6991</v>
      </c>
      <c r="BQ64" s="18">
        <f t="shared" si="61"/>
        <v>-1.6151016975779253E-2</v>
      </c>
      <c r="BR64" s="25">
        <f t="shared" si="62"/>
        <v>35488.416666666664</v>
      </c>
    </row>
    <row r="65" spans="1:70">
      <c r="A65" t="s">
        <v>11</v>
      </c>
      <c r="B65" t="s">
        <v>12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BA65" s="21"/>
      <c r="BB65" s="22"/>
      <c r="BD65" s="7"/>
      <c r="BE65" s="7"/>
      <c r="BF65" s="8"/>
      <c r="BG65" s="7"/>
      <c r="BI65" s="12"/>
      <c r="BJ65" s="12"/>
      <c r="BK65" s="13"/>
      <c r="BL65" s="24"/>
      <c r="BM65" s="24"/>
      <c r="BO65" s="17"/>
      <c r="BP65" s="17"/>
      <c r="BQ65" s="18"/>
      <c r="BR65" s="25"/>
    </row>
    <row r="66" spans="1:70">
      <c r="A66" t="s">
        <v>565</v>
      </c>
      <c r="C66" s="1">
        <v>609537</v>
      </c>
      <c r="D66" s="1">
        <v>550369</v>
      </c>
      <c r="E66" s="1">
        <v>611633</v>
      </c>
      <c r="F66" s="1">
        <v>594363</v>
      </c>
      <c r="G66" s="1">
        <v>605141</v>
      </c>
      <c r="H66" s="1">
        <v>598538</v>
      </c>
      <c r="I66" s="1">
        <v>623010</v>
      </c>
      <c r="J66" s="1">
        <v>625004</v>
      </c>
      <c r="K66" s="1">
        <v>603443</v>
      </c>
      <c r="L66" s="1">
        <v>617861</v>
      </c>
      <c r="M66" s="1">
        <v>599225</v>
      </c>
      <c r="N66" s="1">
        <v>610966</v>
      </c>
      <c r="O66" s="1">
        <v>605932</v>
      </c>
      <c r="P66" s="1">
        <v>566803</v>
      </c>
      <c r="Q66" s="1">
        <v>609201</v>
      </c>
      <c r="R66" s="1">
        <v>591003</v>
      </c>
      <c r="S66" s="1">
        <v>610820</v>
      </c>
      <c r="T66" s="1">
        <v>595388</v>
      </c>
      <c r="U66" s="1">
        <v>606873</v>
      </c>
      <c r="V66" s="1">
        <v>615940</v>
      </c>
      <c r="W66" s="1">
        <v>597013</v>
      </c>
      <c r="X66" s="1">
        <v>614467</v>
      </c>
      <c r="Y66" s="1">
        <v>609635</v>
      </c>
      <c r="Z66" s="1">
        <v>627368</v>
      </c>
      <c r="AA66" s="1">
        <v>639305</v>
      </c>
      <c r="AB66" s="1">
        <v>575808</v>
      </c>
      <c r="AC66" s="1">
        <v>646487</v>
      </c>
      <c r="AD66" s="1">
        <v>643310</v>
      </c>
      <c r="AE66" s="1">
        <v>671382</v>
      </c>
      <c r="AF66" s="1">
        <v>660868</v>
      </c>
      <c r="AG66" s="1">
        <v>696874</v>
      </c>
      <c r="AH66" s="1">
        <v>699505</v>
      </c>
      <c r="AI66" s="1">
        <v>611152</v>
      </c>
      <c r="AJ66" s="1">
        <v>583026</v>
      </c>
      <c r="AK66" s="1">
        <v>573656</v>
      </c>
      <c r="AL66" s="1">
        <v>602018</v>
      </c>
      <c r="AM66" s="1">
        <v>612292</v>
      </c>
      <c r="AN66" s="1">
        <v>561683</v>
      </c>
      <c r="AO66" s="1">
        <v>630850</v>
      </c>
      <c r="AP66" s="1">
        <v>625423</v>
      </c>
      <c r="AQ66" s="1">
        <v>661685</v>
      </c>
      <c r="AR66" s="1">
        <v>650067</v>
      </c>
      <c r="AS66" s="1">
        <v>684730</v>
      </c>
      <c r="AT66" s="1">
        <v>700756</v>
      </c>
      <c r="AU66" s="1">
        <v>694086</v>
      </c>
      <c r="AV66" s="1">
        <v>729841</v>
      </c>
      <c r="AW66" s="1">
        <v>715371</v>
      </c>
      <c r="AX66" s="1">
        <v>746811</v>
      </c>
      <c r="AY66" s="1"/>
      <c r="BA66" s="21">
        <f>SUM(C66:N66)</f>
        <v>7249090</v>
      </c>
      <c r="BB66" s="22">
        <f>+BA66/12</f>
        <v>604090.83333333337</v>
      </c>
      <c r="BD66" s="7">
        <f>SUM(O66:Z66)</f>
        <v>7250443</v>
      </c>
      <c r="BE66" s="7">
        <f>+BD66-BA66</f>
        <v>1353</v>
      </c>
      <c r="BF66" s="8">
        <f>(BD66/BA66)-1</f>
        <v>1.8664411670976655E-4</v>
      </c>
      <c r="BG66" s="7">
        <f>BD66/12</f>
        <v>604203.58333333337</v>
      </c>
      <c r="BI66" s="12">
        <f>+SUM(AA66:AL66)</f>
        <v>7603391</v>
      </c>
      <c r="BJ66" s="12">
        <f>+BI66-BD66</f>
        <v>352948</v>
      </c>
      <c r="BK66" s="13">
        <f>(BI66/BD66)-1</f>
        <v>4.8679508272804872E-2</v>
      </c>
      <c r="BL66" s="24">
        <f>SUM(AA66:AH66)/8</f>
        <v>654192.375</v>
      </c>
      <c r="BM66" s="24">
        <f>SUM(AI66:AL66)/4</f>
        <v>592463</v>
      </c>
      <c r="BO66" s="17">
        <f>+SUM(AM66:AX66)</f>
        <v>8013595</v>
      </c>
      <c r="BP66" s="17">
        <f>+BO66-BI66</f>
        <v>410204</v>
      </c>
      <c r="BQ66" s="18">
        <f>(BO66/BI66)-1</f>
        <v>5.3950138826215799E-2</v>
      </c>
      <c r="BR66" s="25">
        <f>BO66/12</f>
        <v>667799.58333333337</v>
      </c>
    </row>
    <row r="67" spans="1:70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BA67" s="21"/>
      <c r="BB67" s="22"/>
      <c r="BD67" s="7"/>
      <c r="BE67" s="7"/>
      <c r="BF67" s="8"/>
      <c r="BG67" s="7"/>
      <c r="BI67" s="12"/>
      <c r="BJ67" s="12"/>
      <c r="BK67" s="13"/>
      <c r="BL67" s="24"/>
      <c r="BM67" s="24"/>
      <c r="BO67" s="17"/>
      <c r="BP67" s="17"/>
      <c r="BQ67" s="18"/>
      <c r="BR67" s="25"/>
    </row>
    <row r="68" spans="1:70">
      <c r="A68" t="s">
        <v>89</v>
      </c>
      <c r="B68">
        <v>110303</v>
      </c>
      <c r="C68" s="1">
        <v>657</v>
      </c>
      <c r="D68" s="1">
        <v>708</v>
      </c>
      <c r="E68" s="1">
        <v>690</v>
      </c>
      <c r="F68" s="1">
        <v>530</v>
      </c>
      <c r="G68" s="1">
        <v>590</v>
      </c>
      <c r="H68" s="1">
        <v>644</v>
      </c>
      <c r="I68" s="1">
        <v>626</v>
      </c>
      <c r="J68" s="1">
        <v>608</v>
      </c>
      <c r="K68" s="1">
        <v>590</v>
      </c>
      <c r="L68" s="1">
        <v>579</v>
      </c>
      <c r="M68" s="1">
        <v>546</v>
      </c>
      <c r="N68" s="1">
        <v>535</v>
      </c>
      <c r="O68" s="1">
        <v>517</v>
      </c>
      <c r="P68" s="1">
        <v>498</v>
      </c>
      <c r="Q68" s="1">
        <v>480</v>
      </c>
      <c r="R68" s="1">
        <v>461</v>
      </c>
      <c r="S68" s="1">
        <v>498</v>
      </c>
      <c r="T68" s="1">
        <v>367</v>
      </c>
      <c r="U68" s="1">
        <v>403</v>
      </c>
      <c r="V68" s="1">
        <v>387</v>
      </c>
      <c r="W68" s="1">
        <v>369</v>
      </c>
      <c r="X68" s="1">
        <v>349</v>
      </c>
      <c r="Y68" s="1">
        <v>332</v>
      </c>
      <c r="Z68" s="1">
        <v>313</v>
      </c>
      <c r="AA68" s="1">
        <v>292</v>
      </c>
      <c r="AB68" s="1">
        <v>255</v>
      </c>
      <c r="AC68" s="1">
        <v>241</v>
      </c>
      <c r="AD68" s="1">
        <v>228</v>
      </c>
      <c r="AE68" s="1">
        <v>215</v>
      </c>
      <c r="AF68" s="1">
        <v>199</v>
      </c>
      <c r="AG68" s="1">
        <v>186</v>
      </c>
      <c r="AH68" s="1">
        <v>170</v>
      </c>
      <c r="AI68" s="1">
        <v>188</v>
      </c>
      <c r="AJ68" s="1">
        <v>206</v>
      </c>
      <c r="AK68" s="1">
        <v>223</v>
      </c>
      <c r="AL68" s="1">
        <v>239</v>
      </c>
      <c r="AM68" s="1">
        <v>254</v>
      </c>
      <c r="AN68" s="1">
        <v>270</v>
      </c>
      <c r="AO68" s="1">
        <v>282</v>
      </c>
      <c r="AP68" s="1">
        <v>281</v>
      </c>
      <c r="AQ68" s="1">
        <v>287</v>
      </c>
      <c r="AR68" s="1">
        <v>299</v>
      </c>
      <c r="AS68" s="1">
        <v>313</v>
      </c>
      <c r="AT68" s="1">
        <v>329</v>
      </c>
      <c r="AU68" s="1">
        <v>346</v>
      </c>
      <c r="AV68" s="1">
        <v>363</v>
      </c>
      <c r="AW68" s="1">
        <v>381</v>
      </c>
      <c r="AX68" s="1">
        <v>403</v>
      </c>
      <c r="AY68" s="1"/>
      <c r="BA68" s="21">
        <f t="shared" ref="BA68:BA84" si="63">SUM(C68:N68)</f>
        <v>7303</v>
      </c>
      <c r="BB68" s="22">
        <f t="shared" ref="BB68:BB84" si="64">+BA68/12</f>
        <v>608.58333333333337</v>
      </c>
      <c r="BD68" s="7">
        <f t="shared" ref="BD68:BD84" si="65">SUM(O68:Z68)</f>
        <v>4974</v>
      </c>
      <c r="BE68" s="7">
        <f t="shared" ref="BE68:BE84" si="66">+BD68-BA68</f>
        <v>-2329</v>
      </c>
      <c r="BF68" s="8">
        <f t="shared" ref="BF68:BF84" si="67">(BD68/BA68)-1</f>
        <v>-0.31891003697110776</v>
      </c>
      <c r="BG68" s="7">
        <f t="shared" ref="BG68:BG84" si="68">BD68/12</f>
        <v>414.5</v>
      </c>
      <c r="BI68" s="12">
        <f t="shared" ref="BI68:BI84" si="69">+SUM(AA68:AL68)</f>
        <v>2642</v>
      </c>
      <c r="BJ68" s="12">
        <f t="shared" ref="BJ68:BJ84" si="70">+BI68-BD68</f>
        <v>-2332</v>
      </c>
      <c r="BK68" s="13">
        <f t="shared" ref="BK68:BK84" si="71">(BI68/BD68)-1</f>
        <v>-0.46883795737836753</v>
      </c>
      <c r="BL68" s="24">
        <f t="shared" ref="BL68:BL84" si="72">SUM(AA68:AH68)/8</f>
        <v>223.25</v>
      </c>
      <c r="BM68" s="24">
        <f t="shared" ref="BM68:BM84" si="73">SUM(AI68:AL68)/4</f>
        <v>214</v>
      </c>
      <c r="BO68" s="17">
        <f t="shared" ref="BO68:BO84" si="74">+SUM(AM68:AX68)</f>
        <v>3808</v>
      </c>
      <c r="BP68" s="17">
        <f t="shared" ref="BP68:BP84" si="75">+BO68-BI68</f>
        <v>1166</v>
      </c>
      <c r="BQ68" s="18">
        <f t="shared" ref="BQ68:BQ84" si="76">(BO68/BI68)-1</f>
        <v>0.44133232399697198</v>
      </c>
      <c r="BR68" s="25">
        <f t="shared" ref="BR68:BR84" si="77">BO68/12</f>
        <v>317.33333333333331</v>
      </c>
    </row>
    <row r="69" spans="1:70">
      <c r="A69" t="s">
        <v>90</v>
      </c>
      <c r="B69">
        <v>110315</v>
      </c>
      <c r="C69" s="1">
        <v>2478</v>
      </c>
      <c r="D69" s="1">
        <v>2452</v>
      </c>
      <c r="E69" s="1">
        <v>2426</v>
      </c>
      <c r="F69" s="1">
        <v>2400</v>
      </c>
      <c r="G69" s="1">
        <v>2374</v>
      </c>
      <c r="H69" s="1">
        <v>2348</v>
      </c>
      <c r="I69" s="1">
        <v>2322</v>
      </c>
      <c r="J69" s="1">
        <v>2296</v>
      </c>
      <c r="K69" s="1">
        <v>2269</v>
      </c>
      <c r="L69" s="1">
        <v>2243</v>
      </c>
      <c r="M69" s="1">
        <v>2216</v>
      </c>
      <c r="N69" s="1">
        <v>2190</v>
      </c>
      <c r="O69" s="1">
        <v>2163</v>
      </c>
      <c r="P69" s="1">
        <v>2137</v>
      </c>
      <c r="Q69" s="1">
        <v>2110</v>
      </c>
      <c r="R69" s="1">
        <v>2084</v>
      </c>
      <c r="S69" s="1">
        <v>2058</v>
      </c>
      <c r="T69" s="1">
        <v>2031</v>
      </c>
      <c r="U69" s="1">
        <v>2005</v>
      </c>
      <c r="V69" s="1">
        <v>1978</v>
      </c>
      <c r="W69" s="1">
        <v>1951</v>
      </c>
      <c r="X69" s="1">
        <v>1847</v>
      </c>
      <c r="Y69" s="1">
        <v>1758</v>
      </c>
      <c r="Z69" s="1">
        <v>1733</v>
      </c>
      <c r="AA69" s="1">
        <v>1709</v>
      </c>
      <c r="AB69" s="1">
        <v>1684</v>
      </c>
      <c r="AC69" s="1">
        <v>1658</v>
      </c>
      <c r="AD69" s="1">
        <v>1633</v>
      </c>
      <c r="AE69" s="1">
        <v>1608</v>
      </c>
      <c r="AF69" s="1">
        <v>1583</v>
      </c>
      <c r="AG69" s="1">
        <v>1557</v>
      </c>
      <c r="AH69" s="1">
        <v>1531</v>
      </c>
      <c r="AI69" s="1">
        <v>1684</v>
      </c>
      <c r="AJ69" s="1">
        <v>1803</v>
      </c>
      <c r="AK69" s="1">
        <v>1948</v>
      </c>
      <c r="AL69" s="1">
        <v>2081</v>
      </c>
      <c r="AM69" s="1">
        <v>2211</v>
      </c>
      <c r="AN69" s="1">
        <v>2361</v>
      </c>
      <c r="AO69" s="1">
        <v>2431</v>
      </c>
      <c r="AP69" s="1">
        <v>2454</v>
      </c>
      <c r="AQ69" s="1">
        <v>2503</v>
      </c>
      <c r="AR69" s="1">
        <v>2617</v>
      </c>
      <c r="AS69" s="1">
        <v>2748</v>
      </c>
      <c r="AT69" s="1">
        <v>2901</v>
      </c>
      <c r="AU69" s="1">
        <v>3061</v>
      </c>
      <c r="AV69" s="1">
        <v>3222</v>
      </c>
      <c r="AW69" s="1">
        <v>3393</v>
      </c>
      <c r="AX69" s="1">
        <v>3596</v>
      </c>
      <c r="AY69" s="1"/>
      <c r="BA69" s="21">
        <f t="shared" si="63"/>
        <v>28014</v>
      </c>
      <c r="BB69" s="22">
        <f t="shared" si="64"/>
        <v>2334.5</v>
      </c>
      <c r="BD69" s="7">
        <f t="shared" si="65"/>
        <v>23855</v>
      </c>
      <c r="BE69" s="7">
        <f t="shared" si="66"/>
        <v>-4159</v>
      </c>
      <c r="BF69" s="8">
        <f t="shared" si="67"/>
        <v>-0.14846148354394229</v>
      </c>
      <c r="BG69" s="7">
        <f t="shared" si="68"/>
        <v>1987.9166666666667</v>
      </c>
      <c r="BI69" s="12">
        <f t="shared" si="69"/>
        <v>20479</v>
      </c>
      <c r="BJ69" s="12">
        <f t="shared" si="70"/>
        <v>-3376</v>
      </c>
      <c r="BK69" s="13">
        <f t="shared" si="71"/>
        <v>-0.14152169356529032</v>
      </c>
      <c r="BL69" s="24">
        <f t="shared" si="72"/>
        <v>1620.375</v>
      </c>
      <c r="BM69" s="24">
        <f t="shared" si="73"/>
        <v>1879</v>
      </c>
      <c r="BO69" s="17">
        <f t="shared" si="74"/>
        <v>33498</v>
      </c>
      <c r="BP69" s="17">
        <f t="shared" si="75"/>
        <v>13019</v>
      </c>
      <c r="BQ69" s="18">
        <f t="shared" si="76"/>
        <v>0.63572440060549829</v>
      </c>
      <c r="BR69" s="25">
        <f t="shared" si="77"/>
        <v>2791.5</v>
      </c>
    </row>
    <row r="70" spans="1:70">
      <c r="A70" t="s">
        <v>95</v>
      </c>
      <c r="B70">
        <v>110306</v>
      </c>
      <c r="C70" s="1">
        <v>1098</v>
      </c>
      <c r="D70" s="1">
        <v>1069</v>
      </c>
      <c r="E70" s="1">
        <v>1039</v>
      </c>
      <c r="F70" s="1">
        <v>1008</v>
      </c>
      <c r="G70" s="1">
        <v>978</v>
      </c>
      <c r="H70" s="1">
        <v>947</v>
      </c>
      <c r="I70" s="1">
        <v>916</v>
      </c>
      <c r="J70" s="1">
        <v>885</v>
      </c>
      <c r="K70" s="1">
        <v>854</v>
      </c>
      <c r="L70" s="1">
        <v>822</v>
      </c>
      <c r="M70" s="1">
        <v>791</v>
      </c>
      <c r="N70" s="1">
        <v>745</v>
      </c>
      <c r="O70" s="1">
        <v>711</v>
      </c>
      <c r="P70" s="1">
        <v>679</v>
      </c>
      <c r="Q70" s="1">
        <v>647</v>
      </c>
      <c r="R70" s="1">
        <v>614</v>
      </c>
      <c r="S70" s="1">
        <v>593</v>
      </c>
      <c r="T70" s="1">
        <v>571</v>
      </c>
      <c r="U70" s="1">
        <v>550</v>
      </c>
      <c r="V70" s="1">
        <v>528</v>
      </c>
      <c r="W70" s="1">
        <v>505</v>
      </c>
      <c r="X70" s="1">
        <v>483</v>
      </c>
      <c r="Y70" s="1">
        <v>460</v>
      </c>
      <c r="Z70" s="1">
        <v>437</v>
      </c>
      <c r="AA70" s="1">
        <v>410</v>
      </c>
      <c r="AB70" s="1">
        <v>387</v>
      </c>
      <c r="AC70" s="1">
        <v>364</v>
      </c>
      <c r="AD70" s="1">
        <v>340</v>
      </c>
      <c r="AE70" s="1">
        <v>317</v>
      </c>
      <c r="AF70" s="1">
        <v>300</v>
      </c>
      <c r="AG70" s="1">
        <v>270</v>
      </c>
      <c r="AH70" s="1">
        <v>243</v>
      </c>
      <c r="AI70" s="1">
        <v>234</v>
      </c>
      <c r="AJ70" s="1">
        <v>258</v>
      </c>
      <c r="AK70" s="1">
        <v>287</v>
      </c>
      <c r="AL70" s="1">
        <v>314</v>
      </c>
      <c r="AM70" s="1">
        <v>340</v>
      </c>
      <c r="AN70" s="1">
        <v>368</v>
      </c>
      <c r="AO70" s="1">
        <v>383</v>
      </c>
      <c r="AP70" s="1">
        <v>400</v>
      </c>
      <c r="AQ70" s="1">
        <v>415</v>
      </c>
      <c r="AR70" s="1">
        <v>428</v>
      </c>
      <c r="AS70" s="1">
        <v>445</v>
      </c>
      <c r="AT70" s="1">
        <v>464</v>
      </c>
      <c r="AU70" s="1">
        <v>484</v>
      </c>
      <c r="AV70" s="1">
        <v>504</v>
      </c>
      <c r="AW70" s="1">
        <v>525</v>
      </c>
      <c r="AX70" s="1">
        <v>548</v>
      </c>
      <c r="AY70" s="1"/>
      <c r="BA70" s="21">
        <f t="shared" si="63"/>
        <v>11152</v>
      </c>
      <c r="BB70" s="22">
        <f t="shared" si="64"/>
        <v>929.33333333333337</v>
      </c>
      <c r="BD70" s="7">
        <f t="shared" si="65"/>
        <v>6778</v>
      </c>
      <c r="BE70" s="7">
        <f t="shared" si="66"/>
        <v>-4374</v>
      </c>
      <c r="BF70" s="8">
        <f t="shared" si="67"/>
        <v>-0.39221664275466284</v>
      </c>
      <c r="BG70" s="7">
        <f t="shared" si="68"/>
        <v>564.83333333333337</v>
      </c>
      <c r="BI70" s="12">
        <f t="shared" si="69"/>
        <v>3724</v>
      </c>
      <c r="BJ70" s="12">
        <f t="shared" si="70"/>
        <v>-3054</v>
      </c>
      <c r="BK70" s="13">
        <f t="shared" si="71"/>
        <v>-0.4505753909707878</v>
      </c>
      <c r="BL70" s="24">
        <f t="shared" si="72"/>
        <v>328.875</v>
      </c>
      <c r="BM70" s="24">
        <f t="shared" si="73"/>
        <v>273.25</v>
      </c>
      <c r="BO70" s="17">
        <f t="shared" si="74"/>
        <v>5304</v>
      </c>
      <c r="BP70" s="17">
        <f t="shared" si="75"/>
        <v>1580</v>
      </c>
      <c r="BQ70" s="18">
        <f t="shared" si="76"/>
        <v>0.42427497314715357</v>
      </c>
      <c r="BR70" s="25">
        <f t="shared" si="77"/>
        <v>442</v>
      </c>
    </row>
    <row r="71" spans="1:70">
      <c r="A71" t="s">
        <v>97</v>
      </c>
      <c r="B71">
        <v>110307</v>
      </c>
      <c r="C71" s="1">
        <v>9073</v>
      </c>
      <c r="D71" s="1">
        <v>9710</v>
      </c>
      <c r="E71" s="1">
        <v>10085</v>
      </c>
      <c r="F71" s="1">
        <v>8939</v>
      </c>
      <c r="G71" s="1">
        <v>6538</v>
      </c>
      <c r="H71" s="1">
        <v>9229</v>
      </c>
      <c r="I71" s="1">
        <v>9225</v>
      </c>
      <c r="J71" s="1">
        <v>9111</v>
      </c>
      <c r="K71" s="1">
        <v>9009</v>
      </c>
      <c r="L71" s="1">
        <v>8602</v>
      </c>
      <c r="M71" s="1">
        <v>8387</v>
      </c>
      <c r="N71" s="1">
        <v>8248</v>
      </c>
      <c r="O71" s="1">
        <v>7981</v>
      </c>
      <c r="P71" s="1">
        <v>7924</v>
      </c>
      <c r="Q71" s="1">
        <v>7882</v>
      </c>
      <c r="R71" s="1">
        <v>7703</v>
      </c>
      <c r="S71" s="1">
        <v>8312</v>
      </c>
      <c r="T71" s="1">
        <v>5509</v>
      </c>
      <c r="U71" s="1">
        <v>8340</v>
      </c>
      <c r="V71" s="1">
        <v>7080</v>
      </c>
      <c r="W71" s="1">
        <v>7107</v>
      </c>
      <c r="X71" s="1">
        <v>6954</v>
      </c>
      <c r="Y71" s="1">
        <v>6753</v>
      </c>
      <c r="Z71" s="1">
        <v>6556</v>
      </c>
      <c r="AA71" s="1">
        <v>6528</v>
      </c>
      <c r="AB71" s="1">
        <v>6332</v>
      </c>
      <c r="AC71" s="1">
        <v>6221</v>
      </c>
      <c r="AD71" s="1">
        <v>6160</v>
      </c>
      <c r="AE71" s="1">
        <v>6026</v>
      </c>
      <c r="AF71" s="1">
        <v>5744</v>
      </c>
      <c r="AG71" s="1">
        <v>5609</v>
      </c>
      <c r="AH71" s="1">
        <v>5562</v>
      </c>
      <c r="AI71" s="1">
        <v>6068</v>
      </c>
      <c r="AJ71" s="1">
        <v>6335</v>
      </c>
      <c r="AK71" s="1">
        <v>6664</v>
      </c>
      <c r="AL71" s="1">
        <v>6962</v>
      </c>
      <c r="AM71" s="1">
        <v>7254</v>
      </c>
      <c r="AN71" s="1">
        <v>7590</v>
      </c>
      <c r="AO71" s="1">
        <v>7723</v>
      </c>
      <c r="AP71" s="1">
        <v>7728</v>
      </c>
      <c r="AQ71" s="1">
        <v>7808</v>
      </c>
      <c r="AR71" s="1">
        <v>8048</v>
      </c>
      <c r="AS71" s="1">
        <v>8333</v>
      </c>
      <c r="AT71" s="1">
        <v>8673</v>
      </c>
      <c r="AU71" s="1">
        <v>9028</v>
      </c>
      <c r="AV71" s="1">
        <v>9390</v>
      </c>
      <c r="AW71" s="1">
        <v>9775</v>
      </c>
      <c r="AX71" s="1">
        <v>10240</v>
      </c>
      <c r="AY71" s="1"/>
      <c r="BA71" s="21">
        <f t="shared" si="63"/>
        <v>106156</v>
      </c>
      <c r="BB71" s="22">
        <f t="shared" si="64"/>
        <v>8846.3333333333339</v>
      </c>
      <c r="BD71" s="7">
        <f t="shared" si="65"/>
        <v>88101</v>
      </c>
      <c r="BE71" s="7">
        <f t="shared" si="66"/>
        <v>-18055</v>
      </c>
      <c r="BF71" s="8">
        <f t="shared" si="67"/>
        <v>-0.17007988243716798</v>
      </c>
      <c r="BG71" s="7">
        <f t="shared" si="68"/>
        <v>7341.75</v>
      </c>
      <c r="BI71" s="12">
        <f t="shared" si="69"/>
        <v>74211</v>
      </c>
      <c r="BJ71" s="12">
        <f t="shared" si="70"/>
        <v>-13890</v>
      </c>
      <c r="BK71" s="13">
        <f t="shared" si="71"/>
        <v>-0.15765995845677117</v>
      </c>
      <c r="BL71" s="24">
        <f t="shared" si="72"/>
        <v>6022.75</v>
      </c>
      <c r="BM71" s="24">
        <f t="shared" si="73"/>
        <v>6507.25</v>
      </c>
      <c r="BO71" s="17">
        <f t="shared" si="74"/>
        <v>101590</v>
      </c>
      <c r="BP71" s="17">
        <f t="shared" si="75"/>
        <v>27379</v>
      </c>
      <c r="BQ71" s="18">
        <f t="shared" si="76"/>
        <v>0.36893452453140374</v>
      </c>
      <c r="BR71" s="25">
        <f t="shared" si="77"/>
        <v>8465.8333333333339</v>
      </c>
    </row>
    <row r="72" spans="1:70">
      <c r="A72" t="s">
        <v>98</v>
      </c>
      <c r="B72">
        <v>110316</v>
      </c>
      <c r="C72" s="1">
        <v>72512</v>
      </c>
      <c r="D72" s="1">
        <v>72059</v>
      </c>
      <c r="E72" s="1">
        <v>71383</v>
      </c>
      <c r="F72" s="1">
        <v>70341</v>
      </c>
      <c r="G72" s="1">
        <v>69865</v>
      </c>
      <c r="H72" s="1">
        <v>69103</v>
      </c>
      <c r="I72" s="1">
        <v>68174</v>
      </c>
      <c r="J72" s="1">
        <v>67727</v>
      </c>
      <c r="K72" s="1">
        <v>67235</v>
      </c>
      <c r="L72" s="1">
        <v>66460</v>
      </c>
      <c r="M72" s="1">
        <v>65853</v>
      </c>
      <c r="N72" s="1">
        <v>65387</v>
      </c>
      <c r="O72" s="1">
        <v>64853</v>
      </c>
      <c r="P72" s="1">
        <v>64386</v>
      </c>
      <c r="Q72" s="1">
        <v>63190</v>
      </c>
      <c r="R72" s="1">
        <v>62517</v>
      </c>
      <c r="S72" s="1">
        <v>61607</v>
      </c>
      <c r="T72" s="1">
        <v>61161</v>
      </c>
      <c r="U72" s="1">
        <v>60528</v>
      </c>
      <c r="V72" s="1">
        <v>59923</v>
      </c>
      <c r="W72" s="1">
        <v>59450</v>
      </c>
      <c r="X72" s="1">
        <v>58987</v>
      </c>
      <c r="Y72" s="1">
        <v>58528</v>
      </c>
      <c r="Z72" s="1">
        <v>57877</v>
      </c>
      <c r="AA72" s="1">
        <v>57340</v>
      </c>
      <c r="AB72" s="1">
        <v>56895</v>
      </c>
      <c r="AC72" s="1">
        <v>56410</v>
      </c>
      <c r="AD72" s="1">
        <v>55675</v>
      </c>
      <c r="AE72" s="1">
        <v>55580</v>
      </c>
      <c r="AF72" s="1">
        <v>55067</v>
      </c>
      <c r="AG72" s="1">
        <v>54452</v>
      </c>
      <c r="AH72" s="1">
        <v>53670</v>
      </c>
      <c r="AI72" s="1">
        <v>57055</v>
      </c>
      <c r="AJ72" s="1">
        <v>60029</v>
      </c>
      <c r="AK72" s="1">
        <v>63160</v>
      </c>
      <c r="AL72" s="1">
        <v>66376</v>
      </c>
      <c r="AM72" s="1">
        <v>69509</v>
      </c>
      <c r="AN72" s="1">
        <v>73202</v>
      </c>
      <c r="AO72" s="1">
        <v>75103</v>
      </c>
      <c r="AP72" s="1">
        <v>75249</v>
      </c>
      <c r="AQ72" s="1">
        <v>75217</v>
      </c>
      <c r="AR72" s="1">
        <v>77745</v>
      </c>
      <c r="AS72" s="1">
        <v>80864</v>
      </c>
      <c r="AT72" s="1">
        <v>84758</v>
      </c>
      <c r="AU72" s="1">
        <v>88822</v>
      </c>
      <c r="AV72" s="1">
        <v>92971</v>
      </c>
      <c r="AW72" s="1">
        <v>97409</v>
      </c>
      <c r="AX72" s="1">
        <v>102838</v>
      </c>
      <c r="AY72" s="1"/>
      <c r="BA72" s="21">
        <f t="shared" si="63"/>
        <v>826099</v>
      </c>
      <c r="BB72" s="22">
        <f t="shared" si="64"/>
        <v>68841.583333333328</v>
      </c>
      <c r="BD72" s="7">
        <f t="shared" si="65"/>
        <v>733007</v>
      </c>
      <c r="BE72" s="7">
        <f t="shared" si="66"/>
        <v>-93092</v>
      </c>
      <c r="BF72" s="8">
        <f t="shared" si="67"/>
        <v>-0.11268867290724238</v>
      </c>
      <c r="BG72" s="7">
        <f t="shared" si="68"/>
        <v>61083.916666666664</v>
      </c>
      <c r="BI72" s="12">
        <f t="shared" si="69"/>
        <v>691709</v>
      </c>
      <c r="BJ72" s="12">
        <f t="shared" si="70"/>
        <v>-41298</v>
      </c>
      <c r="BK72" s="13">
        <f t="shared" si="71"/>
        <v>-5.6340526079559972E-2</v>
      </c>
      <c r="BL72" s="24">
        <f t="shared" si="72"/>
        <v>55636.125</v>
      </c>
      <c r="BM72" s="24">
        <f t="shared" si="73"/>
        <v>61655</v>
      </c>
      <c r="BO72" s="17">
        <f t="shared" si="74"/>
        <v>993687</v>
      </c>
      <c r="BP72" s="17">
        <f t="shared" si="75"/>
        <v>301978</v>
      </c>
      <c r="BQ72" s="18">
        <f t="shared" si="76"/>
        <v>0.43656797873094022</v>
      </c>
      <c r="BR72" s="25">
        <f t="shared" si="77"/>
        <v>82807.25</v>
      </c>
    </row>
    <row r="73" spans="1:70">
      <c r="A73" t="s">
        <v>566</v>
      </c>
      <c r="B73">
        <v>110321</v>
      </c>
      <c r="C73" s="1">
        <v>-20</v>
      </c>
      <c r="D73" s="1">
        <v>-31</v>
      </c>
      <c r="E73" s="1">
        <v>-41</v>
      </c>
      <c r="F73" s="1">
        <v>-27</v>
      </c>
      <c r="G73" s="1">
        <v>-33</v>
      </c>
      <c r="H73" s="1">
        <v>-51</v>
      </c>
      <c r="I73" s="1">
        <v>-15</v>
      </c>
      <c r="J73" s="1">
        <v>-24</v>
      </c>
      <c r="K73" s="1">
        <v>-35</v>
      </c>
      <c r="L73" s="1">
        <v>-26</v>
      </c>
      <c r="M73" s="1">
        <v>-34</v>
      </c>
      <c r="N73" s="1">
        <v>-23</v>
      </c>
      <c r="O73" s="1">
        <v>-13</v>
      </c>
      <c r="P73" s="1">
        <v>-28</v>
      </c>
      <c r="Q73" s="1">
        <v>-22</v>
      </c>
      <c r="R73" s="1">
        <v>-26</v>
      </c>
      <c r="S73" s="1">
        <v>58</v>
      </c>
      <c r="T73" s="1">
        <v>-140</v>
      </c>
      <c r="U73" s="1">
        <v>-10</v>
      </c>
      <c r="V73" s="1">
        <v>-40</v>
      </c>
      <c r="W73" s="1">
        <v>-9</v>
      </c>
      <c r="X73" s="1">
        <v>-17</v>
      </c>
      <c r="Y73" s="1">
        <v>-25</v>
      </c>
      <c r="Z73" s="1">
        <v>-14</v>
      </c>
      <c r="AA73" s="1">
        <v>11</v>
      </c>
      <c r="AB73" s="1">
        <v>-16</v>
      </c>
      <c r="AC73" s="1">
        <v>-28</v>
      </c>
      <c r="AD73" s="1">
        <v>-14</v>
      </c>
      <c r="AE73" s="1">
        <v>-8</v>
      </c>
      <c r="AF73" s="1">
        <v>-36</v>
      </c>
      <c r="AG73" s="1">
        <v>-38</v>
      </c>
      <c r="AH73" s="1">
        <v>-30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/>
      <c r="BA73" s="21">
        <f t="shared" si="63"/>
        <v>-360</v>
      </c>
      <c r="BB73" s="22">
        <f t="shared" si="64"/>
        <v>-30</v>
      </c>
      <c r="BD73" s="7">
        <f t="shared" si="65"/>
        <v>-286</v>
      </c>
      <c r="BE73" s="7">
        <f t="shared" si="66"/>
        <v>74</v>
      </c>
      <c r="BF73" s="8">
        <f t="shared" si="67"/>
        <v>-0.2055555555555556</v>
      </c>
      <c r="BG73" s="7">
        <f t="shared" si="68"/>
        <v>-23.833333333333332</v>
      </c>
      <c r="BI73" s="12">
        <f t="shared" si="69"/>
        <v>-159</v>
      </c>
      <c r="BJ73" s="12">
        <f t="shared" si="70"/>
        <v>127</v>
      </c>
      <c r="BK73" s="13">
        <f t="shared" si="71"/>
        <v>-0.44405594405594406</v>
      </c>
      <c r="BL73" s="24">
        <f t="shared" si="72"/>
        <v>-19.875</v>
      </c>
      <c r="BM73" s="24">
        <f t="shared" si="73"/>
        <v>0</v>
      </c>
      <c r="BO73" s="17">
        <f t="shared" si="74"/>
        <v>0</v>
      </c>
      <c r="BP73" s="17">
        <f t="shared" si="75"/>
        <v>159</v>
      </c>
      <c r="BQ73" s="18">
        <f t="shared" si="76"/>
        <v>-1</v>
      </c>
      <c r="BR73" s="25">
        <f t="shared" si="77"/>
        <v>0</v>
      </c>
    </row>
    <row r="74" spans="1:70">
      <c r="A74" t="s">
        <v>101</v>
      </c>
      <c r="B74">
        <v>110308</v>
      </c>
      <c r="C74" s="1">
        <v>1306</v>
      </c>
      <c r="D74" s="1">
        <v>1284</v>
      </c>
      <c r="E74" s="1">
        <v>1249</v>
      </c>
      <c r="F74" s="1">
        <v>1220</v>
      </c>
      <c r="G74" s="1">
        <v>1192</v>
      </c>
      <c r="H74" s="1">
        <v>1163</v>
      </c>
      <c r="I74" s="1">
        <v>1127</v>
      </c>
      <c r="J74" s="1">
        <v>1091</v>
      </c>
      <c r="K74" s="1">
        <v>1074</v>
      </c>
      <c r="L74" s="1">
        <v>1057</v>
      </c>
      <c r="M74" s="1">
        <v>1039</v>
      </c>
      <c r="N74" s="1">
        <v>1022</v>
      </c>
      <c r="O74" s="1">
        <v>1004</v>
      </c>
      <c r="P74" s="1">
        <v>986</v>
      </c>
      <c r="Q74" s="1">
        <v>969</v>
      </c>
      <c r="R74" s="1">
        <v>951</v>
      </c>
      <c r="S74" s="1">
        <v>933</v>
      </c>
      <c r="T74" s="1">
        <v>915</v>
      </c>
      <c r="U74" s="1">
        <v>896</v>
      </c>
      <c r="V74" s="1">
        <v>869</v>
      </c>
      <c r="W74" s="1">
        <v>851</v>
      </c>
      <c r="X74" s="1">
        <v>833</v>
      </c>
      <c r="Y74" s="1">
        <v>814</v>
      </c>
      <c r="Z74" s="1">
        <v>796</v>
      </c>
      <c r="AA74" s="1">
        <v>777</v>
      </c>
      <c r="AB74" s="1">
        <v>758</v>
      </c>
      <c r="AC74" s="1">
        <v>739</v>
      </c>
      <c r="AD74" s="1">
        <v>552</v>
      </c>
      <c r="AE74" s="1">
        <v>532</v>
      </c>
      <c r="AF74" s="1">
        <v>505</v>
      </c>
      <c r="AG74" s="1">
        <v>488</v>
      </c>
      <c r="AH74" s="1">
        <v>472</v>
      </c>
      <c r="AI74" s="1">
        <v>470</v>
      </c>
      <c r="AJ74" s="1">
        <v>492</v>
      </c>
      <c r="AK74" s="1">
        <v>513</v>
      </c>
      <c r="AL74" s="1">
        <v>531</v>
      </c>
      <c r="AM74" s="1">
        <v>548</v>
      </c>
      <c r="AN74" s="1">
        <v>568</v>
      </c>
      <c r="AO74" s="1">
        <v>576</v>
      </c>
      <c r="AP74" s="1">
        <v>579</v>
      </c>
      <c r="AQ74" s="1">
        <v>585</v>
      </c>
      <c r="AR74" s="1">
        <v>599</v>
      </c>
      <c r="AS74" s="1">
        <v>616</v>
      </c>
      <c r="AT74" s="1">
        <v>636</v>
      </c>
      <c r="AU74" s="1">
        <v>656</v>
      </c>
      <c r="AV74" s="1">
        <v>677</v>
      </c>
      <c r="AW74" s="1">
        <v>699</v>
      </c>
      <c r="AX74" s="1">
        <v>725</v>
      </c>
      <c r="AY74" s="1"/>
      <c r="BA74" s="21">
        <f t="shared" si="63"/>
        <v>13824</v>
      </c>
      <c r="BB74" s="22">
        <f t="shared" si="64"/>
        <v>1152</v>
      </c>
      <c r="BD74" s="7">
        <f t="shared" si="65"/>
        <v>10817</v>
      </c>
      <c r="BE74" s="7">
        <f t="shared" si="66"/>
        <v>-3007</v>
      </c>
      <c r="BF74" s="8">
        <f t="shared" si="67"/>
        <v>-0.21752025462962965</v>
      </c>
      <c r="BG74" s="7">
        <f t="shared" si="68"/>
        <v>901.41666666666663</v>
      </c>
      <c r="BI74" s="12">
        <f t="shared" si="69"/>
        <v>6829</v>
      </c>
      <c r="BJ74" s="12">
        <f t="shared" si="70"/>
        <v>-3988</v>
      </c>
      <c r="BK74" s="13">
        <f t="shared" si="71"/>
        <v>-0.36867893131182394</v>
      </c>
      <c r="BL74" s="24">
        <f t="shared" si="72"/>
        <v>602.875</v>
      </c>
      <c r="BM74" s="24">
        <f t="shared" si="73"/>
        <v>501.5</v>
      </c>
      <c r="BO74" s="17">
        <f t="shared" si="74"/>
        <v>7464</v>
      </c>
      <c r="BP74" s="17">
        <f t="shared" si="75"/>
        <v>635</v>
      </c>
      <c r="BQ74" s="18">
        <f t="shared" si="76"/>
        <v>9.2985795870552002E-2</v>
      </c>
      <c r="BR74" s="25">
        <f t="shared" si="77"/>
        <v>622</v>
      </c>
    </row>
    <row r="75" spans="1:70">
      <c r="A75" t="s">
        <v>103</v>
      </c>
      <c r="B75">
        <v>110311</v>
      </c>
      <c r="C75" s="1">
        <v>8908</v>
      </c>
      <c r="D75" s="1">
        <v>8625</v>
      </c>
      <c r="E75" s="1">
        <v>11341</v>
      </c>
      <c r="F75" s="1">
        <v>8361</v>
      </c>
      <c r="G75" s="1">
        <v>8314</v>
      </c>
      <c r="H75" s="1">
        <v>9106</v>
      </c>
      <c r="I75" s="1">
        <v>8695</v>
      </c>
      <c r="J75" s="1">
        <v>8658</v>
      </c>
      <c r="K75" s="1">
        <v>8632</v>
      </c>
      <c r="L75" s="1">
        <v>7884</v>
      </c>
      <c r="M75" s="1">
        <v>7785</v>
      </c>
      <c r="N75" s="1">
        <v>7866</v>
      </c>
      <c r="O75" s="1">
        <v>7677</v>
      </c>
      <c r="P75" s="1">
        <v>7707</v>
      </c>
      <c r="Q75" s="1">
        <v>7215</v>
      </c>
      <c r="R75" s="1">
        <v>7584</v>
      </c>
      <c r="S75" s="1">
        <v>8073</v>
      </c>
      <c r="T75" s="1">
        <v>6300</v>
      </c>
      <c r="U75" s="1">
        <v>8334</v>
      </c>
      <c r="V75" s="1">
        <v>7518</v>
      </c>
      <c r="W75" s="1">
        <v>6751</v>
      </c>
      <c r="X75" s="1">
        <v>6697</v>
      </c>
      <c r="Y75" s="1">
        <v>6683</v>
      </c>
      <c r="Z75" s="1">
        <v>6651</v>
      </c>
      <c r="AA75" s="1">
        <v>6586</v>
      </c>
      <c r="AB75" s="1">
        <v>6408</v>
      </c>
      <c r="AC75" s="1">
        <v>6115</v>
      </c>
      <c r="AD75" s="1">
        <v>6032</v>
      </c>
      <c r="AE75" s="1">
        <v>6032</v>
      </c>
      <c r="AF75" s="1">
        <v>5969</v>
      </c>
      <c r="AG75" s="1">
        <v>5906</v>
      </c>
      <c r="AH75" s="1">
        <v>5897</v>
      </c>
      <c r="AI75" s="1">
        <v>6418</v>
      </c>
      <c r="AJ75" s="1">
        <v>6645</v>
      </c>
      <c r="AK75" s="1">
        <v>6907</v>
      </c>
      <c r="AL75" s="1">
        <v>7154</v>
      </c>
      <c r="AM75" s="1">
        <v>7394</v>
      </c>
      <c r="AN75" s="1">
        <v>7679</v>
      </c>
      <c r="AO75" s="1">
        <v>7809</v>
      </c>
      <c r="AP75" s="1">
        <v>7798</v>
      </c>
      <c r="AQ75" s="1">
        <v>7787</v>
      </c>
      <c r="AR75" s="1">
        <v>7959</v>
      </c>
      <c r="AS75" s="1">
        <v>8194</v>
      </c>
      <c r="AT75" s="1">
        <v>8485</v>
      </c>
      <c r="AU75" s="1">
        <v>8789</v>
      </c>
      <c r="AV75" s="1">
        <v>9100</v>
      </c>
      <c r="AW75" s="1">
        <v>9434</v>
      </c>
      <c r="AX75" s="1">
        <v>9846</v>
      </c>
      <c r="AY75" s="1"/>
      <c r="BA75" s="21">
        <f t="shared" si="63"/>
        <v>104175</v>
      </c>
      <c r="BB75" s="22">
        <f t="shared" si="64"/>
        <v>8681.25</v>
      </c>
      <c r="BD75" s="7">
        <f t="shared" si="65"/>
        <v>87190</v>
      </c>
      <c r="BE75" s="7">
        <f t="shared" si="66"/>
        <v>-16985</v>
      </c>
      <c r="BF75" s="8">
        <f t="shared" si="67"/>
        <v>-0.16304295656347489</v>
      </c>
      <c r="BG75" s="7">
        <f t="shared" si="68"/>
        <v>7265.833333333333</v>
      </c>
      <c r="BI75" s="12">
        <f t="shared" si="69"/>
        <v>76069</v>
      </c>
      <c r="BJ75" s="12">
        <f t="shared" si="70"/>
        <v>-11121</v>
      </c>
      <c r="BK75" s="13">
        <f t="shared" si="71"/>
        <v>-0.12754903085216196</v>
      </c>
      <c r="BL75" s="24">
        <f t="shared" si="72"/>
        <v>6118.125</v>
      </c>
      <c r="BM75" s="24">
        <f t="shared" si="73"/>
        <v>6781</v>
      </c>
      <c r="BO75" s="17">
        <f t="shared" si="74"/>
        <v>100274</v>
      </c>
      <c r="BP75" s="17">
        <f t="shared" si="75"/>
        <v>24205</v>
      </c>
      <c r="BQ75" s="18">
        <f t="shared" si="76"/>
        <v>0.31819795185949595</v>
      </c>
      <c r="BR75" s="25">
        <f t="shared" si="77"/>
        <v>8356.1666666666661</v>
      </c>
    </row>
    <row r="76" spans="1:70">
      <c r="A76" t="s">
        <v>104</v>
      </c>
      <c r="B76">
        <v>110317</v>
      </c>
      <c r="C76" s="1">
        <v>33239</v>
      </c>
      <c r="D76" s="1">
        <v>33099</v>
      </c>
      <c r="E76" s="1">
        <v>32964</v>
      </c>
      <c r="F76" s="1">
        <v>32823</v>
      </c>
      <c r="G76" s="1">
        <v>32684</v>
      </c>
      <c r="H76" s="1">
        <v>32544</v>
      </c>
      <c r="I76" s="1">
        <v>32356</v>
      </c>
      <c r="J76" s="1">
        <v>31929</v>
      </c>
      <c r="K76" s="1">
        <v>31795</v>
      </c>
      <c r="L76" s="1">
        <v>31662</v>
      </c>
      <c r="M76" s="1">
        <v>31526</v>
      </c>
      <c r="N76" s="1">
        <v>31393</v>
      </c>
      <c r="O76" s="1">
        <v>31256</v>
      </c>
      <c r="P76" s="1">
        <v>31119</v>
      </c>
      <c r="Q76" s="1">
        <v>30984</v>
      </c>
      <c r="R76" s="1">
        <v>30848</v>
      </c>
      <c r="S76" s="1">
        <v>30064</v>
      </c>
      <c r="T76" s="1">
        <v>29083</v>
      </c>
      <c r="U76" s="1">
        <v>28680</v>
      </c>
      <c r="V76" s="1">
        <v>28552</v>
      </c>
      <c r="W76" s="1">
        <v>28418</v>
      </c>
      <c r="X76" s="1">
        <v>28284</v>
      </c>
      <c r="Y76" s="1">
        <v>29138</v>
      </c>
      <c r="Z76" s="1">
        <v>27038</v>
      </c>
      <c r="AA76" s="1">
        <v>27891</v>
      </c>
      <c r="AB76" s="1">
        <v>27750</v>
      </c>
      <c r="AC76" s="1">
        <v>27605</v>
      </c>
      <c r="AD76" s="1">
        <v>27460</v>
      </c>
      <c r="AE76" s="1">
        <v>27316</v>
      </c>
      <c r="AF76" s="1">
        <v>27174</v>
      </c>
      <c r="AG76" s="1">
        <v>26896</v>
      </c>
      <c r="AH76" s="1">
        <v>25687</v>
      </c>
      <c r="AI76" s="1">
        <v>27156</v>
      </c>
      <c r="AJ76" s="1">
        <v>28498</v>
      </c>
      <c r="AK76" s="1">
        <v>29528</v>
      </c>
      <c r="AL76" s="1">
        <v>30774</v>
      </c>
      <c r="AM76" s="1">
        <v>32008</v>
      </c>
      <c r="AN76" s="1">
        <v>33520</v>
      </c>
      <c r="AO76" s="1">
        <v>34629</v>
      </c>
      <c r="AP76" s="1">
        <v>34773</v>
      </c>
      <c r="AQ76" s="1">
        <v>34841</v>
      </c>
      <c r="AR76" s="1">
        <v>35058</v>
      </c>
      <c r="AS76" s="1">
        <v>36238</v>
      </c>
      <c r="AT76" s="1">
        <v>37810</v>
      </c>
      <c r="AU76" s="1">
        <v>39461</v>
      </c>
      <c r="AV76" s="1">
        <v>41142</v>
      </c>
      <c r="AW76" s="1">
        <v>42955</v>
      </c>
      <c r="AX76" s="1">
        <v>45196</v>
      </c>
      <c r="AY76" s="1"/>
      <c r="BA76" s="21">
        <f t="shared" si="63"/>
        <v>388014</v>
      </c>
      <c r="BB76" s="22">
        <f t="shared" si="64"/>
        <v>32334.5</v>
      </c>
      <c r="BD76" s="7">
        <f t="shared" si="65"/>
        <v>353464</v>
      </c>
      <c r="BE76" s="7">
        <f t="shared" si="66"/>
        <v>-34550</v>
      </c>
      <c r="BF76" s="8">
        <f t="shared" si="67"/>
        <v>-8.9043178854371186E-2</v>
      </c>
      <c r="BG76" s="7">
        <f t="shared" si="68"/>
        <v>29455.333333333332</v>
      </c>
      <c r="BI76" s="12">
        <f t="shared" si="69"/>
        <v>333735</v>
      </c>
      <c r="BJ76" s="12">
        <f t="shared" si="70"/>
        <v>-19729</v>
      </c>
      <c r="BK76" s="13">
        <f t="shared" si="71"/>
        <v>-5.5816151008306392E-2</v>
      </c>
      <c r="BL76" s="24">
        <f t="shared" si="72"/>
        <v>27222.375</v>
      </c>
      <c r="BM76" s="24">
        <f t="shared" si="73"/>
        <v>28989</v>
      </c>
      <c r="BO76" s="17">
        <f t="shared" si="74"/>
        <v>447631</v>
      </c>
      <c r="BP76" s="17">
        <f t="shared" si="75"/>
        <v>113896</v>
      </c>
      <c r="BQ76" s="18">
        <f t="shared" si="76"/>
        <v>0.34127676150238972</v>
      </c>
      <c r="BR76" s="25">
        <f t="shared" si="77"/>
        <v>37302.583333333336</v>
      </c>
    </row>
    <row r="77" spans="1:70">
      <c r="A77" t="s">
        <v>567</v>
      </c>
      <c r="B77">
        <v>110323</v>
      </c>
      <c r="C77" s="1">
        <v>-26</v>
      </c>
      <c r="D77" s="1">
        <v>-26</v>
      </c>
      <c r="E77" s="1">
        <v>-29</v>
      </c>
      <c r="F77" s="1">
        <v>-29</v>
      </c>
      <c r="G77" s="1">
        <v>-29</v>
      </c>
      <c r="H77" s="1">
        <v>-29</v>
      </c>
      <c r="I77" s="1">
        <v>-29</v>
      </c>
      <c r="J77" s="1">
        <v>-29</v>
      </c>
      <c r="K77" s="1">
        <v>-26</v>
      </c>
      <c r="L77" s="1">
        <v>-26</v>
      </c>
      <c r="M77" s="1">
        <v>-26</v>
      </c>
      <c r="N77" s="1">
        <v>-26</v>
      </c>
      <c r="O77" s="1">
        <v>-26</v>
      </c>
      <c r="P77" s="1">
        <v>-26</v>
      </c>
      <c r="Q77" s="1">
        <v>-26</v>
      </c>
      <c r="R77" s="1">
        <v>-26</v>
      </c>
      <c r="S77" s="1">
        <v>26</v>
      </c>
      <c r="T77" s="1">
        <v>-77</v>
      </c>
      <c r="U77" s="1">
        <v>-26</v>
      </c>
      <c r="V77" s="1">
        <v>-26</v>
      </c>
      <c r="W77" s="1">
        <v>-26</v>
      </c>
      <c r="X77" s="1">
        <v>-25</v>
      </c>
      <c r="Y77" s="1">
        <v>-25</v>
      </c>
      <c r="Z77" s="1">
        <v>-25</v>
      </c>
      <c r="AA77" s="1">
        <v>-25</v>
      </c>
      <c r="AB77" s="1">
        <v>-25</v>
      </c>
      <c r="AC77" s="1">
        <v>-25</v>
      </c>
      <c r="AD77" s="1">
        <v>-27</v>
      </c>
      <c r="AE77" s="1">
        <v>-27</v>
      </c>
      <c r="AF77" s="1">
        <v>-25</v>
      </c>
      <c r="AG77" s="1">
        <v>-25</v>
      </c>
      <c r="AH77" s="1">
        <v>-25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/>
      <c r="BA77" s="21">
        <f t="shared" si="63"/>
        <v>-330</v>
      </c>
      <c r="BB77" s="22">
        <f t="shared" si="64"/>
        <v>-27.5</v>
      </c>
      <c r="BD77" s="7">
        <f t="shared" si="65"/>
        <v>-308</v>
      </c>
      <c r="BE77" s="7">
        <f t="shared" si="66"/>
        <v>22</v>
      </c>
      <c r="BF77" s="8">
        <f t="shared" si="67"/>
        <v>-6.6666666666666652E-2</v>
      </c>
      <c r="BG77" s="7">
        <f t="shared" si="68"/>
        <v>-25.666666666666668</v>
      </c>
      <c r="BI77" s="12">
        <f t="shared" si="69"/>
        <v>-204</v>
      </c>
      <c r="BJ77" s="12">
        <f t="shared" si="70"/>
        <v>104</v>
      </c>
      <c r="BK77" s="13">
        <f t="shared" si="71"/>
        <v>-0.33766233766233766</v>
      </c>
      <c r="BL77" s="24">
        <f t="shared" si="72"/>
        <v>-25.5</v>
      </c>
      <c r="BM77" s="24">
        <f t="shared" si="73"/>
        <v>0</v>
      </c>
      <c r="BO77" s="17">
        <f t="shared" si="74"/>
        <v>0</v>
      </c>
      <c r="BP77" s="17">
        <f t="shared" si="75"/>
        <v>204</v>
      </c>
      <c r="BQ77" s="18">
        <f t="shared" si="76"/>
        <v>-1</v>
      </c>
      <c r="BR77" s="25">
        <f t="shared" si="77"/>
        <v>0</v>
      </c>
    </row>
    <row r="78" spans="1:70">
      <c r="A78" t="s">
        <v>107</v>
      </c>
      <c r="B78">
        <v>110312</v>
      </c>
      <c r="C78" s="1">
        <v>19915</v>
      </c>
      <c r="D78" s="1">
        <v>19826</v>
      </c>
      <c r="E78" s="1">
        <v>19966</v>
      </c>
      <c r="F78" s="1">
        <v>19681</v>
      </c>
      <c r="G78" s="1">
        <v>16315</v>
      </c>
      <c r="H78" s="1">
        <v>23192</v>
      </c>
      <c r="I78" s="1">
        <v>15815</v>
      </c>
      <c r="J78" s="1">
        <v>18717</v>
      </c>
      <c r="K78" s="1">
        <v>21599</v>
      </c>
      <c r="L78" s="1">
        <v>18292</v>
      </c>
      <c r="M78" s="1">
        <v>18643</v>
      </c>
      <c r="N78" s="1">
        <v>14932</v>
      </c>
      <c r="O78" s="1">
        <v>17231</v>
      </c>
      <c r="P78" s="1">
        <v>22067</v>
      </c>
      <c r="Q78" s="1">
        <v>17847</v>
      </c>
      <c r="R78" s="1">
        <v>17736</v>
      </c>
      <c r="S78" s="1">
        <v>18088</v>
      </c>
      <c r="T78" s="1">
        <v>14392</v>
      </c>
      <c r="U78" s="1">
        <v>20315</v>
      </c>
      <c r="V78" s="1">
        <v>14227</v>
      </c>
      <c r="W78" s="1">
        <v>18827</v>
      </c>
      <c r="X78" s="1">
        <v>12957</v>
      </c>
      <c r="Y78" s="1">
        <v>14629</v>
      </c>
      <c r="Z78" s="1">
        <v>13203</v>
      </c>
      <c r="AA78" s="1">
        <v>17147</v>
      </c>
      <c r="AB78" s="1">
        <v>13264</v>
      </c>
      <c r="AC78" s="1">
        <v>13193</v>
      </c>
      <c r="AD78" s="1">
        <v>13159</v>
      </c>
      <c r="AE78" s="1">
        <v>13261</v>
      </c>
      <c r="AF78" s="1">
        <v>12807</v>
      </c>
      <c r="AG78" s="1">
        <v>12921</v>
      </c>
      <c r="AH78" s="1">
        <v>12657</v>
      </c>
      <c r="AI78" s="1">
        <v>12874</v>
      </c>
      <c r="AJ78" s="1">
        <v>13251</v>
      </c>
      <c r="AK78" s="1">
        <v>13733</v>
      </c>
      <c r="AL78" s="1">
        <v>14144</v>
      </c>
      <c r="AM78" s="1">
        <v>14544</v>
      </c>
      <c r="AN78" s="1">
        <v>15020</v>
      </c>
      <c r="AO78" s="1">
        <v>15195</v>
      </c>
      <c r="AP78" s="1">
        <v>15109</v>
      </c>
      <c r="AQ78" s="1">
        <v>15172</v>
      </c>
      <c r="AR78" s="1">
        <v>15496</v>
      </c>
      <c r="AS78" s="1">
        <v>15892</v>
      </c>
      <c r="AT78" s="1">
        <v>16380</v>
      </c>
      <c r="AU78" s="1">
        <v>16891</v>
      </c>
      <c r="AV78" s="1">
        <v>17413</v>
      </c>
      <c r="AW78" s="1">
        <v>17974</v>
      </c>
      <c r="AX78" s="1">
        <v>18665</v>
      </c>
      <c r="AY78" s="1"/>
      <c r="BA78" s="21">
        <f t="shared" si="63"/>
        <v>226893</v>
      </c>
      <c r="BB78" s="22">
        <f t="shared" si="64"/>
        <v>18907.75</v>
      </c>
      <c r="BD78" s="7">
        <f t="shared" si="65"/>
        <v>201519</v>
      </c>
      <c r="BE78" s="7">
        <f t="shared" si="66"/>
        <v>-25374</v>
      </c>
      <c r="BF78" s="8">
        <f t="shared" si="67"/>
        <v>-0.11183244965688677</v>
      </c>
      <c r="BG78" s="7">
        <f t="shared" si="68"/>
        <v>16793.25</v>
      </c>
      <c r="BI78" s="12">
        <f t="shared" si="69"/>
        <v>162411</v>
      </c>
      <c r="BJ78" s="12">
        <f t="shared" si="70"/>
        <v>-39108</v>
      </c>
      <c r="BK78" s="13">
        <f t="shared" si="71"/>
        <v>-0.1940660682119304</v>
      </c>
      <c r="BL78" s="24">
        <f t="shared" si="72"/>
        <v>13551.125</v>
      </c>
      <c r="BM78" s="24">
        <f t="shared" si="73"/>
        <v>13500.5</v>
      </c>
      <c r="BO78" s="17">
        <f t="shared" si="74"/>
        <v>193751</v>
      </c>
      <c r="BP78" s="17">
        <f t="shared" si="75"/>
        <v>31340</v>
      </c>
      <c r="BQ78" s="18">
        <f t="shared" si="76"/>
        <v>0.19296722512637698</v>
      </c>
      <c r="BR78" s="25">
        <f t="shared" si="77"/>
        <v>16145.916666666666</v>
      </c>
    </row>
    <row r="79" spans="1:70">
      <c r="A79" t="s">
        <v>108</v>
      </c>
      <c r="B79">
        <v>110313</v>
      </c>
      <c r="C79" s="1">
        <v>42600</v>
      </c>
      <c r="D79" s="1">
        <v>43004</v>
      </c>
      <c r="E79" s="1">
        <v>55189</v>
      </c>
      <c r="F79" s="1">
        <v>46835</v>
      </c>
      <c r="G79" s="1">
        <v>25922</v>
      </c>
      <c r="H79" s="1">
        <v>47001</v>
      </c>
      <c r="I79" s="1">
        <v>47378</v>
      </c>
      <c r="J79" s="1">
        <v>46655</v>
      </c>
      <c r="K79" s="1">
        <v>46560</v>
      </c>
      <c r="L79" s="1">
        <v>46444</v>
      </c>
      <c r="M79" s="1">
        <v>46621</v>
      </c>
      <c r="N79" s="1">
        <v>46319</v>
      </c>
      <c r="O79" s="1">
        <v>46621</v>
      </c>
      <c r="P79" s="1">
        <v>43612</v>
      </c>
      <c r="Q79" s="1">
        <v>46981</v>
      </c>
      <c r="R79" s="1">
        <v>44616</v>
      </c>
      <c r="S79" s="1">
        <v>51319</v>
      </c>
      <c r="T79" s="1">
        <v>32042</v>
      </c>
      <c r="U79" s="1">
        <v>50438</v>
      </c>
      <c r="V79" s="1">
        <v>44066</v>
      </c>
      <c r="W79" s="1">
        <v>44167</v>
      </c>
      <c r="X79" s="1">
        <v>44109</v>
      </c>
      <c r="Y79" s="1">
        <v>43681</v>
      </c>
      <c r="Z79" s="1">
        <v>43633</v>
      </c>
      <c r="AA79" s="1">
        <v>43558</v>
      </c>
      <c r="AB79" s="1">
        <v>43415</v>
      </c>
      <c r="AC79" s="1">
        <v>43332</v>
      </c>
      <c r="AD79" s="1">
        <v>43357</v>
      </c>
      <c r="AE79" s="1">
        <v>43097</v>
      </c>
      <c r="AF79" s="1">
        <v>42911</v>
      </c>
      <c r="AG79" s="1">
        <v>42381</v>
      </c>
      <c r="AH79" s="1">
        <v>42181</v>
      </c>
      <c r="AI79" s="1">
        <v>45561</v>
      </c>
      <c r="AJ79" s="1">
        <v>47489</v>
      </c>
      <c r="AK79" s="1">
        <v>49813</v>
      </c>
      <c r="AL79" s="1">
        <v>51970</v>
      </c>
      <c r="AM79" s="1">
        <v>54053</v>
      </c>
      <c r="AN79" s="1">
        <v>56434</v>
      </c>
      <c r="AO79" s="1">
        <v>57505</v>
      </c>
      <c r="AP79" s="1">
        <v>57413</v>
      </c>
      <c r="AQ79" s="1">
        <v>57368</v>
      </c>
      <c r="AR79" s="1">
        <v>58957</v>
      </c>
      <c r="AS79" s="1">
        <v>60875</v>
      </c>
      <c r="AT79" s="1">
        <v>63220</v>
      </c>
      <c r="AU79" s="1">
        <v>65667</v>
      </c>
      <c r="AV79" s="1">
        <v>68155</v>
      </c>
      <c r="AW79" s="1">
        <v>70817</v>
      </c>
      <c r="AX79" s="1">
        <v>74087</v>
      </c>
      <c r="AY79" s="1"/>
      <c r="BA79" s="21">
        <f t="shared" si="63"/>
        <v>540528</v>
      </c>
      <c r="BB79" s="22">
        <f t="shared" si="64"/>
        <v>45044</v>
      </c>
      <c r="BD79" s="7">
        <f t="shared" si="65"/>
        <v>535285</v>
      </c>
      <c r="BE79" s="7">
        <f t="shared" si="66"/>
        <v>-5243</v>
      </c>
      <c r="BF79" s="8">
        <f t="shared" si="67"/>
        <v>-9.6997750347808109E-3</v>
      </c>
      <c r="BG79" s="7">
        <f t="shared" si="68"/>
        <v>44607.083333333336</v>
      </c>
      <c r="BI79" s="12">
        <f t="shared" si="69"/>
        <v>539065</v>
      </c>
      <c r="BJ79" s="12">
        <f t="shared" si="70"/>
        <v>3780</v>
      </c>
      <c r="BK79" s="13">
        <f t="shared" si="71"/>
        <v>7.0616587425389454E-3</v>
      </c>
      <c r="BL79" s="24">
        <f t="shared" si="72"/>
        <v>43029</v>
      </c>
      <c r="BM79" s="24">
        <f t="shared" si="73"/>
        <v>48708.25</v>
      </c>
      <c r="BO79" s="17">
        <f t="shared" si="74"/>
        <v>744551</v>
      </c>
      <c r="BP79" s="17">
        <f t="shared" si="75"/>
        <v>205486</v>
      </c>
      <c r="BQ79" s="18">
        <f t="shared" si="76"/>
        <v>0.38118965245378567</v>
      </c>
      <c r="BR79" s="25">
        <f t="shared" si="77"/>
        <v>62045.916666666664</v>
      </c>
    </row>
    <row r="80" spans="1:70">
      <c r="A80" t="s">
        <v>109</v>
      </c>
      <c r="B80">
        <v>110318</v>
      </c>
      <c r="C80" s="1">
        <v>301603</v>
      </c>
      <c r="D80" s="1">
        <v>305006</v>
      </c>
      <c r="E80" s="1">
        <v>308776</v>
      </c>
      <c r="F80" s="1">
        <v>311443</v>
      </c>
      <c r="G80" s="1">
        <v>317930</v>
      </c>
      <c r="H80" s="1">
        <v>319795</v>
      </c>
      <c r="I80" s="1">
        <v>325210</v>
      </c>
      <c r="J80" s="1">
        <v>331964</v>
      </c>
      <c r="K80" s="1">
        <v>331656</v>
      </c>
      <c r="L80" s="1">
        <v>320525</v>
      </c>
      <c r="M80" s="1">
        <v>328293</v>
      </c>
      <c r="N80" s="1">
        <v>341493</v>
      </c>
      <c r="O80" s="1">
        <v>327993</v>
      </c>
      <c r="P80" s="1">
        <v>327390</v>
      </c>
      <c r="Q80" s="1">
        <v>326955</v>
      </c>
      <c r="R80" s="1">
        <v>325972</v>
      </c>
      <c r="S80" s="1">
        <v>328714</v>
      </c>
      <c r="T80" s="1">
        <v>329866</v>
      </c>
      <c r="U80" s="1">
        <v>331987</v>
      </c>
      <c r="V80" s="1">
        <v>334439</v>
      </c>
      <c r="W80" s="1">
        <v>336000</v>
      </c>
      <c r="X80" s="1">
        <v>334151</v>
      </c>
      <c r="Y80" s="1">
        <v>338841</v>
      </c>
      <c r="Z80" s="1">
        <v>354700</v>
      </c>
      <c r="AA80" s="1">
        <v>333531</v>
      </c>
      <c r="AB80" s="1">
        <v>340288</v>
      </c>
      <c r="AC80" s="1">
        <v>341588</v>
      </c>
      <c r="AD80" s="1">
        <v>343677</v>
      </c>
      <c r="AE80" s="1">
        <v>400851</v>
      </c>
      <c r="AF80" s="1">
        <v>351902</v>
      </c>
      <c r="AG80" s="1">
        <v>358123</v>
      </c>
      <c r="AH80" s="1">
        <v>365572</v>
      </c>
      <c r="AI80" s="1">
        <v>375511</v>
      </c>
      <c r="AJ80" s="1">
        <v>390738</v>
      </c>
      <c r="AK80" s="1">
        <v>401203</v>
      </c>
      <c r="AL80" s="1">
        <v>415745</v>
      </c>
      <c r="AM80" s="1">
        <v>429585</v>
      </c>
      <c r="AN80" s="1">
        <v>446612</v>
      </c>
      <c r="AO80" s="1">
        <v>460899</v>
      </c>
      <c r="AP80" s="1">
        <v>462479</v>
      </c>
      <c r="AQ80" s="1">
        <v>463195</v>
      </c>
      <c r="AR80" s="1">
        <v>464893</v>
      </c>
      <c r="AS80" s="1">
        <v>475692</v>
      </c>
      <c r="AT80" s="1">
        <v>492812</v>
      </c>
      <c r="AU80" s="1">
        <v>511246</v>
      </c>
      <c r="AV80" s="1">
        <v>529985</v>
      </c>
      <c r="AW80" s="1">
        <v>550201</v>
      </c>
      <c r="AX80" s="1">
        <v>575321</v>
      </c>
      <c r="AY80" s="1"/>
      <c r="BA80" s="21">
        <f t="shared" si="63"/>
        <v>3843694</v>
      </c>
      <c r="BB80" s="22">
        <f t="shared" si="64"/>
        <v>320307.83333333331</v>
      </c>
      <c r="BD80" s="7">
        <f t="shared" si="65"/>
        <v>3997008</v>
      </c>
      <c r="BE80" s="7">
        <f t="shared" si="66"/>
        <v>153314</v>
      </c>
      <c r="BF80" s="8">
        <f t="shared" si="67"/>
        <v>3.9887150225798473E-2</v>
      </c>
      <c r="BG80" s="7">
        <f t="shared" si="68"/>
        <v>333084</v>
      </c>
      <c r="BI80" s="12">
        <f t="shared" si="69"/>
        <v>4418729</v>
      </c>
      <c r="BJ80" s="12">
        <f t="shared" si="70"/>
        <v>421721</v>
      </c>
      <c r="BK80" s="13">
        <f t="shared" si="71"/>
        <v>0.10550917085980305</v>
      </c>
      <c r="BL80" s="24">
        <f t="shared" si="72"/>
        <v>354441.5</v>
      </c>
      <c r="BM80" s="24">
        <f t="shared" si="73"/>
        <v>395799.25</v>
      </c>
      <c r="BO80" s="17">
        <f t="shared" si="74"/>
        <v>5862920</v>
      </c>
      <c r="BP80" s="17">
        <f t="shared" si="75"/>
        <v>1444191</v>
      </c>
      <c r="BQ80" s="18">
        <f t="shared" si="76"/>
        <v>0.32683402851815524</v>
      </c>
      <c r="BR80" s="25">
        <f t="shared" si="77"/>
        <v>488576.66666666669</v>
      </c>
    </row>
    <row r="81" spans="1:70">
      <c r="A81" t="s">
        <v>568</v>
      </c>
      <c r="B81">
        <v>110325</v>
      </c>
      <c r="C81" s="1">
        <v>109</v>
      </c>
      <c r="D81" s="1">
        <v>153</v>
      </c>
      <c r="E81" s="1">
        <v>150</v>
      </c>
      <c r="F81" s="1">
        <v>140</v>
      </c>
      <c r="G81" s="1">
        <v>129</v>
      </c>
      <c r="H81" s="1">
        <v>-1297</v>
      </c>
      <c r="I81" s="1">
        <v>-252</v>
      </c>
      <c r="J81" s="1">
        <v>322</v>
      </c>
      <c r="K81" s="1">
        <v>185</v>
      </c>
      <c r="L81" s="1">
        <v>871</v>
      </c>
      <c r="M81" s="1">
        <v>684</v>
      </c>
      <c r="N81" s="1">
        <v>-1314</v>
      </c>
      <c r="O81" s="1">
        <v>269</v>
      </c>
      <c r="P81" s="1">
        <v>224</v>
      </c>
      <c r="Q81" s="1">
        <v>183</v>
      </c>
      <c r="R81" s="1">
        <v>177</v>
      </c>
      <c r="S81" s="1">
        <v>-1762</v>
      </c>
      <c r="T81" s="1">
        <v>3672</v>
      </c>
      <c r="U81" s="1">
        <v>-975</v>
      </c>
      <c r="V81" s="1">
        <v>201</v>
      </c>
      <c r="W81" s="1">
        <v>-1008</v>
      </c>
      <c r="X81" s="1">
        <v>-1180</v>
      </c>
      <c r="Y81" s="1">
        <v>181</v>
      </c>
      <c r="Z81" s="1">
        <v>67</v>
      </c>
      <c r="AA81" s="1">
        <v>157</v>
      </c>
      <c r="AB81" s="1">
        <v>261</v>
      </c>
      <c r="AC81" s="1">
        <v>140</v>
      </c>
      <c r="AD81" s="1">
        <v>43</v>
      </c>
      <c r="AE81" s="1">
        <v>166</v>
      </c>
      <c r="AF81" s="1">
        <v>-334</v>
      </c>
      <c r="AG81" s="1">
        <v>498</v>
      </c>
      <c r="AH81" s="1">
        <v>1391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/>
      <c r="BA81" s="21">
        <f t="shared" si="63"/>
        <v>-120</v>
      </c>
      <c r="BB81" s="22">
        <f t="shared" si="64"/>
        <v>-10</v>
      </c>
      <c r="BD81" s="7">
        <f t="shared" si="65"/>
        <v>49</v>
      </c>
      <c r="BE81" s="7">
        <f t="shared" si="66"/>
        <v>169</v>
      </c>
      <c r="BF81" s="8">
        <f t="shared" si="67"/>
        <v>-1.4083333333333332</v>
      </c>
      <c r="BG81" s="7">
        <f t="shared" si="68"/>
        <v>4.083333333333333</v>
      </c>
      <c r="BI81" s="12">
        <f t="shared" si="69"/>
        <v>2322</v>
      </c>
      <c r="BJ81" s="12">
        <f t="shared" si="70"/>
        <v>2273</v>
      </c>
      <c r="BK81" s="13">
        <f t="shared" si="71"/>
        <v>46.387755102040813</v>
      </c>
      <c r="BL81" s="24">
        <f t="shared" si="72"/>
        <v>290.25</v>
      </c>
      <c r="BM81" s="24">
        <f t="shared" si="73"/>
        <v>0</v>
      </c>
      <c r="BO81" s="17">
        <f t="shared" si="74"/>
        <v>0</v>
      </c>
      <c r="BP81" s="17">
        <f t="shared" si="75"/>
        <v>-2322</v>
      </c>
      <c r="BQ81" s="18">
        <f t="shared" si="76"/>
        <v>-1</v>
      </c>
      <c r="BR81" s="25">
        <f t="shared" si="77"/>
        <v>0</v>
      </c>
    </row>
    <row r="82" spans="1:70">
      <c r="A82" t="s">
        <v>111</v>
      </c>
      <c r="B82">
        <v>110335</v>
      </c>
      <c r="C82" s="1">
        <v>608</v>
      </c>
      <c r="D82" s="1">
        <v>604</v>
      </c>
      <c r="E82" s="1">
        <v>599</v>
      </c>
      <c r="F82" s="1">
        <v>595</v>
      </c>
      <c r="G82" s="1">
        <v>591</v>
      </c>
      <c r="H82" s="1">
        <v>587</v>
      </c>
      <c r="I82" s="1">
        <v>582</v>
      </c>
      <c r="J82" s="1">
        <v>578</v>
      </c>
      <c r="K82" s="1">
        <v>574</v>
      </c>
      <c r="L82" s="1">
        <v>569</v>
      </c>
      <c r="M82" s="1">
        <v>565</v>
      </c>
      <c r="N82" s="1">
        <v>560</v>
      </c>
      <c r="O82" s="1">
        <v>556</v>
      </c>
      <c r="P82" s="1">
        <v>551</v>
      </c>
      <c r="Q82" s="1">
        <v>836</v>
      </c>
      <c r="R82" s="1">
        <v>253</v>
      </c>
      <c r="S82" s="1">
        <v>537</v>
      </c>
      <c r="T82" s="1">
        <v>533</v>
      </c>
      <c r="U82" s="1">
        <v>805</v>
      </c>
      <c r="V82" s="1">
        <v>271</v>
      </c>
      <c r="W82" s="1">
        <v>274</v>
      </c>
      <c r="X82" s="1">
        <v>271</v>
      </c>
      <c r="Y82" s="1">
        <v>267</v>
      </c>
      <c r="Z82" s="1">
        <v>264</v>
      </c>
      <c r="AA82" s="1">
        <v>261</v>
      </c>
      <c r="AB82" s="1">
        <v>258</v>
      </c>
      <c r="AC82" s="1">
        <v>254</v>
      </c>
      <c r="AD82" s="1">
        <v>251</v>
      </c>
      <c r="AE82" s="1">
        <v>248</v>
      </c>
      <c r="AF82" s="1">
        <v>245</v>
      </c>
      <c r="AG82" s="1">
        <v>241</v>
      </c>
      <c r="AH82" s="1">
        <v>238</v>
      </c>
      <c r="AI82" s="1">
        <v>237</v>
      </c>
      <c r="AJ82" s="1">
        <v>241</v>
      </c>
      <c r="AK82" s="1">
        <v>246</v>
      </c>
      <c r="AL82" s="1">
        <v>251</v>
      </c>
      <c r="AM82" s="1">
        <v>255</v>
      </c>
      <c r="AN82" s="1">
        <v>261</v>
      </c>
      <c r="AO82" s="1">
        <v>262</v>
      </c>
      <c r="AP82" s="1">
        <v>260</v>
      </c>
      <c r="AQ82" s="1">
        <v>260</v>
      </c>
      <c r="AR82" s="1">
        <v>264</v>
      </c>
      <c r="AS82" s="1">
        <v>268</v>
      </c>
      <c r="AT82" s="1">
        <v>274</v>
      </c>
      <c r="AU82" s="1">
        <v>280</v>
      </c>
      <c r="AV82" s="1">
        <v>286</v>
      </c>
      <c r="AW82" s="1">
        <v>293</v>
      </c>
      <c r="AX82" s="1">
        <v>302</v>
      </c>
      <c r="AY82" s="1"/>
      <c r="BA82" s="21">
        <f t="shared" si="63"/>
        <v>7012</v>
      </c>
      <c r="BB82" s="22">
        <f t="shared" si="64"/>
        <v>584.33333333333337</v>
      </c>
      <c r="BD82" s="7">
        <f t="shared" si="65"/>
        <v>5418</v>
      </c>
      <c r="BE82" s="7">
        <f t="shared" si="66"/>
        <v>-1594</v>
      </c>
      <c r="BF82" s="8">
        <f t="shared" si="67"/>
        <v>-0.22732458642327436</v>
      </c>
      <c r="BG82" s="7">
        <f t="shared" si="68"/>
        <v>451.5</v>
      </c>
      <c r="BI82" s="12">
        <f t="shared" si="69"/>
        <v>2971</v>
      </c>
      <c r="BJ82" s="12">
        <f t="shared" si="70"/>
        <v>-2447</v>
      </c>
      <c r="BK82" s="13">
        <f t="shared" si="71"/>
        <v>-0.45164267257290514</v>
      </c>
      <c r="BL82" s="24">
        <f t="shared" si="72"/>
        <v>249.5</v>
      </c>
      <c r="BM82" s="24">
        <f t="shared" si="73"/>
        <v>243.75</v>
      </c>
      <c r="BO82" s="17">
        <f t="shared" si="74"/>
        <v>3265</v>
      </c>
      <c r="BP82" s="17">
        <f t="shared" si="75"/>
        <v>294</v>
      </c>
      <c r="BQ82" s="18">
        <f t="shared" si="76"/>
        <v>9.8956580276001294E-2</v>
      </c>
      <c r="BR82" s="25">
        <f t="shared" si="77"/>
        <v>272.08333333333331</v>
      </c>
    </row>
    <row r="83" spans="1:70">
      <c r="A83" t="s">
        <v>125</v>
      </c>
      <c r="B83">
        <v>110320</v>
      </c>
      <c r="C83" s="1">
        <v>1752</v>
      </c>
      <c r="D83" s="1">
        <v>1746</v>
      </c>
      <c r="E83" s="1">
        <v>1740</v>
      </c>
      <c r="F83" s="1">
        <v>1734</v>
      </c>
      <c r="G83" s="1">
        <v>1727</v>
      </c>
      <c r="H83" s="1">
        <v>1721</v>
      </c>
      <c r="I83" s="1">
        <v>1715</v>
      </c>
      <c r="J83" s="1">
        <v>1709</v>
      </c>
      <c r="K83" s="1">
        <v>1702</v>
      </c>
      <c r="L83" s="1">
        <v>1696</v>
      </c>
      <c r="M83" s="1">
        <v>1690</v>
      </c>
      <c r="N83" s="1">
        <v>1683</v>
      </c>
      <c r="O83" s="1">
        <v>1677</v>
      </c>
      <c r="P83" s="1">
        <v>1670</v>
      </c>
      <c r="Q83" s="1">
        <v>1664</v>
      </c>
      <c r="R83" s="1">
        <v>1658</v>
      </c>
      <c r="S83" s="1">
        <v>1651</v>
      </c>
      <c r="T83" s="1">
        <v>1644</v>
      </c>
      <c r="U83" s="1">
        <v>1638</v>
      </c>
      <c r="V83" s="1">
        <v>1631</v>
      </c>
      <c r="W83" s="1">
        <v>1625</v>
      </c>
      <c r="X83" s="1">
        <v>1618</v>
      </c>
      <c r="Y83" s="1">
        <v>1611</v>
      </c>
      <c r="Z83" s="1">
        <v>1605</v>
      </c>
      <c r="AA83" s="1">
        <v>1598</v>
      </c>
      <c r="AB83" s="1">
        <v>1591</v>
      </c>
      <c r="AC83" s="1">
        <v>1584</v>
      </c>
      <c r="AD83" s="1">
        <v>1578</v>
      </c>
      <c r="AE83" s="1">
        <v>1571</v>
      </c>
      <c r="AF83" s="1">
        <v>1564</v>
      </c>
      <c r="AG83" s="1">
        <v>1557</v>
      </c>
      <c r="AH83" s="1">
        <v>1550</v>
      </c>
      <c r="AI83" s="1">
        <v>1566</v>
      </c>
      <c r="AJ83" s="1">
        <v>1597</v>
      </c>
      <c r="AK83" s="1">
        <v>1611</v>
      </c>
      <c r="AL83" s="1">
        <v>1625</v>
      </c>
      <c r="AM83" s="1">
        <v>1638</v>
      </c>
      <c r="AN83" s="1">
        <v>1650</v>
      </c>
      <c r="AO83" s="1">
        <v>1657</v>
      </c>
      <c r="AP83" s="1">
        <v>1653</v>
      </c>
      <c r="AQ83" s="1">
        <v>1647</v>
      </c>
      <c r="AR83" s="1">
        <v>1644</v>
      </c>
      <c r="AS83" s="1">
        <v>1656</v>
      </c>
      <c r="AT83" s="1">
        <v>1670</v>
      </c>
      <c r="AU83" s="1">
        <v>1684</v>
      </c>
      <c r="AV83" s="1">
        <v>1698</v>
      </c>
      <c r="AW83" s="1">
        <v>1713</v>
      </c>
      <c r="AX83" s="1">
        <v>1731</v>
      </c>
      <c r="AY83" s="1"/>
      <c r="BA83" s="21">
        <f t="shared" si="63"/>
        <v>20615</v>
      </c>
      <c r="BB83" s="22">
        <f t="shared" si="64"/>
        <v>1717.9166666666667</v>
      </c>
      <c r="BD83" s="7">
        <f t="shared" si="65"/>
        <v>19692</v>
      </c>
      <c r="BE83" s="7">
        <f t="shared" si="66"/>
        <v>-923</v>
      </c>
      <c r="BF83" s="8">
        <f t="shared" si="67"/>
        <v>-4.4773223381033178E-2</v>
      </c>
      <c r="BG83" s="7">
        <f t="shared" si="68"/>
        <v>1641</v>
      </c>
      <c r="BI83" s="12">
        <f t="shared" si="69"/>
        <v>18992</v>
      </c>
      <c r="BJ83" s="12">
        <f t="shared" si="70"/>
        <v>-700</v>
      </c>
      <c r="BK83" s="13">
        <f t="shared" si="71"/>
        <v>-3.5547430428600424E-2</v>
      </c>
      <c r="BL83" s="24">
        <f t="shared" si="72"/>
        <v>1574.125</v>
      </c>
      <c r="BM83" s="24">
        <f t="shared" si="73"/>
        <v>1599.75</v>
      </c>
      <c r="BO83" s="17">
        <f t="shared" si="74"/>
        <v>20041</v>
      </c>
      <c r="BP83" s="17">
        <f t="shared" si="75"/>
        <v>1049</v>
      </c>
      <c r="BQ83" s="18">
        <f t="shared" si="76"/>
        <v>5.5233782645324414E-2</v>
      </c>
      <c r="BR83" s="25">
        <f t="shared" si="77"/>
        <v>1670.0833333333333</v>
      </c>
    </row>
    <row r="84" spans="1:70">
      <c r="A84" t="s">
        <v>128</v>
      </c>
      <c r="B84">
        <v>110338</v>
      </c>
      <c r="C84" s="1">
        <v>2953</v>
      </c>
      <c r="D84" s="1">
        <v>2860</v>
      </c>
      <c r="E84" s="1">
        <v>2560</v>
      </c>
      <c r="F84" s="1">
        <v>2547</v>
      </c>
      <c r="G84" s="1">
        <v>2399</v>
      </c>
      <c r="H84" s="1">
        <v>2386</v>
      </c>
      <c r="I84" s="1">
        <v>2373</v>
      </c>
      <c r="J84" s="1">
        <v>2359</v>
      </c>
      <c r="K84" s="1">
        <v>2345</v>
      </c>
      <c r="L84" s="1">
        <v>2332</v>
      </c>
      <c r="M84" s="1">
        <v>2255</v>
      </c>
      <c r="N84" s="1">
        <v>2202</v>
      </c>
      <c r="O84" s="1">
        <v>2191</v>
      </c>
      <c r="P84" s="1">
        <v>2179</v>
      </c>
      <c r="Q84" s="1">
        <v>2161</v>
      </c>
      <c r="R84" s="1">
        <v>2147</v>
      </c>
      <c r="S84" s="1">
        <v>2130</v>
      </c>
      <c r="T84" s="1">
        <v>2116</v>
      </c>
      <c r="U84" s="1">
        <v>2100</v>
      </c>
      <c r="V84" s="1">
        <v>2084</v>
      </c>
      <c r="W84" s="1">
        <v>2071</v>
      </c>
      <c r="X84" s="1">
        <v>2059</v>
      </c>
      <c r="Y84" s="1">
        <v>2050</v>
      </c>
      <c r="Z84" s="1">
        <v>2040</v>
      </c>
      <c r="AA84" s="1">
        <v>2031</v>
      </c>
      <c r="AB84" s="1">
        <v>1913</v>
      </c>
      <c r="AC84" s="1">
        <v>1883</v>
      </c>
      <c r="AD84" s="1">
        <v>1873</v>
      </c>
      <c r="AE84" s="1">
        <v>1864</v>
      </c>
      <c r="AF84" s="1">
        <v>1853</v>
      </c>
      <c r="AG84" s="1">
        <v>1843</v>
      </c>
      <c r="AH84" s="1">
        <v>1866</v>
      </c>
      <c r="AI84" s="1">
        <v>1839</v>
      </c>
      <c r="AJ84" s="1">
        <v>1853</v>
      </c>
      <c r="AK84" s="1">
        <v>1848</v>
      </c>
      <c r="AL84" s="1">
        <v>1845</v>
      </c>
      <c r="AM84" s="1">
        <v>1840</v>
      </c>
      <c r="AN84" s="1">
        <v>1831</v>
      </c>
      <c r="AO84" s="1">
        <v>1821</v>
      </c>
      <c r="AP84" s="1">
        <v>1803</v>
      </c>
      <c r="AQ84" s="1">
        <v>1783</v>
      </c>
      <c r="AR84" s="1">
        <v>1769</v>
      </c>
      <c r="AS84" s="1">
        <v>1769</v>
      </c>
      <c r="AT84" s="1">
        <v>1773</v>
      </c>
      <c r="AU84" s="1">
        <v>1777</v>
      </c>
      <c r="AV84" s="1">
        <v>1779</v>
      </c>
      <c r="AW84" s="1">
        <v>1783</v>
      </c>
      <c r="AX84" s="1">
        <v>1791</v>
      </c>
      <c r="AY84" s="1"/>
      <c r="BA84" s="21">
        <f t="shared" si="63"/>
        <v>29571</v>
      </c>
      <c r="BB84" s="22">
        <f t="shared" si="64"/>
        <v>2464.25</v>
      </c>
      <c r="BD84" s="7">
        <f t="shared" si="65"/>
        <v>25328</v>
      </c>
      <c r="BE84" s="7">
        <f t="shared" si="66"/>
        <v>-4243</v>
      </c>
      <c r="BF84" s="8">
        <f t="shared" si="67"/>
        <v>-0.14348517128267557</v>
      </c>
      <c r="BG84" s="7">
        <f t="shared" si="68"/>
        <v>2110.6666666666665</v>
      </c>
      <c r="BI84" s="12">
        <f t="shared" si="69"/>
        <v>22511</v>
      </c>
      <c r="BJ84" s="12">
        <f t="shared" si="70"/>
        <v>-2817</v>
      </c>
      <c r="BK84" s="13">
        <f t="shared" si="71"/>
        <v>-0.11122078332280483</v>
      </c>
      <c r="BL84" s="24">
        <f t="shared" si="72"/>
        <v>1890.75</v>
      </c>
      <c r="BM84" s="24">
        <f t="shared" si="73"/>
        <v>1846.25</v>
      </c>
      <c r="BO84" s="17">
        <f t="shared" si="74"/>
        <v>21519</v>
      </c>
      <c r="BP84" s="17">
        <f t="shared" si="75"/>
        <v>-992</v>
      </c>
      <c r="BQ84" s="18">
        <f t="shared" si="76"/>
        <v>-4.4067344853627066E-2</v>
      </c>
      <c r="BR84" s="25">
        <f t="shared" si="77"/>
        <v>1793.25</v>
      </c>
    </row>
    <row r="85" spans="1:70">
      <c r="A85" t="s">
        <v>11</v>
      </c>
      <c r="B85" t="s">
        <v>12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BA85" s="21"/>
      <c r="BB85" s="22"/>
      <c r="BD85" s="7"/>
      <c r="BE85" s="7"/>
      <c r="BF85" s="8"/>
      <c r="BG85" s="7"/>
      <c r="BI85" s="12"/>
      <c r="BJ85" s="12"/>
      <c r="BK85" s="13"/>
      <c r="BL85" s="24"/>
      <c r="BM85" s="24"/>
      <c r="BO85" s="17"/>
      <c r="BP85" s="17"/>
      <c r="BQ85" s="18"/>
      <c r="BR85" s="25"/>
    </row>
    <row r="86" spans="1:70">
      <c r="A86" t="s">
        <v>569</v>
      </c>
      <c r="C86" s="1">
        <v>498765</v>
      </c>
      <c r="D86" s="1">
        <v>502147</v>
      </c>
      <c r="E86" s="1">
        <v>520088</v>
      </c>
      <c r="F86" s="1">
        <v>508542</v>
      </c>
      <c r="G86" s="1">
        <v>487488</v>
      </c>
      <c r="H86" s="1">
        <v>518389</v>
      </c>
      <c r="I86" s="1">
        <v>516216</v>
      </c>
      <c r="J86" s="1">
        <v>524556</v>
      </c>
      <c r="K86" s="1">
        <v>526019</v>
      </c>
      <c r="L86" s="1">
        <v>509987</v>
      </c>
      <c r="M86" s="1">
        <v>516835</v>
      </c>
      <c r="N86" s="1">
        <v>523213</v>
      </c>
      <c r="O86" s="1">
        <v>512661</v>
      </c>
      <c r="P86" s="1">
        <v>513078</v>
      </c>
      <c r="Q86" s="1">
        <v>510055</v>
      </c>
      <c r="R86" s="1">
        <v>505269</v>
      </c>
      <c r="S86" s="1">
        <v>512901</v>
      </c>
      <c r="T86" s="1">
        <v>489985</v>
      </c>
      <c r="U86" s="1">
        <v>516009</v>
      </c>
      <c r="V86" s="1">
        <v>503690</v>
      </c>
      <c r="W86" s="1">
        <v>507325</v>
      </c>
      <c r="X86" s="1">
        <v>498376</v>
      </c>
      <c r="Y86" s="1">
        <v>505677</v>
      </c>
      <c r="Z86" s="1">
        <v>516874</v>
      </c>
      <c r="AA86" s="1">
        <v>499801</v>
      </c>
      <c r="AB86" s="1">
        <v>501416</v>
      </c>
      <c r="AC86" s="1">
        <v>501276</v>
      </c>
      <c r="AD86" s="1">
        <v>501977</v>
      </c>
      <c r="AE86" s="1">
        <v>558648</v>
      </c>
      <c r="AF86" s="1">
        <v>507427</v>
      </c>
      <c r="AG86" s="1">
        <v>512866</v>
      </c>
      <c r="AH86" s="1">
        <v>518632</v>
      </c>
      <c r="AI86" s="1">
        <v>536862</v>
      </c>
      <c r="AJ86" s="1">
        <v>559434</v>
      </c>
      <c r="AK86" s="1">
        <v>577685</v>
      </c>
      <c r="AL86" s="1">
        <v>600011</v>
      </c>
      <c r="AM86" s="1">
        <v>621431</v>
      </c>
      <c r="AN86" s="1">
        <v>647366</v>
      </c>
      <c r="AO86" s="1">
        <v>666278</v>
      </c>
      <c r="AP86" s="1">
        <v>667980</v>
      </c>
      <c r="AQ86" s="1">
        <v>668868</v>
      </c>
      <c r="AR86" s="1">
        <v>675778</v>
      </c>
      <c r="AS86" s="1">
        <v>693903</v>
      </c>
      <c r="AT86" s="1">
        <v>720186</v>
      </c>
      <c r="AU86" s="1">
        <v>748192</v>
      </c>
      <c r="AV86" s="1">
        <v>776685</v>
      </c>
      <c r="AW86" s="1">
        <v>807352</v>
      </c>
      <c r="AX86" s="1">
        <v>845289</v>
      </c>
      <c r="AY86" s="1"/>
      <c r="BA86" s="21">
        <f>SUM(C86:N86)</f>
        <v>6152245</v>
      </c>
      <c r="BB86" s="22">
        <f>+BA86/12</f>
        <v>512687.08333333331</v>
      </c>
      <c r="BD86" s="7">
        <f>SUM(O86:Z86)</f>
        <v>6091900</v>
      </c>
      <c r="BE86" s="7">
        <f>+BD86-BA86</f>
        <v>-60345</v>
      </c>
      <c r="BF86" s="8">
        <f>(BD86/BA86)-1</f>
        <v>-9.8086145789056944E-3</v>
      </c>
      <c r="BG86" s="7">
        <f>BD86/12</f>
        <v>507658.33333333331</v>
      </c>
      <c r="BI86" s="12">
        <f>+SUM(AA86:AL86)</f>
        <v>6376035</v>
      </c>
      <c r="BJ86" s="12">
        <f>+BI86-BD86</f>
        <v>284135</v>
      </c>
      <c r="BK86" s="13">
        <f>(BI86/BD86)-1</f>
        <v>4.6641441914673676E-2</v>
      </c>
      <c r="BL86" s="24">
        <f>SUM(AA86:AH86)/8</f>
        <v>512755.375</v>
      </c>
      <c r="BM86" s="24">
        <f>SUM(AI86:AL86)/4</f>
        <v>568498</v>
      </c>
      <c r="BO86" s="17">
        <f>+SUM(AM86:AX86)</f>
        <v>8539308</v>
      </c>
      <c r="BP86" s="17">
        <f>+BO86-BI86</f>
        <v>2163273</v>
      </c>
      <c r="BQ86" s="18">
        <f>(BO86/BI86)-1</f>
        <v>0.33928185776897402</v>
      </c>
      <c r="BR86" s="25">
        <f>BO86/12</f>
        <v>711609</v>
      </c>
    </row>
    <row r="87" spans="1:70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BA87" s="21"/>
      <c r="BB87" s="22"/>
      <c r="BD87" s="7"/>
      <c r="BE87" s="7"/>
      <c r="BF87" s="8"/>
      <c r="BG87" s="7"/>
      <c r="BI87" s="12"/>
      <c r="BJ87" s="12"/>
      <c r="BK87" s="13"/>
      <c r="BL87" s="24"/>
      <c r="BM87" s="24"/>
      <c r="BO87" s="17"/>
      <c r="BP87" s="17"/>
      <c r="BQ87" s="18"/>
      <c r="BR87" s="25"/>
    </row>
    <row r="88" spans="1:70">
      <c r="A88" t="s">
        <v>134</v>
      </c>
      <c r="B88">
        <v>110341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1536</v>
      </c>
      <c r="T88" s="1">
        <v>4887</v>
      </c>
      <c r="U88" s="1">
        <v>6844</v>
      </c>
      <c r="V88" s="1">
        <v>6836</v>
      </c>
      <c r="W88" s="1">
        <v>6828</v>
      </c>
      <c r="X88" s="1">
        <v>6821</v>
      </c>
      <c r="Y88" s="1">
        <v>6810</v>
      </c>
      <c r="Z88" s="1">
        <v>6803</v>
      </c>
      <c r="AA88" s="1">
        <v>6796</v>
      </c>
      <c r="AB88" s="1">
        <v>6765</v>
      </c>
      <c r="AC88" s="1">
        <v>6758</v>
      </c>
      <c r="AD88" s="1">
        <v>6750</v>
      </c>
      <c r="AE88" s="1">
        <v>6743</v>
      </c>
      <c r="AF88" s="1">
        <v>6735</v>
      </c>
      <c r="AG88" s="1">
        <v>6728</v>
      </c>
      <c r="AH88" s="1">
        <v>6720</v>
      </c>
      <c r="AI88" s="1">
        <v>6779</v>
      </c>
      <c r="AJ88" s="1">
        <v>6840</v>
      </c>
      <c r="AK88" s="1">
        <v>6879</v>
      </c>
      <c r="AL88" s="1">
        <v>6920</v>
      </c>
      <c r="AM88" s="1">
        <v>6955</v>
      </c>
      <c r="AN88" s="1">
        <v>6959</v>
      </c>
      <c r="AO88" s="1">
        <v>6942</v>
      </c>
      <c r="AP88" s="1">
        <v>6919</v>
      </c>
      <c r="AQ88" s="1">
        <v>6895</v>
      </c>
      <c r="AR88" s="1">
        <v>6879</v>
      </c>
      <c r="AS88" s="1">
        <v>6876</v>
      </c>
      <c r="AT88" s="1">
        <v>6888</v>
      </c>
      <c r="AU88" s="1">
        <v>6919</v>
      </c>
      <c r="AV88" s="1">
        <v>6948</v>
      </c>
      <c r="AW88" s="1">
        <v>6981</v>
      </c>
      <c r="AX88" s="1">
        <v>7025</v>
      </c>
      <c r="AY88" s="1"/>
      <c r="BA88" s="21">
        <f t="shared" ref="BA88:BA103" si="78">SUM(C88:N88)</f>
        <v>0</v>
      </c>
      <c r="BB88" s="22">
        <f t="shared" ref="BB88:BB103" si="79">+BA88/12</f>
        <v>0</v>
      </c>
      <c r="BD88" s="7">
        <f t="shared" ref="BD88:BD103" si="80">SUM(O88:Z88)</f>
        <v>47365</v>
      </c>
      <c r="BE88" s="7">
        <f t="shared" ref="BE88:BE103" si="81">+BD88-BA88</f>
        <v>47365</v>
      </c>
      <c r="BF88" s="8" t="e">
        <f t="shared" ref="BF88:BF103" si="82">(BD88/BA88)-1</f>
        <v>#DIV/0!</v>
      </c>
      <c r="BG88" s="7">
        <f t="shared" ref="BG88:BG103" si="83">BD88/12</f>
        <v>3947.0833333333335</v>
      </c>
      <c r="BI88" s="12">
        <f t="shared" ref="BI88:BI103" si="84">+SUM(AA88:AL88)</f>
        <v>81413</v>
      </c>
      <c r="BJ88" s="12">
        <f t="shared" ref="BJ88:BJ103" si="85">+BI88-BD88</f>
        <v>34048</v>
      </c>
      <c r="BK88" s="13">
        <f t="shared" ref="BK88:BK103" si="86">(BI88/BD88)-1</f>
        <v>0.71884302755198992</v>
      </c>
      <c r="BL88" s="24">
        <f t="shared" ref="BL88:BL103" si="87">SUM(AA88:AH88)/8</f>
        <v>6749.375</v>
      </c>
      <c r="BM88" s="24">
        <f t="shared" ref="BM88:BM103" si="88">SUM(AI88:AL88)/4</f>
        <v>6854.5</v>
      </c>
      <c r="BO88" s="17">
        <f t="shared" ref="BO88:BO103" si="89">+SUM(AM88:AX88)</f>
        <v>83186</v>
      </c>
      <c r="BP88" s="17">
        <f t="shared" ref="BP88:BP103" si="90">+BO88-BI88</f>
        <v>1773</v>
      </c>
      <c r="BQ88" s="18">
        <f t="shared" ref="BQ88:BQ103" si="91">(BO88/BI88)-1</f>
        <v>2.1777848746514783E-2</v>
      </c>
      <c r="BR88" s="25">
        <f t="shared" ref="BR88:BR103" si="92">BO88/12</f>
        <v>6932.166666666667</v>
      </c>
    </row>
    <row r="89" spans="1:70">
      <c r="A89" t="s">
        <v>570</v>
      </c>
      <c r="B89">
        <v>110345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2</v>
      </c>
      <c r="U89" s="1">
        <v>3</v>
      </c>
      <c r="V89" s="1">
        <v>0</v>
      </c>
      <c r="W89" s="1">
        <v>2</v>
      </c>
      <c r="X89" s="1">
        <v>2</v>
      </c>
      <c r="Y89" s="1">
        <v>3</v>
      </c>
      <c r="Z89" s="1">
        <v>1</v>
      </c>
      <c r="AA89" s="1">
        <v>1</v>
      </c>
      <c r="AB89" s="1">
        <v>1</v>
      </c>
      <c r="AC89" s="1">
        <v>1</v>
      </c>
      <c r="AD89" s="1">
        <v>1</v>
      </c>
      <c r="AE89" s="1">
        <v>1</v>
      </c>
      <c r="AF89" s="1">
        <v>1</v>
      </c>
      <c r="AG89" s="1">
        <v>1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/>
      <c r="BA89" s="21">
        <f t="shared" si="78"/>
        <v>0</v>
      </c>
      <c r="BB89" s="22">
        <f t="shared" si="79"/>
        <v>0</v>
      </c>
      <c r="BD89" s="7">
        <f t="shared" si="80"/>
        <v>13</v>
      </c>
      <c r="BE89" s="7">
        <f t="shared" si="81"/>
        <v>13</v>
      </c>
      <c r="BF89" s="8" t="e">
        <f t="shared" si="82"/>
        <v>#DIV/0!</v>
      </c>
      <c r="BG89" s="7">
        <f t="shared" si="83"/>
        <v>1.0833333333333333</v>
      </c>
      <c r="BI89" s="12">
        <f t="shared" si="84"/>
        <v>8</v>
      </c>
      <c r="BJ89" s="12">
        <f t="shared" si="85"/>
        <v>-5</v>
      </c>
      <c r="BK89" s="13">
        <f t="shared" si="86"/>
        <v>-0.38461538461538458</v>
      </c>
      <c r="BL89" s="24">
        <f t="shared" si="87"/>
        <v>1</v>
      </c>
      <c r="BM89" s="24">
        <f t="shared" si="88"/>
        <v>0</v>
      </c>
      <c r="BO89" s="17">
        <f t="shared" si="89"/>
        <v>0</v>
      </c>
      <c r="BP89" s="17">
        <f t="shared" si="90"/>
        <v>-8</v>
      </c>
      <c r="BQ89" s="18">
        <f t="shared" si="91"/>
        <v>-1</v>
      </c>
      <c r="BR89" s="25">
        <f t="shared" si="92"/>
        <v>0</v>
      </c>
    </row>
    <row r="90" spans="1:70">
      <c r="A90" t="s">
        <v>136</v>
      </c>
      <c r="B90">
        <v>110342</v>
      </c>
      <c r="C90" s="1">
        <v>4941</v>
      </c>
      <c r="D90" s="1">
        <v>5109</v>
      </c>
      <c r="E90" s="1">
        <v>5512</v>
      </c>
      <c r="F90" s="1">
        <v>5413</v>
      </c>
      <c r="G90" s="1">
        <v>5669</v>
      </c>
      <c r="H90" s="1">
        <v>6118</v>
      </c>
      <c r="I90" s="1">
        <v>6285</v>
      </c>
      <c r="J90" s="1">
        <v>6265</v>
      </c>
      <c r="K90" s="1">
        <v>6245</v>
      </c>
      <c r="L90" s="1">
        <v>6224</v>
      </c>
      <c r="M90" s="1">
        <v>6204</v>
      </c>
      <c r="N90" s="1">
        <v>7740</v>
      </c>
      <c r="O90" s="1">
        <v>6958</v>
      </c>
      <c r="P90" s="1">
        <v>6338</v>
      </c>
      <c r="Q90" s="1">
        <v>6310</v>
      </c>
      <c r="R90" s="1">
        <v>6349</v>
      </c>
      <c r="S90" s="1">
        <v>7949</v>
      </c>
      <c r="T90" s="1">
        <v>4822</v>
      </c>
      <c r="U90" s="1">
        <v>6401</v>
      </c>
      <c r="V90" s="1">
        <v>6046</v>
      </c>
      <c r="W90" s="1">
        <v>5718</v>
      </c>
      <c r="X90" s="1">
        <v>5700</v>
      </c>
      <c r="Y90" s="1">
        <v>5682</v>
      </c>
      <c r="Z90" s="1">
        <v>6980</v>
      </c>
      <c r="AA90" s="1">
        <v>3956</v>
      </c>
      <c r="AB90" s="1">
        <v>5385</v>
      </c>
      <c r="AC90" s="1">
        <v>5274</v>
      </c>
      <c r="AD90" s="1">
        <v>5256</v>
      </c>
      <c r="AE90" s="1">
        <v>5186</v>
      </c>
      <c r="AF90" s="1">
        <v>5069</v>
      </c>
      <c r="AG90" s="1">
        <v>4975</v>
      </c>
      <c r="AH90" s="1">
        <v>4957</v>
      </c>
      <c r="AI90" s="1">
        <v>4967</v>
      </c>
      <c r="AJ90" s="1">
        <v>5004</v>
      </c>
      <c r="AK90" s="1">
        <v>4694</v>
      </c>
      <c r="AL90" s="1">
        <v>4386</v>
      </c>
      <c r="AM90" s="1">
        <v>4326</v>
      </c>
      <c r="AN90" s="1">
        <v>4182</v>
      </c>
      <c r="AO90" s="1">
        <v>4037</v>
      </c>
      <c r="AP90" s="1">
        <v>3958</v>
      </c>
      <c r="AQ90" s="1">
        <v>3741</v>
      </c>
      <c r="AR90" s="1">
        <v>3473</v>
      </c>
      <c r="AS90" s="1">
        <v>3441</v>
      </c>
      <c r="AT90" s="1">
        <v>3471</v>
      </c>
      <c r="AU90" s="1">
        <v>3512</v>
      </c>
      <c r="AV90" s="1">
        <v>3560</v>
      </c>
      <c r="AW90" s="1">
        <v>3612</v>
      </c>
      <c r="AX90" s="1">
        <v>3681</v>
      </c>
      <c r="AY90" s="1"/>
      <c r="BA90" s="21">
        <f t="shared" si="78"/>
        <v>71725</v>
      </c>
      <c r="BB90" s="22">
        <f t="shared" si="79"/>
        <v>5977.083333333333</v>
      </c>
      <c r="BD90" s="7">
        <f t="shared" si="80"/>
        <v>75253</v>
      </c>
      <c r="BE90" s="7">
        <f t="shared" si="81"/>
        <v>3528</v>
      </c>
      <c r="BF90" s="8">
        <f t="shared" si="82"/>
        <v>4.9187870338096795E-2</v>
      </c>
      <c r="BG90" s="7">
        <f t="shared" si="83"/>
        <v>6271.083333333333</v>
      </c>
      <c r="BI90" s="12">
        <f t="shared" si="84"/>
        <v>59109</v>
      </c>
      <c r="BJ90" s="12">
        <f t="shared" si="85"/>
        <v>-16144</v>
      </c>
      <c r="BK90" s="13">
        <f t="shared" si="86"/>
        <v>-0.21452965330285834</v>
      </c>
      <c r="BL90" s="24">
        <f t="shared" si="87"/>
        <v>5007.25</v>
      </c>
      <c r="BM90" s="24">
        <f t="shared" si="88"/>
        <v>4762.75</v>
      </c>
      <c r="BO90" s="17">
        <f t="shared" si="89"/>
        <v>44994</v>
      </c>
      <c r="BP90" s="17">
        <f t="shared" si="90"/>
        <v>-14115</v>
      </c>
      <c r="BQ90" s="18">
        <f t="shared" si="91"/>
        <v>-0.23879612241790593</v>
      </c>
      <c r="BR90" s="25">
        <f t="shared" si="92"/>
        <v>3749.5</v>
      </c>
    </row>
    <row r="91" spans="1:70">
      <c r="A91" t="s">
        <v>137</v>
      </c>
      <c r="B91">
        <v>110343</v>
      </c>
      <c r="C91" s="1">
        <v>49</v>
      </c>
      <c r="D91" s="1">
        <v>47</v>
      </c>
      <c r="E91" s="1">
        <v>104</v>
      </c>
      <c r="F91" s="1">
        <v>44</v>
      </c>
      <c r="G91" s="1">
        <v>43</v>
      </c>
      <c r="H91" s="1">
        <v>42</v>
      </c>
      <c r="I91" s="1">
        <v>41</v>
      </c>
      <c r="J91" s="1">
        <v>39</v>
      </c>
      <c r="K91" s="1">
        <v>38</v>
      </c>
      <c r="L91" s="1">
        <v>57</v>
      </c>
      <c r="M91" s="1">
        <v>56</v>
      </c>
      <c r="N91" s="1">
        <v>53</v>
      </c>
      <c r="O91" s="1">
        <v>51</v>
      </c>
      <c r="P91" s="1">
        <v>50</v>
      </c>
      <c r="Q91" s="1">
        <v>48</v>
      </c>
      <c r="R91" s="1">
        <v>46</v>
      </c>
      <c r="S91" s="1">
        <v>45</v>
      </c>
      <c r="T91" s="1">
        <v>43</v>
      </c>
      <c r="U91" s="1">
        <v>41</v>
      </c>
      <c r="V91" s="1">
        <v>40</v>
      </c>
      <c r="W91" s="1">
        <v>38</v>
      </c>
      <c r="X91" s="1">
        <v>37</v>
      </c>
      <c r="Y91" s="1">
        <v>36</v>
      </c>
      <c r="Z91" s="1">
        <v>34</v>
      </c>
      <c r="AA91" s="1">
        <v>32</v>
      </c>
      <c r="AB91" s="1">
        <v>31</v>
      </c>
      <c r="AC91" s="1">
        <v>31</v>
      </c>
      <c r="AD91" s="1">
        <v>29</v>
      </c>
      <c r="AE91" s="1">
        <v>27</v>
      </c>
      <c r="AF91" s="1">
        <v>25</v>
      </c>
      <c r="AG91" s="1">
        <v>23</v>
      </c>
      <c r="AH91" s="1">
        <v>21</v>
      </c>
      <c r="AI91" s="1">
        <v>16</v>
      </c>
      <c r="AJ91" s="1">
        <v>11</v>
      </c>
      <c r="AK91" s="1">
        <v>12</v>
      </c>
      <c r="AL91" s="1">
        <v>12</v>
      </c>
      <c r="AM91" s="1">
        <v>12</v>
      </c>
      <c r="AN91" s="1">
        <v>12</v>
      </c>
      <c r="AO91" s="1">
        <v>13</v>
      </c>
      <c r="AP91" s="1">
        <v>12</v>
      </c>
      <c r="AQ91" s="1">
        <v>13</v>
      </c>
      <c r="AR91" s="1">
        <v>13</v>
      </c>
      <c r="AS91" s="1">
        <v>13</v>
      </c>
      <c r="AT91" s="1">
        <v>13</v>
      </c>
      <c r="AU91" s="1">
        <v>14</v>
      </c>
      <c r="AV91" s="1">
        <v>14</v>
      </c>
      <c r="AW91" s="1">
        <v>14</v>
      </c>
      <c r="AX91" s="1">
        <v>15</v>
      </c>
      <c r="AY91" s="1"/>
      <c r="BA91" s="21">
        <f t="shared" si="78"/>
        <v>613</v>
      </c>
      <c r="BB91" s="22">
        <f t="shared" si="79"/>
        <v>51.083333333333336</v>
      </c>
      <c r="BD91" s="7">
        <f t="shared" si="80"/>
        <v>509</v>
      </c>
      <c r="BE91" s="7">
        <f t="shared" si="81"/>
        <v>-104</v>
      </c>
      <c r="BF91" s="8">
        <f t="shared" si="82"/>
        <v>-0.16965742251223492</v>
      </c>
      <c r="BG91" s="7">
        <f t="shared" si="83"/>
        <v>42.416666666666664</v>
      </c>
      <c r="BI91" s="12">
        <f t="shared" si="84"/>
        <v>270</v>
      </c>
      <c r="BJ91" s="12">
        <f t="shared" si="85"/>
        <v>-239</v>
      </c>
      <c r="BK91" s="13">
        <f t="shared" si="86"/>
        <v>-0.46954813359528491</v>
      </c>
      <c r="BL91" s="24">
        <f t="shared" si="87"/>
        <v>27.375</v>
      </c>
      <c r="BM91" s="24">
        <f t="shared" si="88"/>
        <v>12.75</v>
      </c>
      <c r="BO91" s="17">
        <f t="shared" si="89"/>
        <v>158</v>
      </c>
      <c r="BP91" s="17">
        <f t="shared" si="90"/>
        <v>-112</v>
      </c>
      <c r="BQ91" s="18">
        <f t="shared" si="91"/>
        <v>-0.41481481481481486</v>
      </c>
      <c r="BR91" s="25">
        <f t="shared" si="92"/>
        <v>13.166666666666666</v>
      </c>
    </row>
    <row r="92" spans="1:70">
      <c r="A92" t="s">
        <v>139</v>
      </c>
      <c r="B92">
        <v>110346</v>
      </c>
      <c r="C92" s="1">
        <v>210</v>
      </c>
      <c r="D92" s="1">
        <v>208</v>
      </c>
      <c r="E92" s="1">
        <v>206</v>
      </c>
      <c r="F92" s="1">
        <v>204</v>
      </c>
      <c r="G92" s="1">
        <v>292</v>
      </c>
      <c r="H92" s="1">
        <v>295</v>
      </c>
      <c r="I92" s="1">
        <v>293</v>
      </c>
      <c r="J92" s="1">
        <v>291</v>
      </c>
      <c r="K92" s="1">
        <v>289</v>
      </c>
      <c r="L92" s="1">
        <v>287</v>
      </c>
      <c r="M92" s="1">
        <v>282</v>
      </c>
      <c r="N92" s="1">
        <v>278</v>
      </c>
      <c r="O92" s="1">
        <v>275</v>
      </c>
      <c r="P92" s="1">
        <v>273</v>
      </c>
      <c r="Q92" s="1">
        <v>271</v>
      </c>
      <c r="R92" s="1">
        <v>268</v>
      </c>
      <c r="S92" s="1">
        <v>317</v>
      </c>
      <c r="T92" s="1">
        <v>316</v>
      </c>
      <c r="U92" s="1">
        <v>313</v>
      </c>
      <c r="V92" s="1">
        <v>311</v>
      </c>
      <c r="W92" s="1">
        <v>308</v>
      </c>
      <c r="X92" s="1">
        <v>306</v>
      </c>
      <c r="Y92" s="1">
        <v>303</v>
      </c>
      <c r="Z92" s="1">
        <v>301</v>
      </c>
      <c r="AA92" s="1">
        <v>298</v>
      </c>
      <c r="AB92" s="1">
        <v>296</v>
      </c>
      <c r="AC92" s="1">
        <v>293</v>
      </c>
      <c r="AD92" s="1">
        <v>291</v>
      </c>
      <c r="AE92" s="1">
        <v>235</v>
      </c>
      <c r="AF92" s="1">
        <v>250</v>
      </c>
      <c r="AG92" s="1">
        <v>249</v>
      </c>
      <c r="AH92" s="1">
        <v>247</v>
      </c>
      <c r="AI92" s="1">
        <v>245</v>
      </c>
      <c r="AJ92" s="1">
        <v>247</v>
      </c>
      <c r="AK92" s="1">
        <v>249</v>
      </c>
      <c r="AL92" s="1">
        <v>250</v>
      </c>
      <c r="AM92" s="1">
        <v>252</v>
      </c>
      <c r="AN92" s="1">
        <v>255</v>
      </c>
      <c r="AO92" s="1">
        <v>255</v>
      </c>
      <c r="AP92" s="1">
        <v>261</v>
      </c>
      <c r="AQ92" s="1">
        <v>269</v>
      </c>
      <c r="AR92" s="1">
        <v>270</v>
      </c>
      <c r="AS92" s="1">
        <v>271</v>
      </c>
      <c r="AT92" s="1">
        <v>274</v>
      </c>
      <c r="AU92" s="1">
        <v>276</v>
      </c>
      <c r="AV92" s="1">
        <v>279</v>
      </c>
      <c r="AW92" s="1">
        <v>283</v>
      </c>
      <c r="AX92" s="1">
        <v>287</v>
      </c>
      <c r="AY92" s="1"/>
      <c r="BA92" s="21">
        <f t="shared" si="78"/>
        <v>3135</v>
      </c>
      <c r="BB92" s="22">
        <f t="shared" si="79"/>
        <v>261.25</v>
      </c>
      <c r="BD92" s="7">
        <f t="shared" si="80"/>
        <v>3562</v>
      </c>
      <c r="BE92" s="7">
        <f t="shared" si="81"/>
        <v>427</v>
      </c>
      <c r="BF92" s="8">
        <f t="shared" si="82"/>
        <v>0.13620414673046244</v>
      </c>
      <c r="BG92" s="7">
        <f t="shared" si="83"/>
        <v>296.83333333333331</v>
      </c>
      <c r="BI92" s="12">
        <f t="shared" si="84"/>
        <v>3150</v>
      </c>
      <c r="BJ92" s="12">
        <f t="shared" si="85"/>
        <v>-412</v>
      </c>
      <c r="BK92" s="13">
        <f t="shared" si="86"/>
        <v>-0.11566535654126897</v>
      </c>
      <c r="BL92" s="24">
        <f t="shared" si="87"/>
        <v>269.875</v>
      </c>
      <c r="BM92" s="24">
        <f t="shared" si="88"/>
        <v>247.75</v>
      </c>
      <c r="BO92" s="17">
        <f t="shared" si="89"/>
        <v>3232</v>
      </c>
      <c r="BP92" s="17">
        <f t="shared" si="90"/>
        <v>82</v>
      </c>
      <c r="BQ92" s="18">
        <f t="shared" si="91"/>
        <v>2.6031746031746072E-2</v>
      </c>
      <c r="BR92" s="25">
        <f t="shared" si="92"/>
        <v>269.33333333333331</v>
      </c>
    </row>
    <row r="93" spans="1:70">
      <c r="A93" t="s">
        <v>140</v>
      </c>
      <c r="B93">
        <v>110347</v>
      </c>
      <c r="C93" s="1">
        <v>1738</v>
      </c>
      <c r="D93" s="1">
        <v>1735</v>
      </c>
      <c r="E93" s="1">
        <v>1732</v>
      </c>
      <c r="F93" s="1">
        <v>1729</v>
      </c>
      <c r="G93" s="1">
        <v>1726</v>
      </c>
      <c r="H93" s="1">
        <v>1713</v>
      </c>
      <c r="I93" s="1">
        <v>1710</v>
      </c>
      <c r="J93" s="1">
        <v>1707</v>
      </c>
      <c r="K93" s="1">
        <v>4251</v>
      </c>
      <c r="L93" s="1">
        <v>6559</v>
      </c>
      <c r="M93" s="1">
        <v>14862</v>
      </c>
      <c r="N93" s="1">
        <v>17823</v>
      </c>
      <c r="O93" s="1">
        <v>17800</v>
      </c>
      <c r="P93" s="1">
        <v>18191</v>
      </c>
      <c r="Q93" s="1">
        <v>21070</v>
      </c>
      <c r="R93" s="1">
        <v>20219</v>
      </c>
      <c r="S93" s="1">
        <v>24690</v>
      </c>
      <c r="T93" s="1">
        <v>36229</v>
      </c>
      <c r="U93" s="1">
        <v>43980</v>
      </c>
      <c r="V93" s="1">
        <v>46378</v>
      </c>
      <c r="W93" s="1">
        <v>50065</v>
      </c>
      <c r="X93" s="1">
        <v>49978</v>
      </c>
      <c r="Y93" s="1">
        <v>49888</v>
      </c>
      <c r="Z93" s="1">
        <v>49811</v>
      </c>
      <c r="AA93" s="1">
        <v>49733</v>
      </c>
      <c r="AB93" s="1">
        <v>49351</v>
      </c>
      <c r="AC93" s="1">
        <v>49964</v>
      </c>
      <c r="AD93" s="1">
        <v>52437</v>
      </c>
      <c r="AE93" s="1">
        <v>55956</v>
      </c>
      <c r="AF93" s="1">
        <v>56759</v>
      </c>
      <c r="AG93" s="1">
        <v>56608</v>
      </c>
      <c r="AH93" s="1">
        <v>48973</v>
      </c>
      <c r="AI93" s="1">
        <v>54416</v>
      </c>
      <c r="AJ93" s="1">
        <v>54667</v>
      </c>
      <c r="AK93" s="1">
        <v>54696</v>
      </c>
      <c r="AL93" s="1">
        <v>54741</v>
      </c>
      <c r="AM93" s="1">
        <v>54741</v>
      </c>
      <c r="AN93" s="1">
        <v>54525</v>
      </c>
      <c r="AO93" s="1">
        <v>54230</v>
      </c>
      <c r="AP93" s="1">
        <v>53944</v>
      </c>
      <c r="AQ93" s="1">
        <v>53677</v>
      </c>
      <c r="AR93" s="1">
        <v>53455</v>
      </c>
      <c r="AS93" s="1">
        <v>53382</v>
      </c>
      <c r="AT93" s="1">
        <v>53416</v>
      </c>
      <c r="AU93" s="1">
        <v>53531</v>
      </c>
      <c r="AV93" s="1">
        <v>53625</v>
      </c>
      <c r="AW93" s="1">
        <v>53754</v>
      </c>
      <c r="AX93" s="1">
        <v>53978</v>
      </c>
      <c r="AY93" s="1"/>
      <c r="BA93" s="21">
        <f t="shared" si="78"/>
        <v>57285</v>
      </c>
      <c r="BB93" s="22">
        <f t="shared" si="79"/>
        <v>4773.75</v>
      </c>
      <c r="BD93" s="7">
        <f t="shared" si="80"/>
        <v>428299</v>
      </c>
      <c r="BE93" s="7">
        <f t="shared" si="81"/>
        <v>371014</v>
      </c>
      <c r="BF93" s="8">
        <f t="shared" si="82"/>
        <v>6.4766343719996513</v>
      </c>
      <c r="BG93" s="7">
        <f t="shared" si="83"/>
        <v>35691.583333333336</v>
      </c>
      <c r="BI93" s="12">
        <f t="shared" si="84"/>
        <v>638301</v>
      </c>
      <c r="BJ93" s="12">
        <f t="shared" si="85"/>
        <v>210002</v>
      </c>
      <c r="BK93" s="13">
        <f t="shared" si="86"/>
        <v>0.49031634442293814</v>
      </c>
      <c r="BL93" s="24">
        <f t="shared" si="87"/>
        <v>52472.625</v>
      </c>
      <c r="BM93" s="24">
        <f t="shared" si="88"/>
        <v>54630</v>
      </c>
      <c r="BO93" s="17">
        <f t="shared" si="89"/>
        <v>646258</v>
      </c>
      <c r="BP93" s="17">
        <f t="shared" si="90"/>
        <v>7957</v>
      </c>
      <c r="BQ93" s="18">
        <f t="shared" si="91"/>
        <v>1.2465905583729286E-2</v>
      </c>
      <c r="BR93" s="25">
        <f t="shared" si="92"/>
        <v>53854.833333333336</v>
      </c>
    </row>
    <row r="94" spans="1:70">
      <c r="A94" t="s">
        <v>571</v>
      </c>
      <c r="B94">
        <v>110351</v>
      </c>
      <c r="C94" s="1">
        <v>149</v>
      </c>
      <c r="D94" s="1">
        <v>149</v>
      </c>
      <c r="E94" s="1">
        <v>149</v>
      </c>
      <c r="F94" s="1">
        <v>149</v>
      </c>
      <c r="G94" s="1">
        <v>126</v>
      </c>
      <c r="H94" s="1">
        <v>149</v>
      </c>
      <c r="I94" s="1">
        <v>149</v>
      </c>
      <c r="J94" s="1">
        <v>149</v>
      </c>
      <c r="K94" s="1">
        <v>149</v>
      </c>
      <c r="L94" s="1">
        <v>149</v>
      </c>
      <c r="M94" s="1">
        <v>103</v>
      </c>
      <c r="N94" s="1">
        <v>-2</v>
      </c>
      <c r="O94" s="1">
        <v>-2</v>
      </c>
      <c r="P94" s="1">
        <v>-2</v>
      </c>
      <c r="Q94" s="1">
        <v>-437</v>
      </c>
      <c r="R94" s="1">
        <v>-16</v>
      </c>
      <c r="S94" s="1">
        <v>-494</v>
      </c>
      <c r="T94" s="1">
        <v>980</v>
      </c>
      <c r="U94" s="1">
        <v>-27</v>
      </c>
      <c r="V94" s="1">
        <v>-782</v>
      </c>
      <c r="W94" s="1">
        <v>-37</v>
      </c>
      <c r="X94" s="1">
        <v>-43</v>
      </c>
      <c r="Y94" s="1">
        <v>-54</v>
      </c>
      <c r="Z94" s="1">
        <v>-58</v>
      </c>
      <c r="AA94" s="1">
        <v>-53</v>
      </c>
      <c r="AB94" s="1">
        <v>-27</v>
      </c>
      <c r="AC94" s="1">
        <v>-1032</v>
      </c>
      <c r="AD94" s="1">
        <v>-75</v>
      </c>
      <c r="AE94" s="1">
        <v>-186</v>
      </c>
      <c r="AF94" s="1">
        <v>-250</v>
      </c>
      <c r="AG94" s="1">
        <v>-183</v>
      </c>
      <c r="AH94" s="1">
        <v>-371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/>
      <c r="BA94" s="21">
        <f t="shared" si="78"/>
        <v>1568</v>
      </c>
      <c r="BB94" s="22">
        <f t="shared" si="79"/>
        <v>130.66666666666666</v>
      </c>
      <c r="BD94" s="7">
        <f t="shared" si="80"/>
        <v>-972</v>
      </c>
      <c r="BE94" s="7">
        <f t="shared" si="81"/>
        <v>-2540</v>
      </c>
      <c r="BF94" s="8">
        <f t="shared" si="82"/>
        <v>-1.6198979591836735</v>
      </c>
      <c r="BG94" s="7">
        <f t="shared" si="83"/>
        <v>-81</v>
      </c>
      <c r="BI94" s="12">
        <f t="shared" si="84"/>
        <v>-2177</v>
      </c>
      <c r="BJ94" s="12">
        <f t="shared" si="85"/>
        <v>-1205</v>
      </c>
      <c r="BK94" s="13">
        <f t="shared" si="86"/>
        <v>1.2397119341563787</v>
      </c>
      <c r="BL94" s="24">
        <f t="shared" si="87"/>
        <v>-272.125</v>
      </c>
      <c r="BM94" s="24">
        <f t="shared" si="88"/>
        <v>0</v>
      </c>
      <c r="BO94" s="17">
        <f t="shared" si="89"/>
        <v>0</v>
      </c>
      <c r="BP94" s="17">
        <f t="shared" si="90"/>
        <v>2177</v>
      </c>
      <c r="BQ94" s="18">
        <f t="shared" si="91"/>
        <v>-1</v>
      </c>
      <c r="BR94" s="25">
        <f t="shared" si="92"/>
        <v>0</v>
      </c>
    </row>
    <row r="95" spans="1:70">
      <c r="A95" t="s">
        <v>144</v>
      </c>
      <c r="B95">
        <v>110350</v>
      </c>
      <c r="C95" s="1">
        <v>180</v>
      </c>
      <c r="D95" s="1">
        <v>180</v>
      </c>
      <c r="E95" s="1">
        <v>179</v>
      </c>
      <c r="F95" s="1">
        <v>179</v>
      </c>
      <c r="G95" s="1">
        <v>178</v>
      </c>
      <c r="H95" s="1">
        <v>253</v>
      </c>
      <c r="I95" s="1">
        <v>251</v>
      </c>
      <c r="J95" s="1">
        <v>251</v>
      </c>
      <c r="K95" s="1">
        <v>250</v>
      </c>
      <c r="L95" s="1">
        <v>249</v>
      </c>
      <c r="M95" s="1">
        <v>249</v>
      </c>
      <c r="N95" s="1">
        <v>248</v>
      </c>
      <c r="O95" s="1">
        <v>248</v>
      </c>
      <c r="P95" s="1">
        <v>247</v>
      </c>
      <c r="Q95" s="1">
        <v>246</v>
      </c>
      <c r="R95" s="1">
        <v>246</v>
      </c>
      <c r="S95" s="1">
        <v>245</v>
      </c>
      <c r="T95" s="1">
        <v>281</v>
      </c>
      <c r="U95" s="1">
        <v>280</v>
      </c>
      <c r="V95" s="1">
        <v>280</v>
      </c>
      <c r="W95" s="1">
        <v>279</v>
      </c>
      <c r="X95" s="1">
        <v>278</v>
      </c>
      <c r="Y95" s="1">
        <v>278</v>
      </c>
      <c r="Z95" s="1">
        <v>277</v>
      </c>
      <c r="AA95" s="1">
        <v>277</v>
      </c>
      <c r="AB95" s="1">
        <v>276</v>
      </c>
      <c r="AC95" s="1">
        <v>275</v>
      </c>
      <c r="AD95" s="1">
        <v>275</v>
      </c>
      <c r="AE95" s="1">
        <v>271</v>
      </c>
      <c r="AF95" s="1">
        <v>181</v>
      </c>
      <c r="AG95" s="1">
        <v>224</v>
      </c>
      <c r="AH95" s="1">
        <v>223</v>
      </c>
      <c r="AI95" s="1">
        <v>225</v>
      </c>
      <c r="AJ95" s="1">
        <v>229</v>
      </c>
      <c r="AK95" s="1">
        <v>231</v>
      </c>
      <c r="AL95" s="1">
        <v>233</v>
      </c>
      <c r="AM95" s="1">
        <v>236</v>
      </c>
      <c r="AN95" s="1">
        <v>239</v>
      </c>
      <c r="AO95" s="1">
        <v>241</v>
      </c>
      <c r="AP95" s="1">
        <v>241</v>
      </c>
      <c r="AQ95" s="1">
        <v>231</v>
      </c>
      <c r="AR95" s="1">
        <v>220</v>
      </c>
      <c r="AS95" s="1">
        <v>222</v>
      </c>
      <c r="AT95" s="1">
        <v>224</v>
      </c>
      <c r="AU95" s="1">
        <v>228</v>
      </c>
      <c r="AV95" s="1">
        <v>232</v>
      </c>
      <c r="AW95" s="1">
        <v>237</v>
      </c>
      <c r="AX95" s="1">
        <v>242</v>
      </c>
      <c r="AY95" s="1"/>
      <c r="BA95" s="21">
        <f t="shared" si="78"/>
        <v>2647</v>
      </c>
      <c r="BB95" s="22">
        <f t="shared" si="79"/>
        <v>220.58333333333334</v>
      </c>
      <c r="BD95" s="7">
        <f t="shared" si="80"/>
        <v>3185</v>
      </c>
      <c r="BE95" s="7">
        <f t="shared" si="81"/>
        <v>538</v>
      </c>
      <c r="BF95" s="8">
        <f t="shared" si="82"/>
        <v>0.20324896108802415</v>
      </c>
      <c r="BG95" s="7">
        <f t="shared" si="83"/>
        <v>265.41666666666669</v>
      </c>
      <c r="BI95" s="12">
        <f t="shared" si="84"/>
        <v>2920</v>
      </c>
      <c r="BJ95" s="12">
        <f t="shared" si="85"/>
        <v>-265</v>
      </c>
      <c r="BK95" s="13">
        <f t="shared" si="86"/>
        <v>-8.3202511773940335E-2</v>
      </c>
      <c r="BL95" s="24">
        <f t="shared" si="87"/>
        <v>250.25</v>
      </c>
      <c r="BM95" s="24">
        <f t="shared" si="88"/>
        <v>229.5</v>
      </c>
      <c r="BO95" s="17">
        <f t="shared" si="89"/>
        <v>2793</v>
      </c>
      <c r="BP95" s="17">
        <f t="shared" si="90"/>
        <v>-127</v>
      </c>
      <c r="BQ95" s="18">
        <f t="shared" si="91"/>
        <v>-4.3493150684931536E-2</v>
      </c>
      <c r="BR95" s="25">
        <f t="shared" si="92"/>
        <v>232.75</v>
      </c>
    </row>
    <row r="96" spans="1:70">
      <c r="A96" t="s">
        <v>572</v>
      </c>
      <c r="B96">
        <v>110352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1381</v>
      </c>
      <c r="M96" s="1">
        <v>3417</v>
      </c>
      <c r="N96" s="1">
        <v>6365</v>
      </c>
      <c r="O96" s="1">
        <v>8286</v>
      </c>
      <c r="P96" s="1">
        <v>8556</v>
      </c>
      <c r="Q96" s="1">
        <v>10473</v>
      </c>
      <c r="R96" s="1">
        <v>16393</v>
      </c>
      <c r="S96" s="1">
        <v>22450</v>
      </c>
      <c r="T96" s="1">
        <v>25172</v>
      </c>
      <c r="U96" s="1">
        <v>24703</v>
      </c>
      <c r="V96" s="1">
        <v>22952</v>
      </c>
      <c r="W96" s="1">
        <v>22919</v>
      </c>
      <c r="X96" s="1">
        <v>22885</v>
      </c>
      <c r="Y96" s="1">
        <v>22851</v>
      </c>
      <c r="Z96" s="1">
        <v>22817</v>
      </c>
      <c r="AA96" s="1">
        <v>22783</v>
      </c>
      <c r="AB96" s="1">
        <v>22749</v>
      </c>
      <c r="AC96" s="1">
        <v>14434</v>
      </c>
      <c r="AD96" s="1">
        <v>22705</v>
      </c>
      <c r="AE96" s="1">
        <v>22671</v>
      </c>
      <c r="AF96" s="1">
        <v>22637</v>
      </c>
      <c r="AG96" s="1">
        <v>22602</v>
      </c>
      <c r="AH96" s="1">
        <v>22567</v>
      </c>
      <c r="AI96" s="1">
        <v>24242</v>
      </c>
      <c r="AJ96" s="1">
        <v>24817</v>
      </c>
      <c r="AK96" s="1">
        <v>25198</v>
      </c>
      <c r="AL96" s="1">
        <v>25598</v>
      </c>
      <c r="AM96" s="1">
        <v>25975</v>
      </c>
      <c r="AN96" s="1">
        <v>26348</v>
      </c>
      <c r="AO96" s="1">
        <v>26652</v>
      </c>
      <c r="AP96" s="1">
        <v>26762</v>
      </c>
      <c r="AQ96" s="1">
        <v>26844</v>
      </c>
      <c r="AR96" s="1">
        <v>27048</v>
      </c>
      <c r="AS96" s="1">
        <v>27439</v>
      </c>
      <c r="AT96" s="1">
        <v>27891</v>
      </c>
      <c r="AU96" s="1">
        <v>28329</v>
      </c>
      <c r="AV96" s="1">
        <v>28771</v>
      </c>
      <c r="AW96" s="1">
        <v>29260</v>
      </c>
      <c r="AX96" s="1">
        <v>29832</v>
      </c>
      <c r="AY96" s="1"/>
      <c r="BA96" s="21">
        <f t="shared" si="78"/>
        <v>11163</v>
      </c>
      <c r="BB96" s="22">
        <f t="shared" si="79"/>
        <v>930.25</v>
      </c>
      <c r="BD96" s="7">
        <f t="shared" si="80"/>
        <v>230457</v>
      </c>
      <c r="BE96" s="7">
        <f t="shared" si="81"/>
        <v>219294</v>
      </c>
      <c r="BF96" s="8">
        <f t="shared" si="82"/>
        <v>19.64471916151572</v>
      </c>
      <c r="BG96" s="7">
        <f t="shared" si="83"/>
        <v>19204.75</v>
      </c>
      <c r="BI96" s="12">
        <f t="shared" si="84"/>
        <v>273003</v>
      </c>
      <c r="BJ96" s="12">
        <f t="shared" si="85"/>
        <v>42546</v>
      </c>
      <c r="BK96" s="13">
        <f t="shared" si="86"/>
        <v>0.1846157851573178</v>
      </c>
      <c r="BL96" s="24">
        <f t="shared" si="87"/>
        <v>21643.5</v>
      </c>
      <c r="BM96" s="24">
        <f t="shared" si="88"/>
        <v>24963.75</v>
      </c>
      <c r="BO96" s="17">
        <f t="shared" si="89"/>
        <v>331151</v>
      </c>
      <c r="BP96" s="17">
        <f t="shared" si="90"/>
        <v>58148</v>
      </c>
      <c r="BQ96" s="18">
        <f t="shared" si="91"/>
        <v>0.2129939964029699</v>
      </c>
      <c r="BR96" s="25">
        <f t="shared" si="92"/>
        <v>27595.916666666668</v>
      </c>
    </row>
    <row r="97" spans="1:70">
      <c r="A97" t="s">
        <v>573</v>
      </c>
      <c r="B97">
        <v>110354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491</v>
      </c>
      <c r="T97" s="1">
        <v>9731</v>
      </c>
      <c r="U97" s="1">
        <v>15552</v>
      </c>
      <c r="V97" s="1">
        <v>15432</v>
      </c>
      <c r="W97" s="1">
        <v>13769</v>
      </c>
      <c r="X97" s="1">
        <v>13819</v>
      </c>
      <c r="Y97" s="1">
        <v>13732</v>
      </c>
      <c r="Z97" s="1">
        <v>13547</v>
      </c>
      <c r="AA97" s="1">
        <v>13704</v>
      </c>
      <c r="AB97" s="1">
        <v>13688</v>
      </c>
      <c r="AC97" s="1">
        <v>13844</v>
      </c>
      <c r="AD97" s="1">
        <v>13656</v>
      </c>
      <c r="AE97" s="1">
        <v>13468</v>
      </c>
      <c r="AF97" s="1">
        <v>13795</v>
      </c>
      <c r="AG97" s="1">
        <v>13607</v>
      </c>
      <c r="AH97" s="1">
        <v>13285</v>
      </c>
      <c r="AI97" s="1">
        <v>14563</v>
      </c>
      <c r="AJ97" s="1">
        <v>14864</v>
      </c>
      <c r="AK97" s="1">
        <v>15060</v>
      </c>
      <c r="AL97" s="1">
        <v>15267</v>
      </c>
      <c r="AM97" s="1">
        <v>15463</v>
      </c>
      <c r="AN97" s="1">
        <v>15659</v>
      </c>
      <c r="AO97" s="1">
        <v>15818</v>
      </c>
      <c r="AP97" s="1">
        <v>15874</v>
      </c>
      <c r="AQ97" s="1">
        <v>15916</v>
      </c>
      <c r="AR97" s="1">
        <v>16024</v>
      </c>
      <c r="AS97" s="1">
        <v>16231</v>
      </c>
      <c r="AT97" s="1">
        <v>16472</v>
      </c>
      <c r="AU97" s="1">
        <v>16723</v>
      </c>
      <c r="AV97" s="1">
        <v>16980</v>
      </c>
      <c r="AW97" s="1">
        <v>17248</v>
      </c>
      <c r="AX97" s="1">
        <v>17561</v>
      </c>
      <c r="AY97" s="1"/>
      <c r="BA97" s="21">
        <f t="shared" si="78"/>
        <v>0</v>
      </c>
      <c r="BB97" s="22">
        <f t="shared" si="79"/>
        <v>0</v>
      </c>
      <c r="BD97" s="7">
        <f t="shared" si="80"/>
        <v>96073</v>
      </c>
      <c r="BE97" s="7">
        <f t="shared" si="81"/>
        <v>96073</v>
      </c>
      <c r="BF97" s="8" t="e">
        <f t="shared" si="82"/>
        <v>#DIV/0!</v>
      </c>
      <c r="BG97" s="7">
        <f t="shared" si="83"/>
        <v>8006.083333333333</v>
      </c>
      <c r="BI97" s="12">
        <f t="shared" si="84"/>
        <v>168801</v>
      </c>
      <c r="BJ97" s="12">
        <f t="shared" si="85"/>
        <v>72728</v>
      </c>
      <c r="BK97" s="13">
        <f t="shared" si="86"/>
        <v>0.75700769206749041</v>
      </c>
      <c r="BL97" s="24">
        <f t="shared" si="87"/>
        <v>13630.875</v>
      </c>
      <c r="BM97" s="24">
        <f t="shared" si="88"/>
        <v>14938.5</v>
      </c>
      <c r="BO97" s="17">
        <f t="shared" si="89"/>
        <v>195969</v>
      </c>
      <c r="BP97" s="17">
        <f t="shared" si="90"/>
        <v>27168</v>
      </c>
      <c r="BQ97" s="18">
        <f t="shared" si="91"/>
        <v>0.16094691382160065</v>
      </c>
      <c r="BR97" s="25">
        <f t="shared" si="92"/>
        <v>16330.75</v>
      </c>
    </row>
    <row r="98" spans="1:70">
      <c r="A98" t="s">
        <v>149</v>
      </c>
      <c r="B98">
        <v>110356</v>
      </c>
      <c r="C98" s="1">
        <v>1341</v>
      </c>
      <c r="D98" s="1">
        <v>1334</v>
      </c>
      <c r="E98" s="1">
        <v>1327</v>
      </c>
      <c r="F98" s="1">
        <v>2024</v>
      </c>
      <c r="G98" s="1">
        <v>2014</v>
      </c>
      <c r="H98" s="1">
        <v>2005</v>
      </c>
      <c r="I98" s="1">
        <v>1995</v>
      </c>
      <c r="J98" s="1">
        <v>1985</v>
      </c>
      <c r="K98" s="1">
        <v>1976</v>
      </c>
      <c r="L98" s="1">
        <v>1966</v>
      </c>
      <c r="M98" s="1">
        <v>1956</v>
      </c>
      <c r="N98" s="1">
        <v>1946</v>
      </c>
      <c r="O98" s="1">
        <v>1936</v>
      </c>
      <c r="P98" s="1">
        <v>1926</v>
      </c>
      <c r="Q98" s="1">
        <v>1916</v>
      </c>
      <c r="R98" s="1">
        <v>2487</v>
      </c>
      <c r="S98" s="1">
        <v>2475</v>
      </c>
      <c r="T98" s="1">
        <v>2463</v>
      </c>
      <c r="U98" s="1">
        <v>2451</v>
      </c>
      <c r="V98" s="1">
        <v>2439</v>
      </c>
      <c r="W98" s="1">
        <v>2427</v>
      </c>
      <c r="X98" s="1">
        <v>2415</v>
      </c>
      <c r="Y98" s="1">
        <v>2403</v>
      </c>
      <c r="Z98" s="1">
        <v>2390</v>
      </c>
      <c r="AA98" s="1">
        <v>2378</v>
      </c>
      <c r="AB98" s="1">
        <v>2365</v>
      </c>
      <c r="AC98" s="1">
        <v>2353</v>
      </c>
      <c r="AD98" s="1">
        <v>2106</v>
      </c>
      <c r="AE98" s="1">
        <v>2094</v>
      </c>
      <c r="AF98" s="1">
        <v>2082</v>
      </c>
      <c r="AG98" s="1">
        <v>2070</v>
      </c>
      <c r="AH98" s="1">
        <v>2058</v>
      </c>
      <c r="AI98" s="1">
        <v>2067</v>
      </c>
      <c r="AJ98" s="1">
        <v>2081</v>
      </c>
      <c r="AK98" s="1">
        <v>2100</v>
      </c>
      <c r="AL98" s="1">
        <v>2118</v>
      </c>
      <c r="AM98" s="1">
        <v>2135</v>
      </c>
      <c r="AN98" s="1">
        <v>2157</v>
      </c>
      <c r="AO98" s="1">
        <v>2161</v>
      </c>
      <c r="AP98" s="1">
        <v>2148</v>
      </c>
      <c r="AQ98" s="1">
        <v>2014</v>
      </c>
      <c r="AR98" s="1">
        <v>1899</v>
      </c>
      <c r="AS98" s="1">
        <v>1919</v>
      </c>
      <c r="AT98" s="1">
        <v>1946</v>
      </c>
      <c r="AU98" s="1">
        <v>1975</v>
      </c>
      <c r="AV98" s="1">
        <v>2005</v>
      </c>
      <c r="AW98" s="1">
        <v>2039</v>
      </c>
      <c r="AX98" s="1">
        <v>2082</v>
      </c>
      <c r="AY98" s="1"/>
      <c r="BA98" s="21">
        <f t="shared" si="78"/>
        <v>21869</v>
      </c>
      <c r="BB98" s="22">
        <f t="shared" si="79"/>
        <v>1822.4166666666667</v>
      </c>
      <c r="BD98" s="7">
        <f t="shared" si="80"/>
        <v>27728</v>
      </c>
      <c r="BE98" s="7">
        <f t="shared" si="81"/>
        <v>5859</v>
      </c>
      <c r="BF98" s="8">
        <f t="shared" si="82"/>
        <v>0.26791348484155653</v>
      </c>
      <c r="BG98" s="7">
        <f t="shared" si="83"/>
        <v>2310.6666666666665</v>
      </c>
      <c r="BI98" s="12">
        <f t="shared" si="84"/>
        <v>25872</v>
      </c>
      <c r="BJ98" s="12">
        <f t="shared" si="85"/>
        <v>-1856</v>
      </c>
      <c r="BK98" s="13">
        <f t="shared" si="86"/>
        <v>-6.6935949221003987E-2</v>
      </c>
      <c r="BL98" s="24">
        <f t="shared" si="87"/>
        <v>2188.25</v>
      </c>
      <c r="BM98" s="24">
        <f t="shared" si="88"/>
        <v>2091.5</v>
      </c>
      <c r="BO98" s="17">
        <f t="shared" si="89"/>
        <v>24480</v>
      </c>
      <c r="BP98" s="17">
        <f t="shared" si="90"/>
        <v>-1392</v>
      </c>
      <c r="BQ98" s="18">
        <f t="shared" si="91"/>
        <v>-5.3803339517625282E-2</v>
      </c>
      <c r="BR98" s="25">
        <f t="shared" si="92"/>
        <v>2040</v>
      </c>
    </row>
    <row r="99" spans="1:70">
      <c r="A99" t="s">
        <v>574</v>
      </c>
      <c r="B99">
        <v>110357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252</v>
      </c>
      <c r="L99" s="1">
        <v>9373</v>
      </c>
      <c r="M99" s="1">
        <v>24282</v>
      </c>
      <c r="N99" s="1">
        <v>39762</v>
      </c>
      <c r="O99" s="1">
        <v>58287</v>
      </c>
      <c r="P99" s="1">
        <v>70443</v>
      </c>
      <c r="Q99" s="1">
        <v>81208</v>
      </c>
      <c r="R99" s="1">
        <v>97826</v>
      </c>
      <c r="S99" s="1">
        <v>120785</v>
      </c>
      <c r="T99" s="1">
        <v>144189</v>
      </c>
      <c r="U99" s="1">
        <v>153369</v>
      </c>
      <c r="V99" s="1">
        <v>153596</v>
      </c>
      <c r="W99" s="1">
        <v>152904</v>
      </c>
      <c r="X99" s="1">
        <v>153076</v>
      </c>
      <c r="Y99" s="1">
        <v>152472</v>
      </c>
      <c r="Z99" s="1">
        <v>152322</v>
      </c>
      <c r="AA99" s="1">
        <v>152085</v>
      </c>
      <c r="AB99" s="1">
        <v>151376</v>
      </c>
      <c r="AC99" s="1">
        <v>149924</v>
      </c>
      <c r="AD99" s="1">
        <v>134215</v>
      </c>
      <c r="AE99" s="1">
        <v>147469</v>
      </c>
      <c r="AF99" s="1">
        <v>147465</v>
      </c>
      <c r="AG99" s="1">
        <v>146783</v>
      </c>
      <c r="AH99" s="1">
        <v>146864</v>
      </c>
      <c r="AI99" s="1">
        <v>153664</v>
      </c>
      <c r="AJ99" s="1">
        <v>151385</v>
      </c>
      <c r="AK99" s="1">
        <v>149127</v>
      </c>
      <c r="AL99" s="1">
        <v>146901</v>
      </c>
      <c r="AM99" s="1">
        <v>144707</v>
      </c>
      <c r="AN99" s="1">
        <v>142839</v>
      </c>
      <c r="AO99" s="1">
        <v>141288</v>
      </c>
      <c r="AP99" s="1">
        <v>139753</v>
      </c>
      <c r="AQ99" s="1">
        <v>138234</v>
      </c>
      <c r="AR99" s="1">
        <v>136730</v>
      </c>
      <c r="AS99" s="1">
        <v>135241</v>
      </c>
      <c r="AT99" s="1">
        <v>133768</v>
      </c>
      <c r="AU99" s="1">
        <v>132310</v>
      </c>
      <c r="AV99" s="1">
        <v>130866</v>
      </c>
      <c r="AW99" s="1">
        <v>129437</v>
      </c>
      <c r="AX99" s="1">
        <v>128022</v>
      </c>
      <c r="AY99" s="1"/>
      <c r="BA99" s="21">
        <f t="shared" si="78"/>
        <v>73669</v>
      </c>
      <c r="BB99" s="22">
        <f t="shared" si="79"/>
        <v>6139.083333333333</v>
      </c>
      <c r="BD99" s="7">
        <f t="shared" si="80"/>
        <v>1490477</v>
      </c>
      <c r="BE99" s="7">
        <f t="shared" si="81"/>
        <v>1416808</v>
      </c>
      <c r="BF99" s="8">
        <f t="shared" si="82"/>
        <v>19.232078621944101</v>
      </c>
      <c r="BG99" s="7">
        <f t="shared" si="83"/>
        <v>124206.41666666667</v>
      </c>
      <c r="BI99" s="12">
        <f t="shared" si="84"/>
        <v>1777258</v>
      </c>
      <c r="BJ99" s="12">
        <f t="shared" si="85"/>
        <v>286781</v>
      </c>
      <c r="BK99" s="13">
        <f t="shared" si="86"/>
        <v>0.19240887313256083</v>
      </c>
      <c r="BL99" s="24">
        <f t="shared" si="87"/>
        <v>147022.625</v>
      </c>
      <c r="BM99" s="24">
        <f t="shared" si="88"/>
        <v>150269.25</v>
      </c>
      <c r="BO99" s="17">
        <f t="shared" si="89"/>
        <v>1633195</v>
      </c>
      <c r="BP99" s="17">
        <f t="shared" si="90"/>
        <v>-144063</v>
      </c>
      <c r="BQ99" s="18">
        <f t="shared" si="91"/>
        <v>-8.1059137165228723E-2</v>
      </c>
      <c r="BR99" s="25">
        <f t="shared" si="92"/>
        <v>136099.58333333334</v>
      </c>
    </row>
    <row r="100" spans="1:70">
      <c r="A100" t="s">
        <v>575</v>
      </c>
      <c r="B100">
        <v>110358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150</v>
      </c>
      <c r="AJ100" s="1">
        <v>429</v>
      </c>
      <c r="AK100" s="1">
        <v>694</v>
      </c>
      <c r="AL100" s="1">
        <v>960</v>
      </c>
      <c r="AM100" s="1">
        <v>1223</v>
      </c>
      <c r="AN100" s="1">
        <v>1489</v>
      </c>
      <c r="AO100" s="1">
        <v>1735</v>
      </c>
      <c r="AP100" s="1">
        <v>1957</v>
      </c>
      <c r="AQ100" s="1">
        <v>2175</v>
      </c>
      <c r="AR100" s="1">
        <v>2406</v>
      </c>
      <c r="AS100" s="1">
        <v>2646</v>
      </c>
      <c r="AT100" s="1">
        <v>2899</v>
      </c>
      <c r="AU100" s="1">
        <v>3040</v>
      </c>
      <c r="AV100" s="1">
        <v>3084</v>
      </c>
      <c r="AW100" s="1">
        <v>3140</v>
      </c>
      <c r="AX100" s="1">
        <v>3212</v>
      </c>
      <c r="AY100" s="1"/>
      <c r="BA100" s="21">
        <f t="shared" si="78"/>
        <v>0</v>
      </c>
      <c r="BB100" s="22">
        <f t="shared" si="79"/>
        <v>0</v>
      </c>
      <c r="BD100" s="7">
        <f t="shared" si="80"/>
        <v>0</v>
      </c>
      <c r="BE100" s="7">
        <f t="shared" si="81"/>
        <v>0</v>
      </c>
      <c r="BF100" s="8" t="e">
        <f t="shared" si="82"/>
        <v>#DIV/0!</v>
      </c>
      <c r="BG100" s="7">
        <f t="shared" si="83"/>
        <v>0</v>
      </c>
      <c r="BI100" s="12">
        <f t="shared" si="84"/>
        <v>2233</v>
      </c>
      <c r="BJ100" s="12">
        <f t="shared" si="85"/>
        <v>2233</v>
      </c>
      <c r="BK100" s="13" t="e">
        <f t="shared" si="86"/>
        <v>#DIV/0!</v>
      </c>
      <c r="BL100" s="24">
        <f t="shared" si="87"/>
        <v>0</v>
      </c>
      <c r="BM100" s="24">
        <f t="shared" si="88"/>
        <v>558.25</v>
      </c>
      <c r="BO100" s="17">
        <f t="shared" si="89"/>
        <v>29006</v>
      </c>
      <c r="BP100" s="17">
        <f t="shared" si="90"/>
        <v>26773</v>
      </c>
      <c r="BQ100" s="18">
        <f t="shared" si="91"/>
        <v>11.989699955217196</v>
      </c>
      <c r="BR100" s="25">
        <f t="shared" si="92"/>
        <v>2417.1666666666665</v>
      </c>
    </row>
    <row r="101" spans="1:70">
      <c r="A101" t="s">
        <v>155</v>
      </c>
      <c r="B101">
        <v>110359</v>
      </c>
      <c r="C101" s="1">
        <v>842</v>
      </c>
      <c r="D101" s="1">
        <v>834</v>
      </c>
      <c r="E101" s="1">
        <v>825</v>
      </c>
      <c r="F101" s="1">
        <v>869</v>
      </c>
      <c r="G101" s="1">
        <v>913</v>
      </c>
      <c r="H101" s="1">
        <v>904</v>
      </c>
      <c r="I101" s="1">
        <v>895</v>
      </c>
      <c r="J101" s="1">
        <v>885</v>
      </c>
      <c r="K101" s="1">
        <v>873</v>
      </c>
      <c r="L101" s="1">
        <v>861</v>
      </c>
      <c r="M101" s="1">
        <v>-1301</v>
      </c>
      <c r="N101" s="1">
        <v>910</v>
      </c>
      <c r="O101" s="1">
        <v>3583</v>
      </c>
      <c r="P101" s="1">
        <v>998</v>
      </c>
      <c r="Q101" s="1">
        <v>993</v>
      </c>
      <c r="R101" s="1">
        <v>988</v>
      </c>
      <c r="S101" s="1">
        <v>1092</v>
      </c>
      <c r="T101" s="1">
        <v>862</v>
      </c>
      <c r="U101" s="1">
        <v>961</v>
      </c>
      <c r="V101" s="1">
        <v>1050</v>
      </c>
      <c r="W101" s="1">
        <v>837</v>
      </c>
      <c r="X101" s="1">
        <v>924</v>
      </c>
      <c r="Y101" s="1">
        <v>912</v>
      </c>
      <c r="Z101" s="1">
        <v>899</v>
      </c>
      <c r="AA101" s="1">
        <v>978</v>
      </c>
      <c r="AB101" s="1">
        <v>871</v>
      </c>
      <c r="AC101" s="1">
        <v>771</v>
      </c>
      <c r="AD101" s="1">
        <v>825</v>
      </c>
      <c r="AE101" s="1">
        <v>1400</v>
      </c>
      <c r="AF101" s="1">
        <v>803</v>
      </c>
      <c r="AG101" s="1">
        <v>794</v>
      </c>
      <c r="AH101" s="1">
        <v>781</v>
      </c>
      <c r="AI101" s="1">
        <v>686</v>
      </c>
      <c r="AJ101" s="1">
        <v>580</v>
      </c>
      <c r="AK101" s="1">
        <v>566</v>
      </c>
      <c r="AL101" s="1">
        <v>571</v>
      </c>
      <c r="AM101" s="1">
        <v>576</v>
      </c>
      <c r="AN101" s="1">
        <v>583</v>
      </c>
      <c r="AO101" s="1">
        <v>571</v>
      </c>
      <c r="AP101" s="1">
        <v>542</v>
      </c>
      <c r="AQ101" s="1">
        <v>527</v>
      </c>
      <c r="AR101" s="1">
        <v>532</v>
      </c>
      <c r="AS101" s="1">
        <v>539</v>
      </c>
      <c r="AT101" s="1">
        <v>548</v>
      </c>
      <c r="AU101" s="1">
        <v>554</v>
      </c>
      <c r="AV101" s="1">
        <v>561</v>
      </c>
      <c r="AW101" s="1">
        <v>573</v>
      </c>
      <c r="AX101" s="1">
        <v>587</v>
      </c>
      <c r="AY101" s="1"/>
      <c r="BA101" s="21">
        <f t="shared" si="78"/>
        <v>8310</v>
      </c>
      <c r="BB101" s="22">
        <f t="shared" si="79"/>
        <v>692.5</v>
      </c>
      <c r="BD101" s="7">
        <f t="shared" si="80"/>
        <v>14099</v>
      </c>
      <c r="BE101" s="7">
        <f t="shared" si="81"/>
        <v>5789</v>
      </c>
      <c r="BF101" s="8">
        <f t="shared" si="82"/>
        <v>0.69663056558363423</v>
      </c>
      <c r="BG101" s="7">
        <f t="shared" si="83"/>
        <v>1174.9166666666667</v>
      </c>
      <c r="BI101" s="12">
        <f t="shared" si="84"/>
        <v>9626</v>
      </c>
      <c r="BJ101" s="12">
        <f t="shared" si="85"/>
        <v>-4473</v>
      </c>
      <c r="BK101" s="13">
        <f t="shared" si="86"/>
        <v>-0.31725654301723527</v>
      </c>
      <c r="BL101" s="24">
        <f t="shared" si="87"/>
        <v>902.875</v>
      </c>
      <c r="BM101" s="24">
        <f t="shared" si="88"/>
        <v>600.75</v>
      </c>
      <c r="BO101" s="17">
        <f t="shared" si="89"/>
        <v>6693</v>
      </c>
      <c r="BP101" s="17">
        <f t="shared" si="90"/>
        <v>-2933</v>
      </c>
      <c r="BQ101" s="18">
        <f t="shared" si="91"/>
        <v>-0.30469561603989193</v>
      </c>
      <c r="BR101" s="25">
        <f t="shared" si="92"/>
        <v>557.75</v>
      </c>
    </row>
    <row r="102" spans="1:70">
      <c r="A102" t="s">
        <v>156</v>
      </c>
      <c r="B102">
        <v>110380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2460</v>
      </c>
      <c r="Q102" s="1">
        <v>2672</v>
      </c>
      <c r="R102" s="1">
        <v>2669</v>
      </c>
      <c r="S102" s="1">
        <v>2666</v>
      </c>
      <c r="T102" s="1">
        <v>2663</v>
      </c>
      <c r="U102" s="1">
        <v>2660</v>
      </c>
      <c r="V102" s="1">
        <v>2657</v>
      </c>
      <c r="W102" s="1">
        <v>2657</v>
      </c>
      <c r="X102" s="1">
        <v>2649</v>
      </c>
      <c r="Y102" s="1">
        <v>2649</v>
      </c>
      <c r="Z102" s="1">
        <v>2646</v>
      </c>
      <c r="AA102" s="1">
        <v>2643</v>
      </c>
      <c r="AB102" s="1">
        <v>2628</v>
      </c>
      <c r="AC102" s="1">
        <v>2625</v>
      </c>
      <c r="AD102" s="1">
        <v>2622</v>
      </c>
      <c r="AE102" s="1">
        <v>2619</v>
      </c>
      <c r="AF102" s="1">
        <v>2616</v>
      </c>
      <c r="AG102" s="1">
        <v>2613</v>
      </c>
      <c r="AH102" s="1">
        <v>2610</v>
      </c>
      <c r="AI102" s="1">
        <v>2602</v>
      </c>
      <c r="AJ102" s="1">
        <v>2563</v>
      </c>
      <c r="AK102" s="1">
        <v>2525</v>
      </c>
      <c r="AL102" s="1">
        <v>2488</v>
      </c>
      <c r="AM102" s="1">
        <v>2451</v>
      </c>
      <c r="AN102" s="1">
        <v>2419</v>
      </c>
      <c r="AO102" s="1">
        <v>2393</v>
      </c>
      <c r="AP102" s="1">
        <v>2367</v>
      </c>
      <c r="AQ102" s="1">
        <v>2341</v>
      </c>
      <c r="AR102" s="1">
        <v>2316</v>
      </c>
      <c r="AS102" s="1">
        <v>2291</v>
      </c>
      <c r="AT102" s="1">
        <v>2266</v>
      </c>
      <c r="AU102" s="1">
        <v>2242</v>
      </c>
      <c r="AV102" s="1">
        <v>2217</v>
      </c>
      <c r="AW102" s="1">
        <v>2193</v>
      </c>
      <c r="AX102" s="1">
        <v>2169</v>
      </c>
      <c r="AY102" s="1"/>
      <c r="BA102" s="21">
        <f t="shared" si="78"/>
        <v>0</v>
      </c>
      <c r="BB102" s="22">
        <f t="shared" si="79"/>
        <v>0</v>
      </c>
      <c r="BD102" s="7">
        <f t="shared" si="80"/>
        <v>29048</v>
      </c>
      <c r="BE102" s="7">
        <f t="shared" si="81"/>
        <v>29048</v>
      </c>
      <c r="BF102" s="8" t="e">
        <f t="shared" si="82"/>
        <v>#DIV/0!</v>
      </c>
      <c r="BG102" s="7">
        <f t="shared" si="83"/>
        <v>2420.6666666666665</v>
      </c>
      <c r="BI102" s="12">
        <f t="shared" si="84"/>
        <v>31154</v>
      </c>
      <c r="BJ102" s="12">
        <f t="shared" si="85"/>
        <v>2106</v>
      </c>
      <c r="BK102" s="13">
        <f t="shared" si="86"/>
        <v>7.2500688515560352E-2</v>
      </c>
      <c r="BL102" s="24">
        <f t="shared" si="87"/>
        <v>2622</v>
      </c>
      <c r="BM102" s="24">
        <f t="shared" si="88"/>
        <v>2544.5</v>
      </c>
      <c r="BO102" s="17">
        <f t="shared" si="89"/>
        <v>27665</v>
      </c>
      <c r="BP102" s="17">
        <f t="shared" si="90"/>
        <v>-3489</v>
      </c>
      <c r="BQ102" s="18">
        <f t="shared" si="91"/>
        <v>-0.11199203954548376</v>
      </c>
      <c r="BR102" s="25">
        <f t="shared" si="92"/>
        <v>2305.4166666666665</v>
      </c>
    </row>
    <row r="103" spans="1:70">
      <c r="A103" t="s">
        <v>576</v>
      </c>
      <c r="B103">
        <v>110381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-1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/>
      <c r="BA103" s="21">
        <f t="shared" si="78"/>
        <v>0</v>
      </c>
      <c r="BB103" s="22">
        <f t="shared" si="79"/>
        <v>0</v>
      </c>
      <c r="BD103" s="7">
        <f t="shared" si="80"/>
        <v>-1</v>
      </c>
      <c r="BE103" s="7">
        <f t="shared" si="81"/>
        <v>-1</v>
      </c>
      <c r="BF103" s="8" t="e">
        <f t="shared" si="82"/>
        <v>#DIV/0!</v>
      </c>
      <c r="BG103" s="7">
        <f t="shared" si="83"/>
        <v>-8.3333333333333329E-2</v>
      </c>
      <c r="BI103" s="12">
        <f t="shared" si="84"/>
        <v>0</v>
      </c>
      <c r="BJ103" s="12">
        <f t="shared" si="85"/>
        <v>1</v>
      </c>
      <c r="BK103" s="13">
        <f t="shared" si="86"/>
        <v>-1</v>
      </c>
      <c r="BL103" s="24">
        <f t="shared" si="87"/>
        <v>0</v>
      </c>
      <c r="BM103" s="24">
        <f t="shared" si="88"/>
        <v>0</v>
      </c>
      <c r="BO103" s="17">
        <f t="shared" si="89"/>
        <v>0</v>
      </c>
      <c r="BP103" s="17">
        <f t="shared" si="90"/>
        <v>0</v>
      </c>
      <c r="BQ103" s="18" t="e">
        <f t="shared" si="91"/>
        <v>#DIV/0!</v>
      </c>
      <c r="BR103" s="25">
        <f t="shared" si="92"/>
        <v>0</v>
      </c>
    </row>
    <row r="104" spans="1:70">
      <c r="A104" t="s">
        <v>11</v>
      </c>
      <c r="B104" t="s">
        <v>12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70">
      <c r="A105" t="s">
        <v>577</v>
      </c>
      <c r="C105" s="1">
        <v>9449</v>
      </c>
      <c r="D105" s="1">
        <v>9595</v>
      </c>
      <c r="E105" s="1">
        <v>10034</v>
      </c>
      <c r="F105" s="1">
        <v>10612</v>
      </c>
      <c r="G105" s="1">
        <v>10962</v>
      </c>
      <c r="H105" s="1">
        <v>11479</v>
      </c>
      <c r="I105" s="1">
        <v>11619</v>
      </c>
      <c r="J105" s="1">
        <v>11572</v>
      </c>
      <c r="K105" s="1">
        <v>14323</v>
      </c>
      <c r="L105" s="1">
        <v>27106</v>
      </c>
      <c r="M105" s="1">
        <v>50109</v>
      </c>
      <c r="N105" s="1">
        <v>75123</v>
      </c>
      <c r="O105" s="1">
        <v>97422</v>
      </c>
      <c r="P105" s="1">
        <v>109479</v>
      </c>
      <c r="Q105" s="1">
        <v>124770</v>
      </c>
      <c r="R105" s="1">
        <v>147475</v>
      </c>
      <c r="S105" s="1">
        <v>184246</v>
      </c>
      <c r="T105" s="1">
        <v>232639</v>
      </c>
      <c r="U105" s="1">
        <v>257531</v>
      </c>
      <c r="V105" s="1">
        <v>257236</v>
      </c>
      <c r="W105" s="1">
        <v>258715</v>
      </c>
      <c r="X105" s="1">
        <v>258846</v>
      </c>
      <c r="Y105" s="1">
        <v>257964</v>
      </c>
      <c r="Z105" s="1">
        <v>258770</v>
      </c>
      <c r="AA105" s="1">
        <v>255610</v>
      </c>
      <c r="AB105" s="1">
        <v>255756</v>
      </c>
      <c r="AC105" s="1">
        <v>245515</v>
      </c>
      <c r="AD105" s="1">
        <v>241092</v>
      </c>
      <c r="AE105" s="1">
        <v>257955</v>
      </c>
      <c r="AF105" s="1">
        <v>258168</v>
      </c>
      <c r="AG105" s="1">
        <v>257094</v>
      </c>
      <c r="AH105" s="1">
        <v>248935</v>
      </c>
      <c r="AI105" s="1">
        <v>264623</v>
      </c>
      <c r="AJ105" s="1">
        <v>263719</v>
      </c>
      <c r="AK105" s="1">
        <v>262031</v>
      </c>
      <c r="AL105" s="1">
        <v>260445</v>
      </c>
      <c r="AM105" s="1">
        <v>259052</v>
      </c>
      <c r="AN105" s="1">
        <v>257666</v>
      </c>
      <c r="AO105" s="1">
        <v>256335</v>
      </c>
      <c r="AP105" s="1">
        <v>254738</v>
      </c>
      <c r="AQ105" s="1">
        <v>252876</v>
      </c>
      <c r="AR105" s="1">
        <v>251266</v>
      </c>
      <c r="AS105" s="1">
        <v>250511</v>
      </c>
      <c r="AT105" s="1">
        <v>250075</v>
      </c>
      <c r="AU105" s="1">
        <v>249653</v>
      </c>
      <c r="AV105" s="1">
        <v>249142</v>
      </c>
      <c r="AW105" s="1">
        <v>248770</v>
      </c>
      <c r="AX105" s="1">
        <v>248693</v>
      </c>
      <c r="AY105" s="1"/>
      <c r="BA105" s="21">
        <f>SUM(C105:N105)</f>
        <v>251983</v>
      </c>
      <c r="BB105" s="22">
        <f>+BA105/12</f>
        <v>20998.583333333332</v>
      </c>
      <c r="BD105" s="7">
        <f>SUM(O105:Z105)</f>
        <v>2445093</v>
      </c>
      <c r="BE105" s="7">
        <f>+BD105-BA105</f>
        <v>2193110</v>
      </c>
      <c r="BF105" s="8">
        <f>(BD105/BA105)-1</f>
        <v>8.7034045947544083</v>
      </c>
      <c r="BG105" s="7">
        <f>BD105/12</f>
        <v>203757.75</v>
      </c>
      <c r="BI105" s="12">
        <f>+SUM(AA105:AL105)</f>
        <v>3070943</v>
      </c>
      <c r="BJ105" s="12">
        <f>+BI105-BD105</f>
        <v>625850</v>
      </c>
      <c r="BK105" s="13">
        <f>(BI105/BD105)-1</f>
        <v>0.25596163417914974</v>
      </c>
      <c r="BL105" s="24">
        <f>SUM(AA105:AH105)/8</f>
        <v>252515.625</v>
      </c>
      <c r="BM105" s="24">
        <f>SUM(AI105:AL105)/4</f>
        <v>262704.5</v>
      </c>
      <c r="BO105" s="17">
        <f>+SUM(AM105:AX105)</f>
        <v>3028777</v>
      </c>
      <c r="BP105" s="17">
        <f>+BO105-BI105</f>
        <v>-42166</v>
      </c>
      <c r="BQ105" s="18">
        <f>(BO105/BI105)-1</f>
        <v>-1.3730635834009242E-2</v>
      </c>
      <c r="BR105" s="25">
        <f>BO105/12</f>
        <v>252398.08333333334</v>
      </c>
    </row>
    <row r="106" spans="1:70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70">
      <c r="A107" t="s">
        <v>159</v>
      </c>
      <c r="B107">
        <v>110360</v>
      </c>
      <c r="C107" s="1">
        <v>2828</v>
      </c>
      <c r="D107" s="1">
        <v>3173</v>
      </c>
      <c r="E107" s="1">
        <v>3942</v>
      </c>
      <c r="F107" s="1">
        <v>3785</v>
      </c>
      <c r="G107" s="1">
        <v>4217</v>
      </c>
      <c r="H107" s="1">
        <v>5309</v>
      </c>
      <c r="I107" s="1">
        <v>5043</v>
      </c>
      <c r="J107" s="1">
        <v>4896</v>
      </c>
      <c r="K107" s="1">
        <v>5542</v>
      </c>
      <c r="L107" s="1">
        <v>9124</v>
      </c>
      <c r="M107" s="1">
        <v>5220</v>
      </c>
      <c r="N107" s="1">
        <v>10474</v>
      </c>
      <c r="O107" s="1">
        <v>9588</v>
      </c>
      <c r="P107" s="1">
        <v>10188</v>
      </c>
      <c r="Q107" s="1">
        <v>10673</v>
      </c>
      <c r="R107" s="1">
        <v>10637</v>
      </c>
      <c r="S107" s="1">
        <v>14313</v>
      </c>
      <c r="T107" s="1">
        <v>12364</v>
      </c>
      <c r="U107" s="1">
        <v>8284</v>
      </c>
      <c r="V107" s="1">
        <v>13825</v>
      </c>
      <c r="W107" s="1">
        <v>13893</v>
      </c>
      <c r="X107" s="1">
        <v>15943</v>
      </c>
      <c r="Y107" s="1">
        <v>17601</v>
      </c>
      <c r="Z107" s="1">
        <v>3528</v>
      </c>
      <c r="AA107" s="1">
        <v>17814</v>
      </c>
      <c r="AB107" s="1">
        <v>17494</v>
      </c>
      <c r="AC107" s="1">
        <v>18407</v>
      </c>
      <c r="AD107" s="1">
        <v>20132</v>
      </c>
      <c r="AE107" s="1">
        <v>-40265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/>
      <c r="BA107" s="21">
        <f>SUM(C107:N107)</f>
        <v>63553</v>
      </c>
      <c r="BB107" s="22">
        <f>+BA107/12</f>
        <v>5296.083333333333</v>
      </c>
      <c r="BD107" s="7">
        <f>SUM(O107:Z107)</f>
        <v>140837</v>
      </c>
      <c r="BE107" s="7">
        <f>+BD107-BA107</f>
        <v>77284</v>
      </c>
      <c r="BF107" s="8">
        <f>(BD107/BA107)-1</f>
        <v>1.2160558903592276</v>
      </c>
      <c r="BG107" s="7">
        <f>BD107/12</f>
        <v>11736.416666666666</v>
      </c>
      <c r="BI107" s="12">
        <f>+SUM(AA107:AL107)</f>
        <v>33582</v>
      </c>
      <c r="BJ107" s="12">
        <f>+BI107-BD107</f>
        <v>-107255</v>
      </c>
      <c r="BK107" s="13">
        <f>(BI107/BD107)-1</f>
        <v>-0.7615541370520531</v>
      </c>
      <c r="BL107" s="24">
        <f>SUM(AA107:AH107)/8</f>
        <v>4197.75</v>
      </c>
      <c r="BM107" s="24">
        <f>SUM(AI107:AL107)/4</f>
        <v>0</v>
      </c>
      <c r="BO107" s="17">
        <f>+SUM(AM107:AX107)</f>
        <v>0</v>
      </c>
      <c r="BP107" s="17">
        <f>+BO107-BI107</f>
        <v>-33582</v>
      </c>
      <c r="BQ107" s="18">
        <f>(BO107/BI107)-1</f>
        <v>-1</v>
      </c>
      <c r="BR107" s="25">
        <f>BO107/12</f>
        <v>0</v>
      </c>
    </row>
    <row r="108" spans="1:70">
      <c r="A108" t="s">
        <v>11</v>
      </c>
      <c r="B108" t="s">
        <v>12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70">
      <c r="A109" t="s">
        <v>578</v>
      </c>
      <c r="C109" s="1">
        <v>2828</v>
      </c>
      <c r="D109" s="1">
        <v>3173</v>
      </c>
      <c r="E109" s="1">
        <v>3942</v>
      </c>
      <c r="F109" s="1">
        <v>3785</v>
      </c>
      <c r="G109" s="1">
        <v>4217</v>
      </c>
      <c r="H109" s="1">
        <v>5309</v>
      </c>
      <c r="I109" s="1">
        <v>5043</v>
      </c>
      <c r="J109" s="1">
        <v>4896</v>
      </c>
      <c r="K109" s="1">
        <v>5542</v>
      </c>
      <c r="L109" s="1">
        <v>9124</v>
      </c>
      <c r="M109" s="1">
        <v>5220</v>
      </c>
      <c r="N109" s="1">
        <v>10474</v>
      </c>
      <c r="O109" s="1">
        <v>9588</v>
      </c>
      <c r="P109" s="1">
        <v>10188</v>
      </c>
      <c r="Q109" s="1">
        <v>10673</v>
      </c>
      <c r="R109" s="1">
        <v>10637</v>
      </c>
      <c r="S109" s="1">
        <v>14313</v>
      </c>
      <c r="T109" s="1">
        <v>12364</v>
      </c>
      <c r="U109" s="1">
        <v>8284</v>
      </c>
      <c r="V109" s="1">
        <v>13825</v>
      </c>
      <c r="W109" s="1">
        <v>13893</v>
      </c>
      <c r="X109" s="1">
        <v>15943</v>
      </c>
      <c r="Y109" s="1">
        <v>17601</v>
      </c>
      <c r="Z109" s="1">
        <v>3528</v>
      </c>
      <c r="AA109" s="1">
        <v>17814</v>
      </c>
      <c r="AB109" s="1">
        <v>17494</v>
      </c>
      <c r="AC109" s="1">
        <v>18407</v>
      </c>
      <c r="AD109" s="1">
        <v>20132</v>
      </c>
      <c r="AE109" s="1">
        <v>-40265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/>
      <c r="BA109" s="21">
        <f>SUM(C109:N109)</f>
        <v>63553</v>
      </c>
      <c r="BB109" s="22">
        <f>+BA109/12</f>
        <v>5296.083333333333</v>
      </c>
      <c r="BD109" s="7">
        <f>SUM(O109:Z109)</f>
        <v>140837</v>
      </c>
      <c r="BE109" s="7">
        <f>+BD109-BA109</f>
        <v>77284</v>
      </c>
      <c r="BF109" s="8">
        <f>(BD109/BA109)-1</f>
        <v>1.2160558903592276</v>
      </c>
      <c r="BG109" s="7">
        <f>BD109/12</f>
        <v>11736.416666666666</v>
      </c>
      <c r="BI109" s="12">
        <f>+SUM(AA109:AL109)</f>
        <v>33582</v>
      </c>
      <c r="BJ109" s="12">
        <f>+BI109-BD109</f>
        <v>-107255</v>
      </c>
      <c r="BK109" s="13">
        <f>(BI109/BD109)-1</f>
        <v>-0.7615541370520531</v>
      </c>
      <c r="BL109" s="24">
        <f>SUM(AA109:AH109)/8</f>
        <v>4197.75</v>
      </c>
      <c r="BM109" s="24">
        <f>SUM(AI109:AL109)/4</f>
        <v>0</v>
      </c>
      <c r="BO109" s="17">
        <f>+SUM(AM109:AX109)</f>
        <v>0</v>
      </c>
      <c r="BP109" s="17">
        <f>+BO109-BI109</f>
        <v>-33582</v>
      </c>
      <c r="BQ109" s="18">
        <f>(BO109/BI109)-1</f>
        <v>-1</v>
      </c>
      <c r="BR109" s="25">
        <f>BO109/12</f>
        <v>0</v>
      </c>
    </row>
    <row r="110" spans="1:70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70">
      <c r="A111" t="s">
        <v>579</v>
      </c>
      <c r="C111" s="1">
        <v>511042</v>
      </c>
      <c r="D111" s="1">
        <v>514914</v>
      </c>
      <c r="E111" s="1">
        <v>534065</v>
      </c>
      <c r="F111" s="1">
        <v>522939</v>
      </c>
      <c r="G111" s="1">
        <v>502667</v>
      </c>
      <c r="H111" s="1">
        <v>535177</v>
      </c>
      <c r="I111" s="1">
        <v>532878</v>
      </c>
      <c r="J111" s="1">
        <v>541024</v>
      </c>
      <c r="K111" s="1">
        <v>545884</v>
      </c>
      <c r="L111" s="1">
        <v>546217</v>
      </c>
      <c r="M111" s="1">
        <v>572164</v>
      </c>
      <c r="N111" s="1">
        <v>608810</v>
      </c>
      <c r="O111" s="1">
        <v>619671</v>
      </c>
      <c r="P111" s="1">
        <v>632745</v>
      </c>
      <c r="Q111" s="1">
        <v>645498</v>
      </c>
      <c r="R111" s="1">
        <v>663382</v>
      </c>
      <c r="S111" s="1">
        <v>711461</v>
      </c>
      <c r="T111" s="1">
        <v>734989</v>
      </c>
      <c r="U111" s="1">
        <v>781823</v>
      </c>
      <c r="V111" s="1">
        <v>774752</v>
      </c>
      <c r="W111" s="1">
        <v>779933</v>
      </c>
      <c r="X111" s="1">
        <v>773165</v>
      </c>
      <c r="Y111" s="1">
        <v>781241</v>
      </c>
      <c r="Z111" s="1">
        <v>779172</v>
      </c>
      <c r="AA111" s="1">
        <v>773226</v>
      </c>
      <c r="AB111" s="1">
        <v>774667</v>
      </c>
      <c r="AC111" s="1">
        <v>765197</v>
      </c>
      <c r="AD111" s="1">
        <v>763201</v>
      </c>
      <c r="AE111" s="1">
        <v>776338</v>
      </c>
      <c r="AF111" s="1">
        <v>765595</v>
      </c>
      <c r="AG111" s="1">
        <v>769960</v>
      </c>
      <c r="AH111" s="1">
        <v>767567</v>
      </c>
      <c r="AI111" s="1">
        <v>801485</v>
      </c>
      <c r="AJ111" s="1">
        <v>823153</v>
      </c>
      <c r="AK111" s="1">
        <v>839716</v>
      </c>
      <c r="AL111" s="1">
        <v>860456</v>
      </c>
      <c r="AM111" s="1">
        <v>880483</v>
      </c>
      <c r="AN111" s="1">
        <v>905031</v>
      </c>
      <c r="AO111" s="1">
        <v>922613</v>
      </c>
      <c r="AP111" s="1">
        <v>922718</v>
      </c>
      <c r="AQ111" s="1">
        <v>921745</v>
      </c>
      <c r="AR111" s="1">
        <v>927043</v>
      </c>
      <c r="AS111" s="1">
        <v>944414</v>
      </c>
      <c r="AT111" s="1">
        <v>970261</v>
      </c>
      <c r="AU111" s="1">
        <v>997845</v>
      </c>
      <c r="AV111" s="1">
        <v>1025827</v>
      </c>
      <c r="AW111" s="1">
        <v>1056122</v>
      </c>
      <c r="AX111" s="1">
        <v>1093981</v>
      </c>
      <c r="AY111" s="1"/>
      <c r="BA111" s="21">
        <f>SUM(C111:N111)</f>
        <v>6467781</v>
      </c>
      <c r="BB111" s="22">
        <f>+BA111/12</f>
        <v>538981.75</v>
      </c>
      <c r="BD111" s="7">
        <f>SUM(O111:Z111)</f>
        <v>8677832</v>
      </c>
      <c r="BE111" s="7">
        <f>+BD111-BA111</f>
        <v>2210051</v>
      </c>
      <c r="BF111" s="8">
        <f>(BD111/BA111)-1</f>
        <v>0.34170158204181611</v>
      </c>
      <c r="BG111" s="7">
        <f>BD111/12</f>
        <v>723152.66666666663</v>
      </c>
      <c r="BI111" s="12">
        <f>+SUM(AA111:AL111)</f>
        <v>9480561</v>
      </c>
      <c r="BJ111" s="12">
        <f>+BI111-BD111</f>
        <v>802729</v>
      </c>
      <c r="BK111" s="13">
        <f>(BI111/BD111)-1</f>
        <v>9.2503404076041074E-2</v>
      </c>
      <c r="BL111" s="24">
        <f>SUM(AA111:AH111)/8</f>
        <v>769468.875</v>
      </c>
      <c r="BM111" s="24">
        <f>SUM(AI111:AL111)/4</f>
        <v>831202.5</v>
      </c>
      <c r="BO111" s="17">
        <f>+SUM(AM111:AX111)</f>
        <v>11568083</v>
      </c>
      <c r="BP111" s="17">
        <f>+BO111-BI111</f>
        <v>2087522</v>
      </c>
      <c r="BQ111" s="18">
        <f>(BO111/BI111)-1</f>
        <v>0.22018971240204044</v>
      </c>
      <c r="BR111" s="25">
        <f>BO111/12</f>
        <v>964006.91666666663</v>
      </c>
    </row>
    <row r="112" spans="1:70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70">
      <c r="A113" t="s">
        <v>163</v>
      </c>
      <c r="B113">
        <v>110361</v>
      </c>
      <c r="C113" s="1">
        <v>15173</v>
      </c>
      <c r="D113" s="1">
        <v>15129</v>
      </c>
      <c r="E113" s="1">
        <v>15099</v>
      </c>
      <c r="F113" s="1">
        <v>15063</v>
      </c>
      <c r="G113" s="1">
        <v>13098</v>
      </c>
      <c r="H113" s="1">
        <v>14855</v>
      </c>
      <c r="I113" s="1">
        <v>13665</v>
      </c>
      <c r="J113" s="1">
        <v>13630</v>
      </c>
      <c r="K113" s="1">
        <v>10871</v>
      </c>
      <c r="L113" s="1">
        <v>12857</v>
      </c>
      <c r="M113" s="1">
        <v>12005</v>
      </c>
      <c r="N113" s="1">
        <v>12562</v>
      </c>
      <c r="O113" s="1">
        <v>12535</v>
      </c>
      <c r="P113" s="1">
        <v>12509</v>
      </c>
      <c r="Q113" s="1">
        <v>12482</v>
      </c>
      <c r="R113" s="1">
        <v>12455</v>
      </c>
      <c r="S113" s="1">
        <v>12428</v>
      </c>
      <c r="T113" s="1">
        <v>12398</v>
      </c>
      <c r="U113" s="1">
        <v>12369</v>
      </c>
      <c r="V113" s="1">
        <v>12342</v>
      </c>
      <c r="W113" s="1">
        <v>12249</v>
      </c>
      <c r="X113" s="1">
        <v>12217</v>
      </c>
      <c r="Y113" s="1">
        <v>12184</v>
      </c>
      <c r="Z113" s="1">
        <v>12333</v>
      </c>
      <c r="AA113" s="1">
        <v>12289</v>
      </c>
      <c r="AB113" s="1">
        <v>15816</v>
      </c>
      <c r="AC113" s="1">
        <v>8285</v>
      </c>
      <c r="AD113" s="1">
        <v>8656</v>
      </c>
      <c r="AE113" s="1">
        <v>8630</v>
      </c>
      <c r="AF113" s="1">
        <v>8612</v>
      </c>
      <c r="AG113" s="1">
        <v>8581</v>
      </c>
      <c r="AH113" s="1">
        <v>8557</v>
      </c>
      <c r="AI113" s="1">
        <v>8394</v>
      </c>
      <c r="AJ113" s="1">
        <v>7637</v>
      </c>
      <c r="AK113" s="1">
        <v>6927</v>
      </c>
      <c r="AL113" s="1">
        <v>6650</v>
      </c>
      <c r="AM113" s="1">
        <v>6385</v>
      </c>
      <c r="AN113" s="1">
        <v>6131</v>
      </c>
      <c r="AO113" s="1">
        <v>5889</v>
      </c>
      <c r="AP113" s="1">
        <v>5656</v>
      </c>
      <c r="AQ113" s="1">
        <v>5434</v>
      </c>
      <c r="AR113" s="1">
        <v>5221</v>
      </c>
      <c r="AS113" s="1">
        <v>5017</v>
      </c>
      <c r="AT113" s="1">
        <v>4822</v>
      </c>
      <c r="AU113" s="1">
        <v>4634</v>
      </c>
      <c r="AV113" s="1">
        <v>4343</v>
      </c>
      <c r="AW113" s="1">
        <v>4067</v>
      </c>
      <c r="AX113" s="1">
        <v>3918</v>
      </c>
      <c r="AY113" s="1"/>
      <c r="BA113" s="21">
        <f>SUM(C113:N113)</f>
        <v>164007</v>
      </c>
      <c r="BB113" s="22">
        <f>+BA113/12</f>
        <v>13667.25</v>
      </c>
      <c r="BD113" s="7">
        <f>SUM(O113:Z113)</f>
        <v>148501</v>
      </c>
      <c r="BE113" s="7">
        <f>+BD113-BA113</f>
        <v>-15506</v>
      </c>
      <c r="BF113" s="8">
        <f>(BD113/BA113)-1</f>
        <v>-9.4544745041370226E-2</v>
      </c>
      <c r="BG113" s="7">
        <f>BD113/12</f>
        <v>12375.083333333334</v>
      </c>
      <c r="BI113" s="12">
        <f>+SUM(AA113:AL113)</f>
        <v>109034</v>
      </c>
      <c r="BJ113" s="12">
        <f>+BI113-BD113</f>
        <v>-39467</v>
      </c>
      <c r="BK113" s="13">
        <f>(BI113/BD113)-1</f>
        <v>-0.26576925407909713</v>
      </c>
      <c r="BL113" s="24">
        <f>SUM(AA113:AH113)/8</f>
        <v>9928.25</v>
      </c>
      <c r="BM113" s="24">
        <f>SUM(AI113:AL113)/4</f>
        <v>7402</v>
      </c>
      <c r="BO113" s="17">
        <f>+SUM(AM113:AX113)</f>
        <v>61517</v>
      </c>
      <c r="BP113" s="17">
        <f>+BO113-BI113</f>
        <v>-47517</v>
      </c>
      <c r="BQ113" s="18">
        <f>(BO113/BI113)-1</f>
        <v>-0.43579984225104096</v>
      </c>
      <c r="BR113" s="25">
        <f>BO113/12</f>
        <v>5126.416666666667</v>
      </c>
    </row>
    <row r="114" spans="1:70">
      <c r="A114" t="s">
        <v>11</v>
      </c>
      <c r="B114" t="s">
        <v>12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BA114" s="21"/>
      <c r="BB114" s="22"/>
      <c r="BD114" s="7"/>
      <c r="BE114" s="7"/>
      <c r="BF114" s="8"/>
      <c r="BG114" s="7"/>
      <c r="BI114" s="12"/>
      <c r="BJ114" s="12"/>
      <c r="BK114" s="13"/>
      <c r="BL114" s="24"/>
      <c r="BM114" s="24"/>
      <c r="BO114" s="17"/>
      <c r="BP114" s="17"/>
      <c r="BQ114" s="18"/>
      <c r="BR114" s="25"/>
    </row>
    <row r="115" spans="1:70">
      <c r="A115" t="s">
        <v>580</v>
      </c>
      <c r="C115" s="1">
        <v>15173</v>
      </c>
      <c r="D115" s="1">
        <v>15129</v>
      </c>
      <c r="E115" s="1">
        <v>15099</v>
      </c>
      <c r="F115" s="1">
        <v>15063</v>
      </c>
      <c r="G115" s="1">
        <v>13098</v>
      </c>
      <c r="H115" s="1">
        <v>14855</v>
      </c>
      <c r="I115" s="1">
        <v>13665</v>
      </c>
      <c r="J115" s="1">
        <v>13630</v>
      </c>
      <c r="K115" s="1">
        <v>10871</v>
      </c>
      <c r="L115" s="1">
        <v>12857</v>
      </c>
      <c r="M115" s="1">
        <v>12005</v>
      </c>
      <c r="N115" s="1">
        <v>12562</v>
      </c>
      <c r="O115" s="1">
        <v>12535</v>
      </c>
      <c r="P115" s="1">
        <v>12509</v>
      </c>
      <c r="Q115" s="1">
        <v>12482</v>
      </c>
      <c r="R115" s="1">
        <v>12455</v>
      </c>
      <c r="S115" s="1">
        <v>12428</v>
      </c>
      <c r="T115" s="1">
        <v>12398</v>
      </c>
      <c r="U115" s="1">
        <v>12369</v>
      </c>
      <c r="V115" s="1">
        <v>12342</v>
      </c>
      <c r="W115" s="1">
        <v>12249</v>
      </c>
      <c r="X115" s="1">
        <v>12217</v>
      </c>
      <c r="Y115" s="1">
        <v>12184</v>
      </c>
      <c r="Z115" s="1">
        <v>12333</v>
      </c>
      <c r="AA115" s="1">
        <v>12289</v>
      </c>
      <c r="AB115" s="1">
        <v>15816</v>
      </c>
      <c r="AC115" s="1">
        <v>8285</v>
      </c>
      <c r="AD115" s="1">
        <v>8656</v>
      </c>
      <c r="AE115" s="1">
        <v>8630</v>
      </c>
      <c r="AF115" s="1">
        <v>8612</v>
      </c>
      <c r="AG115" s="1">
        <v>8581</v>
      </c>
      <c r="AH115" s="1">
        <v>8557</v>
      </c>
      <c r="AI115" s="1">
        <v>8394</v>
      </c>
      <c r="AJ115" s="1">
        <v>7637</v>
      </c>
      <c r="AK115" s="1">
        <v>6927</v>
      </c>
      <c r="AL115" s="1">
        <v>6650</v>
      </c>
      <c r="AM115" s="1">
        <v>6385</v>
      </c>
      <c r="AN115" s="1">
        <v>6131</v>
      </c>
      <c r="AO115" s="1">
        <v>5889</v>
      </c>
      <c r="AP115" s="1">
        <v>5656</v>
      </c>
      <c r="AQ115" s="1">
        <v>5434</v>
      </c>
      <c r="AR115" s="1">
        <v>5221</v>
      </c>
      <c r="AS115" s="1">
        <v>5017</v>
      </c>
      <c r="AT115" s="1">
        <v>4822</v>
      </c>
      <c r="AU115" s="1">
        <v>4634</v>
      </c>
      <c r="AV115" s="1">
        <v>4343</v>
      </c>
      <c r="AW115" s="1">
        <v>4067</v>
      </c>
      <c r="AX115" s="1">
        <v>3918</v>
      </c>
      <c r="AY115" s="1"/>
      <c r="BA115" s="21">
        <f>SUM(C115:N115)</f>
        <v>164007</v>
      </c>
      <c r="BB115" s="22">
        <f>+BA115/12</f>
        <v>13667.25</v>
      </c>
      <c r="BD115" s="7">
        <f>SUM(O115:Z115)</f>
        <v>148501</v>
      </c>
      <c r="BE115" s="7">
        <f>+BD115-BA115</f>
        <v>-15506</v>
      </c>
      <c r="BF115" s="8">
        <f>(BD115/BA115)-1</f>
        <v>-9.4544745041370226E-2</v>
      </c>
      <c r="BG115" s="7">
        <f>BD115/12</f>
        <v>12375.083333333334</v>
      </c>
      <c r="BI115" s="12">
        <f>+SUM(AA115:AL115)</f>
        <v>109034</v>
      </c>
      <c r="BJ115" s="12">
        <f>+BI115-BD115</f>
        <v>-39467</v>
      </c>
      <c r="BK115" s="13">
        <f>(BI115/BD115)-1</f>
        <v>-0.26576925407909713</v>
      </c>
      <c r="BL115" s="24">
        <f>SUM(AA115:AH115)/8</f>
        <v>9928.25</v>
      </c>
      <c r="BM115" s="24">
        <f>SUM(AI115:AL115)/4</f>
        <v>7402</v>
      </c>
      <c r="BO115" s="17">
        <f>+SUM(AM115:AX115)</f>
        <v>61517</v>
      </c>
      <c r="BP115" s="17">
        <f>+BO115-BI115</f>
        <v>-47517</v>
      </c>
      <c r="BQ115" s="18">
        <f>(BO115/BI115)-1</f>
        <v>-0.43579984225104096</v>
      </c>
      <c r="BR115" s="25">
        <f>BO115/12</f>
        <v>5126.416666666667</v>
      </c>
    </row>
    <row r="116" spans="1:70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BA116" s="21"/>
      <c r="BB116" s="22"/>
      <c r="BD116" s="7"/>
      <c r="BE116" s="7"/>
      <c r="BF116" s="8"/>
      <c r="BG116" s="7"/>
      <c r="BI116" s="12"/>
      <c r="BJ116" s="12"/>
      <c r="BK116" s="13"/>
      <c r="BL116" s="24"/>
      <c r="BM116" s="24"/>
      <c r="BO116" s="17"/>
      <c r="BP116" s="17"/>
      <c r="BQ116" s="18"/>
      <c r="BR116" s="25"/>
    </row>
    <row r="117" spans="1:70">
      <c r="A117" t="s">
        <v>166</v>
      </c>
      <c r="B117">
        <v>110370</v>
      </c>
      <c r="C117" s="1">
        <v>33285</v>
      </c>
      <c r="D117" s="1">
        <v>32970</v>
      </c>
      <c r="E117" s="1">
        <v>33176</v>
      </c>
      <c r="F117" s="1">
        <v>32999</v>
      </c>
      <c r="G117" s="1">
        <v>32848</v>
      </c>
      <c r="H117" s="1">
        <v>32227</v>
      </c>
      <c r="I117" s="1">
        <v>32164</v>
      </c>
      <c r="J117" s="1">
        <v>31893</v>
      </c>
      <c r="K117" s="1">
        <v>31689</v>
      </c>
      <c r="L117" s="1">
        <v>31641</v>
      </c>
      <c r="M117" s="1">
        <v>30889</v>
      </c>
      <c r="N117" s="1">
        <v>30963</v>
      </c>
      <c r="O117" s="1">
        <v>30968</v>
      </c>
      <c r="P117" s="1">
        <v>30958</v>
      </c>
      <c r="Q117" s="1">
        <v>30263</v>
      </c>
      <c r="R117" s="1">
        <v>30330</v>
      </c>
      <c r="S117" s="1">
        <v>29197</v>
      </c>
      <c r="T117" s="1">
        <v>29381</v>
      </c>
      <c r="U117" s="1">
        <v>29301</v>
      </c>
      <c r="V117" s="1">
        <v>28851</v>
      </c>
      <c r="W117" s="1">
        <v>28043</v>
      </c>
      <c r="X117" s="1">
        <v>27743</v>
      </c>
      <c r="Y117" s="1">
        <v>27666</v>
      </c>
      <c r="Z117" s="1">
        <v>27168</v>
      </c>
      <c r="AA117" s="1">
        <v>25743</v>
      </c>
      <c r="AB117" s="1">
        <v>26546</v>
      </c>
      <c r="AC117" s="1">
        <v>26536</v>
      </c>
      <c r="AD117" s="1">
        <v>26431</v>
      </c>
      <c r="AE117" s="1">
        <v>26357</v>
      </c>
      <c r="AF117" s="1">
        <v>25874</v>
      </c>
      <c r="AG117" s="1">
        <v>28237</v>
      </c>
      <c r="AH117" s="1">
        <v>26129</v>
      </c>
      <c r="AI117" s="1">
        <v>25972</v>
      </c>
      <c r="AJ117" s="1">
        <v>25493</v>
      </c>
      <c r="AK117" s="1">
        <v>25026</v>
      </c>
      <c r="AL117" s="1">
        <v>24564</v>
      </c>
      <c r="AM117" s="1">
        <v>24109</v>
      </c>
      <c r="AN117" s="1">
        <v>23659</v>
      </c>
      <c r="AO117" s="1">
        <v>23214</v>
      </c>
      <c r="AP117" s="1">
        <v>22776</v>
      </c>
      <c r="AQ117" s="1">
        <v>22342</v>
      </c>
      <c r="AR117" s="1">
        <v>21915</v>
      </c>
      <c r="AS117" s="1">
        <v>21492</v>
      </c>
      <c r="AT117" s="1">
        <v>21075</v>
      </c>
      <c r="AU117" s="1">
        <v>20664</v>
      </c>
      <c r="AV117" s="1">
        <v>20258</v>
      </c>
      <c r="AW117" s="1">
        <v>19857</v>
      </c>
      <c r="AX117" s="1">
        <v>19461</v>
      </c>
      <c r="AY117" s="1"/>
      <c r="BA117" s="21">
        <f>SUM(C117:N117)</f>
        <v>386744</v>
      </c>
      <c r="BB117" s="22">
        <f t="shared" ref="BB117:BB121" si="93">+BA117/12</f>
        <v>32228.666666666668</v>
      </c>
      <c r="BD117" s="7">
        <f>SUM(O117:Z117)</f>
        <v>349869</v>
      </c>
      <c r="BE117" s="7">
        <f t="shared" ref="BE117:BE121" si="94">+BD117-BA117</f>
        <v>-36875</v>
      </c>
      <c r="BF117" s="8">
        <f t="shared" ref="BF117:BF121" si="95">(BD117/BA117)-1</f>
        <v>-9.5347309848375139E-2</v>
      </c>
      <c r="BG117" s="7">
        <f t="shared" ref="BG117:BG121" si="96">BD117/12</f>
        <v>29155.75</v>
      </c>
      <c r="BI117" s="12">
        <f>+SUM(AA117:AL117)</f>
        <v>312908</v>
      </c>
      <c r="BJ117" s="12">
        <f t="shared" ref="BJ117:BJ121" si="97">+BI117-BD117</f>
        <v>-36961</v>
      </c>
      <c r="BK117" s="13">
        <f t="shared" ref="BK117:BK121" si="98">(BI117/BD117)-1</f>
        <v>-0.10564239758309535</v>
      </c>
      <c r="BL117" s="24">
        <f>SUM(AA117:AH117)/8</f>
        <v>26481.625</v>
      </c>
      <c r="BM117" s="24">
        <f>SUM(AI117:AL117)/4</f>
        <v>25263.75</v>
      </c>
      <c r="BO117" s="17">
        <f>+SUM(AM117:AX117)</f>
        <v>260822</v>
      </c>
      <c r="BP117" s="17">
        <f t="shared" ref="BP117:BP121" si="99">+BO117-BI117</f>
        <v>-52086</v>
      </c>
      <c r="BQ117" s="18">
        <f t="shared" ref="BQ117:BQ121" si="100">(BO117/BI117)-1</f>
        <v>-0.16645787260153144</v>
      </c>
      <c r="BR117" s="25">
        <f t="shared" ref="BR117:BR121" si="101">BO117/12</f>
        <v>21735.166666666668</v>
      </c>
    </row>
    <row r="118" spans="1:70">
      <c r="A118" t="s">
        <v>168</v>
      </c>
      <c r="B118">
        <v>110372</v>
      </c>
      <c r="C118" s="1">
        <v>53853</v>
      </c>
      <c r="D118" s="1">
        <v>53660</v>
      </c>
      <c r="E118" s="1">
        <v>54029</v>
      </c>
      <c r="F118" s="1">
        <v>52732</v>
      </c>
      <c r="G118" s="1">
        <v>53601</v>
      </c>
      <c r="H118" s="1">
        <v>54601</v>
      </c>
      <c r="I118" s="1">
        <v>51821</v>
      </c>
      <c r="J118" s="1">
        <v>52039</v>
      </c>
      <c r="K118" s="1">
        <v>51669</v>
      </c>
      <c r="L118" s="1">
        <v>51967</v>
      </c>
      <c r="M118" s="1">
        <v>51718</v>
      </c>
      <c r="N118" s="1">
        <v>51705</v>
      </c>
      <c r="O118" s="1">
        <v>51093</v>
      </c>
      <c r="P118" s="1">
        <v>51322</v>
      </c>
      <c r="Q118" s="1">
        <v>51287</v>
      </c>
      <c r="R118" s="1">
        <v>51243</v>
      </c>
      <c r="S118" s="1">
        <v>51156</v>
      </c>
      <c r="T118" s="1">
        <v>44965</v>
      </c>
      <c r="U118" s="1">
        <v>50432</v>
      </c>
      <c r="V118" s="1">
        <v>50467</v>
      </c>
      <c r="W118" s="1">
        <v>50543</v>
      </c>
      <c r="X118" s="1">
        <v>50593</v>
      </c>
      <c r="Y118" s="1">
        <v>49383</v>
      </c>
      <c r="Z118" s="1">
        <v>50208</v>
      </c>
      <c r="AA118" s="1">
        <v>48675</v>
      </c>
      <c r="AB118" s="1">
        <v>48163</v>
      </c>
      <c r="AC118" s="1">
        <v>46433</v>
      </c>
      <c r="AD118" s="1">
        <v>46309</v>
      </c>
      <c r="AE118" s="1">
        <v>46237</v>
      </c>
      <c r="AF118" s="1">
        <v>43118</v>
      </c>
      <c r="AG118" s="1">
        <v>45279</v>
      </c>
      <c r="AH118" s="1">
        <v>44575</v>
      </c>
      <c r="AI118" s="1">
        <v>44590</v>
      </c>
      <c r="AJ118" s="1">
        <v>43782</v>
      </c>
      <c r="AK118" s="1">
        <v>42993</v>
      </c>
      <c r="AL118" s="1">
        <v>42214</v>
      </c>
      <c r="AM118" s="1">
        <v>41443</v>
      </c>
      <c r="AN118" s="1">
        <v>40681</v>
      </c>
      <c r="AO118" s="1">
        <v>39928</v>
      </c>
      <c r="AP118" s="1">
        <v>39184</v>
      </c>
      <c r="AQ118" s="1">
        <v>38449</v>
      </c>
      <c r="AR118" s="1">
        <v>37723</v>
      </c>
      <c r="AS118" s="1">
        <v>37005</v>
      </c>
      <c r="AT118" s="1">
        <v>36296</v>
      </c>
      <c r="AU118" s="1">
        <v>35595</v>
      </c>
      <c r="AV118" s="1">
        <v>34903</v>
      </c>
      <c r="AW118" s="1">
        <v>34220</v>
      </c>
      <c r="AX118" s="1">
        <v>33545</v>
      </c>
      <c r="AY118" s="1"/>
      <c r="BA118" s="21">
        <f>SUM(C118:N118)</f>
        <v>633395</v>
      </c>
      <c r="BB118" s="22">
        <f t="shared" si="93"/>
        <v>52782.916666666664</v>
      </c>
      <c r="BD118" s="7">
        <f>SUM(O118:Z118)</f>
        <v>602692</v>
      </c>
      <c r="BE118" s="7">
        <f t="shared" si="94"/>
        <v>-30703</v>
      </c>
      <c r="BF118" s="8">
        <f t="shared" si="95"/>
        <v>-4.847370124487882E-2</v>
      </c>
      <c r="BG118" s="7">
        <f t="shared" si="96"/>
        <v>50224.333333333336</v>
      </c>
      <c r="BI118" s="12">
        <f>+SUM(AA118:AL118)</f>
        <v>542368</v>
      </c>
      <c r="BJ118" s="12">
        <f t="shared" si="97"/>
        <v>-60324</v>
      </c>
      <c r="BK118" s="13">
        <f t="shared" si="98"/>
        <v>-0.10009092538145525</v>
      </c>
      <c r="BL118" s="24">
        <f>SUM(AA118:AH118)/8</f>
        <v>46098.625</v>
      </c>
      <c r="BM118" s="24">
        <f>SUM(AI118:AL118)/4</f>
        <v>43394.75</v>
      </c>
      <c r="BO118" s="17">
        <f>+SUM(AM118:AX118)</f>
        <v>448972</v>
      </c>
      <c r="BP118" s="17">
        <f t="shared" si="99"/>
        <v>-93396</v>
      </c>
      <c r="BQ118" s="18">
        <f t="shared" si="100"/>
        <v>-0.17220042480382325</v>
      </c>
      <c r="BR118" s="25">
        <f t="shared" si="101"/>
        <v>37414.333333333336</v>
      </c>
    </row>
    <row r="119" spans="1:70">
      <c r="A119" t="s">
        <v>170</v>
      </c>
      <c r="B119">
        <v>110374</v>
      </c>
      <c r="C119" s="1">
        <v>36520</v>
      </c>
      <c r="D119" s="1">
        <v>33877</v>
      </c>
      <c r="E119" s="1">
        <v>34357</v>
      </c>
      <c r="F119" s="1">
        <v>36176</v>
      </c>
      <c r="G119" s="1">
        <v>35296</v>
      </c>
      <c r="H119" s="1">
        <v>35747</v>
      </c>
      <c r="I119" s="1">
        <v>36271</v>
      </c>
      <c r="J119" s="1">
        <v>36776</v>
      </c>
      <c r="K119" s="1">
        <v>37267</v>
      </c>
      <c r="L119" s="1">
        <v>37776</v>
      </c>
      <c r="M119" s="1">
        <v>38283</v>
      </c>
      <c r="N119" s="1">
        <v>38798</v>
      </c>
      <c r="O119" s="1">
        <v>39306</v>
      </c>
      <c r="P119" s="1">
        <v>37696</v>
      </c>
      <c r="Q119" s="1">
        <v>38317</v>
      </c>
      <c r="R119" s="1">
        <v>38850</v>
      </c>
      <c r="S119" s="1">
        <v>39386</v>
      </c>
      <c r="T119" s="1">
        <v>39926</v>
      </c>
      <c r="U119" s="1">
        <v>37173</v>
      </c>
      <c r="V119" s="1">
        <v>41021</v>
      </c>
      <c r="W119" s="1">
        <v>39602</v>
      </c>
      <c r="X119" s="1">
        <v>40163</v>
      </c>
      <c r="Y119" s="1">
        <v>40724</v>
      </c>
      <c r="Z119" s="1">
        <v>41295</v>
      </c>
      <c r="AA119" s="1">
        <v>41869</v>
      </c>
      <c r="AB119" s="1">
        <v>40975</v>
      </c>
      <c r="AC119" s="1">
        <v>40139</v>
      </c>
      <c r="AD119" s="1">
        <v>41248</v>
      </c>
      <c r="AE119" s="1">
        <v>41834</v>
      </c>
      <c r="AF119" s="1">
        <v>42441</v>
      </c>
      <c r="AG119" s="1">
        <v>41717</v>
      </c>
      <c r="AH119" s="1">
        <v>45956</v>
      </c>
      <c r="AI119" s="1">
        <v>46379</v>
      </c>
      <c r="AJ119" s="1">
        <v>46241</v>
      </c>
      <c r="AK119" s="1">
        <v>46098</v>
      </c>
      <c r="AL119" s="1">
        <v>45955</v>
      </c>
      <c r="AM119" s="1">
        <v>45811</v>
      </c>
      <c r="AN119" s="1">
        <v>45667</v>
      </c>
      <c r="AO119" s="1">
        <v>45523</v>
      </c>
      <c r="AP119" s="1">
        <v>45378</v>
      </c>
      <c r="AQ119" s="1">
        <v>45233</v>
      </c>
      <c r="AR119" s="1">
        <v>45087</v>
      </c>
      <c r="AS119" s="1">
        <v>44941</v>
      </c>
      <c r="AT119" s="1">
        <v>44794</v>
      </c>
      <c r="AU119" s="1">
        <v>44647</v>
      </c>
      <c r="AV119" s="1">
        <v>44500</v>
      </c>
      <c r="AW119" s="1">
        <v>44352</v>
      </c>
      <c r="AX119" s="1">
        <v>44204</v>
      </c>
      <c r="AY119" s="1"/>
      <c r="BA119" s="21">
        <f>SUM(C119:N119)</f>
        <v>437144</v>
      </c>
      <c r="BB119" s="22">
        <f t="shared" si="93"/>
        <v>36428.666666666664</v>
      </c>
      <c r="BD119" s="7">
        <f>SUM(O119:Z119)</f>
        <v>473459</v>
      </c>
      <c r="BE119" s="7">
        <f t="shared" si="94"/>
        <v>36315</v>
      </c>
      <c r="BF119" s="8">
        <f t="shared" si="95"/>
        <v>8.3073312226634721E-2</v>
      </c>
      <c r="BG119" s="7">
        <f t="shared" si="96"/>
        <v>39454.916666666664</v>
      </c>
      <c r="BI119" s="12">
        <f>+SUM(AA119:AL119)</f>
        <v>520852</v>
      </c>
      <c r="BJ119" s="12">
        <f t="shared" si="97"/>
        <v>47393</v>
      </c>
      <c r="BK119" s="13">
        <f t="shared" si="98"/>
        <v>0.10009948063084662</v>
      </c>
      <c r="BL119" s="24">
        <f>SUM(AA119:AH119)/8</f>
        <v>42022.375</v>
      </c>
      <c r="BM119" s="24">
        <f>SUM(AI119:AL119)/4</f>
        <v>46168.25</v>
      </c>
      <c r="BO119" s="17">
        <f>+SUM(AM119:AX119)</f>
        <v>540137</v>
      </c>
      <c r="BP119" s="17">
        <f t="shared" si="99"/>
        <v>19285</v>
      </c>
      <c r="BQ119" s="18">
        <f t="shared" si="100"/>
        <v>3.7025872992711983E-2</v>
      </c>
      <c r="BR119" s="25">
        <f t="shared" si="101"/>
        <v>45011.416666666664</v>
      </c>
    </row>
    <row r="120" spans="1:70">
      <c r="A120" t="s">
        <v>172</v>
      </c>
      <c r="B120">
        <v>110376</v>
      </c>
      <c r="C120" s="1">
        <v>48758</v>
      </c>
      <c r="D120" s="1">
        <v>48807</v>
      </c>
      <c r="E120" s="1">
        <v>48856</v>
      </c>
      <c r="F120" s="1">
        <v>48742</v>
      </c>
      <c r="G120" s="1">
        <v>48870</v>
      </c>
      <c r="H120" s="1">
        <v>48931</v>
      </c>
      <c r="I120" s="1">
        <v>48984</v>
      </c>
      <c r="J120" s="1">
        <v>44225</v>
      </c>
      <c r="K120" s="1">
        <v>44784</v>
      </c>
      <c r="L120" s="1">
        <v>44832</v>
      </c>
      <c r="M120" s="1">
        <v>40298</v>
      </c>
      <c r="N120" s="1">
        <v>42666</v>
      </c>
      <c r="O120" s="1">
        <v>49621</v>
      </c>
      <c r="P120" s="1">
        <v>47362</v>
      </c>
      <c r="Q120" s="1">
        <v>45152</v>
      </c>
      <c r="R120" s="1">
        <v>45216</v>
      </c>
      <c r="S120" s="1">
        <v>42452</v>
      </c>
      <c r="T120" s="1">
        <v>45362</v>
      </c>
      <c r="U120" s="1">
        <v>43762</v>
      </c>
      <c r="V120" s="1">
        <v>43835</v>
      </c>
      <c r="W120" s="1">
        <v>43914</v>
      </c>
      <c r="X120" s="1">
        <v>43983</v>
      </c>
      <c r="Y120" s="1">
        <v>44060</v>
      </c>
      <c r="Z120" s="1">
        <v>44138</v>
      </c>
      <c r="AA120" s="1">
        <v>44216</v>
      </c>
      <c r="AB120" s="1">
        <v>44286</v>
      </c>
      <c r="AC120" s="1">
        <v>44370</v>
      </c>
      <c r="AD120" s="1">
        <v>47891</v>
      </c>
      <c r="AE120" s="1">
        <v>47856</v>
      </c>
      <c r="AF120" s="1">
        <v>44957</v>
      </c>
      <c r="AG120" s="1">
        <v>45545</v>
      </c>
      <c r="AH120" s="1">
        <v>45516</v>
      </c>
      <c r="AI120" s="1">
        <v>51526</v>
      </c>
      <c r="AJ120" s="1">
        <v>51379</v>
      </c>
      <c r="AK120" s="1">
        <v>51225</v>
      </c>
      <c r="AL120" s="1">
        <v>51071</v>
      </c>
      <c r="AM120" s="1">
        <v>50916</v>
      </c>
      <c r="AN120" s="1">
        <v>50761</v>
      </c>
      <c r="AO120" s="1">
        <v>50606</v>
      </c>
      <c r="AP120" s="1">
        <v>50450</v>
      </c>
      <c r="AQ120" s="1">
        <v>50294</v>
      </c>
      <c r="AR120" s="1">
        <v>50137</v>
      </c>
      <c r="AS120" s="1">
        <v>49980</v>
      </c>
      <c r="AT120" s="1">
        <v>49823</v>
      </c>
      <c r="AU120" s="1">
        <v>49665</v>
      </c>
      <c r="AV120" s="1">
        <v>49507</v>
      </c>
      <c r="AW120" s="1">
        <v>49349</v>
      </c>
      <c r="AX120" s="1">
        <v>49190</v>
      </c>
      <c r="AY120" s="1"/>
      <c r="BA120" s="21">
        <f>SUM(C120:N120)</f>
        <v>558753</v>
      </c>
      <c r="BB120" s="22">
        <f t="shared" si="93"/>
        <v>46562.75</v>
      </c>
      <c r="BD120" s="7">
        <f>SUM(O120:Z120)</f>
        <v>538857</v>
      </c>
      <c r="BE120" s="7">
        <f t="shared" si="94"/>
        <v>-19896</v>
      </c>
      <c r="BF120" s="8">
        <f t="shared" si="95"/>
        <v>-3.5607862508120758E-2</v>
      </c>
      <c r="BG120" s="7">
        <f t="shared" si="96"/>
        <v>44904.75</v>
      </c>
      <c r="BI120" s="12">
        <f>+SUM(AA120:AL120)</f>
        <v>569838</v>
      </c>
      <c r="BJ120" s="12">
        <f t="shared" si="97"/>
        <v>30981</v>
      </c>
      <c r="BK120" s="13">
        <f t="shared" si="98"/>
        <v>5.7493917681314288E-2</v>
      </c>
      <c r="BL120" s="24">
        <f>SUM(AA120:AH120)/8</f>
        <v>45579.625</v>
      </c>
      <c r="BM120" s="24">
        <f>SUM(AI120:AL120)/4</f>
        <v>51300.25</v>
      </c>
      <c r="BO120" s="17">
        <f>+SUM(AM120:AX120)</f>
        <v>600678</v>
      </c>
      <c r="BP120" s="17">
        <f t="shared" si="99"/>
        <v>30840</v>
      </c>
      <c r="BQ120" s="18">
        <f t="shared" si="100"/>
        <v>5.4120644814842134E-2</v>
      </c>
      <c r="BR120" s="25">
        <f t="shared" si="101"/>
        <v>50056.5</v>
      </c>
    </row>
    <row r="121" spans="1:70">
      <c r="A121" t="s">
        <v>174</v>
      </c>
      <c r="B121">
        <v>110378</v>
      </c>
      <c r="C121" s="1">
        <v>131937</v>
      </c>
      <c r="D121" s="1">
        <v>131195</v>
      </c>
      <c r="E121" s="1">
        <v>130732</v>
      </c>
      <c r="F121" s="1">
        <v>127501</v>
      </c>
      <c r="G121" s="1">
        <v>128304</v>
      </c>
      <c r="H121" s="1">
        <v>127539</v>
      </c>
      <c r="I121" s="1">
        <v>126783</v>
      </c>
      <c r="J121" s="1">
        <v>125981</v>
      </c>
      <c r="K121" s="1">
        <v>125242</v>
      </c>
      <c r="L121" s="1">
        <v>124388</v>
      </c>
      <c r="M121" s="1">
        <v>123625</v>
      </c>
      <c r="N121" s="1">
        <v>122841</v>
      </c>
      <c r="O121" s="1">
        <v>122085</v>
      </c>
      <c r="P121" s="1">
        <v>121290</v>
      </c>
      <c r="Q121" s="1">
        <v>120435</v>
      </c>
      <c r="R121" s="1">
        <v>119497</v>
      </c>
      <c r="S121" s="1">
        <v>117791</v>
      </c>
      <c r="T121" s="1">
        <v>117069</v>
      </c>
      <c r="U121" s="1">
        <v>116293</v>
      </c>
      <c r="V121" s="1">
        <v>115502</v>
      </c>
      <c r="W121" s="1">
        <v>114671</v>
      </c>
      <c r="X121" s="1">
        <v>113872</v>
      </c>
      <c r="Y121" s="1">
        <v>112987</v>
      </c>
      <c r="Z121" s="1">
        <v>112001</v>
      </c>
      <c r="AA121" s="1">
        <v>111261</v>
      </c>
      <c r="AB121" s="1">
        <v>110450</v>
      </c>
      <c r="AC121" s="1">
        <v>107937</v>
      </c>
      <c r="AD121" s="1">
        <v>98448</v>
      </c>
      <c r="AE121" s="1">
        <v>98110</v>
      </c>
      <c r="AF121" s="1">
        <v>97735</v>
      </c>
      <c r="AG121" s="1">
        <v>97316</v>
      </c>
      <c r="AH121" s="1">
        <v>96996</v>
      </c>
      <c r="AI121" s="1">
        <v>89284</v>
      </c>
      <c r="AJ121" s="1">
        <v>89022</v>
      </c>
      <c r="AK121" s="1">
        <v>88755</v>
      </c>
      <c r="AL121" s="1">
        <v>88488</v>
      </c>
      <c r="AM121" s="1">
        <v>88220</v>
      </c>
      <c r="AN121" s="1">
        <v>87951</v>
      </c>
      <c r="AO121" s="1">
        <v>87682</v>
      </c>
      <c r="AP121" s="1">
        <v>87412</v>
      </c>
      <c r="AQ121" s="1">
        <v>87141</v>
      </c>
      <c r="AR121" s="1">
        <v>86870</v>
      </c>
      <c r="AS121" s="1">
        <v>86597</v>
      </c>
      <c r="AT121" s="1">
        <v>86325</v>
      </c>
      <c r="AU121" s="1">
        <v>86051</v>
      </c>
      <c r="AV121" s="1">
        <v>85777</v>
      </c>
      <c r="AW121" s="1">
        <v>85502</v>
      </c>
      <c r="AX121" s="1">
        <v>85226</v>
      </c>
      <c r="AY121" s="1"/>
      <c r="BA121" s="21">
        <f>SUM(C121:N121)</f>
        <v>1526068</v>
      </c>
      <c r="BB121" s="22">
        <f t="shared" si="93"/>
        <v>127172.33333333333</v>
      </c>
      <c r="BD121" s="7">
        <f>SUM(O121:Z121)</f>
        <v>1403493</v>
      </c>
      <c r="BE121" s="7">
        <f t="shared" si="94"/>
        <v>-122575</v>
      </c>
      <c r="BF121" s="8">
        <f t="shared" si="95"/>
        <v>-8.0320798286839135E-2</v>
      </c>
      <c r="BG121" s="7">
        <f t="shared" si="96"/>
        <v>116957.75</v>
      </c>
      <c r="BI121" s="12">
        <f>+SUM(AA121:AL121)</f>
        <v>1173802</v>
      </c>
      <c r="BJ121" s="12">
        <f t="shared" si="97"/>
        <v>-229691</v>
      </c>
      <c r="BK121" s="13">
        <f t="shared" si="98"/>
        <v>-0.16365667659190319</v>
      </c>
      <c r="BL121" s="24">
        <f>SUM(AA121:AH121)/8</f>
        <v>102281.625</v>
      </c>
      <c r="BM121" s="24">
        <f>SUM(AI121:AL121)/4</f>
        <v>88887.25</v>
      </c>
      <c r="BO121" s="17">
        <f>+SUM(AM121:AX121)</f>
        <v>1040754</v>
      </c>
      <c r="BP121" s="17">
        <f t="shared" si="99"/>
        <v>-133048</v>
      </c>
      <c r="BQ121" s="18">
        <f t="shared" si="100"/>
        <v>-0.11334790705757869</v>
      </c>
      <c r="BR121" s="25">
        <f t="shared" si="101"/>
        <v>86729.5</v>
      </c>
    </row>
    <row r="122" spans="1:70">
      <c r="A122" t="s">
        <v>11</v>
      </c>
      <c r="B122" t="s">
        <v>12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BA122" s="21"/>
      <c r="BB122" s="22"/>
      <c r="BD122" s="7"/>
      <c r="BE122" s="7"/>
      <c r="BF122" s="8"/>
      <c r="BG122" s="7"/>
      <c r="BI122" s="12"/>
      <c r="BJ122" s="12"/>
      <c r="BK122" s="13"/>
      <c r="BL122" s="24"/>
      <c r="BM122" s="24"/>
      <c r="BO122" s="17"/>
      <c r="BP122" s="17"/>
      <c r="BQ122" s="18"/>
      <c r="BR122" s="25"/>
    </row>
    <row r="123" spans="1:70">
      <c r="A123" t="s">
        <v>581</v>
      </c>
      <c r="C123" s="1">
        <v>304353</v>
      </c>
      <c r="D123" s="1">
        <v>300509</v>
      </c>
      <c r="E123" s="1">
        <v>301150</v>
      </c>
      <c r="F123" s="1">
        <v>298150</v>
      </c>
      <c r="G123" s="1">
        <v>298920</v>
      </c>
      <c r="H123" s="1">
        <v>299045</v>
      </c>
      <c r="I123" s="1">
        <v>296023</v>
      </c>
      <c r="J123" s="1">
        <v>290914</v>
      </c>
      <c r="K123" s="1">
        <v>290650</v>
      </c>
      <c r="L123" s="1">
        <v>290604</v>
      </c>
      <c r="M123" s="1">
        <v>284813</v>
      </c>
      <c r="N123" s="1">
        <v>286973</v>
      </c>
      <c r="O123" s="1">
        <v>293072</v>
      </c>
      <c r="P123" s="1">
        <v>288629</v>
      </c>
      <c r="Q123" s="1">
        <v>285455</v>
      </c>
      <c r="R123" s="1">
        <v>285137</v>
      </c>
      <c r="S123" s="1">
        <v>279983</v>
      </c>
      <c r="T123" s="1">
        <v>276702</v>
      </c>
      <c r="U123" s="1">
        <v>276962</v>
      </c>
      <c r="V123" s="1">
        <v>279677</v>
      </c>
      <c r="W123" s="1">
        <v>276773</v>
      </c>
      <c r="X123" s="1">
        <v>276355</v>
      </c>
      <c r="Y123" s="1">
        <v>274820</v>
      </c>
      <c r="Z123" s="1">
        <v>274809</v>
      </c>
      <c r="AA123" s="1">
        <v>271764</v>
      </c>
      <c r="AB123" s="1">
        <v>270419</v>
      </c>
      <c r="AC123" s="1">
        <v>265415</v>
      </c>
      <c r="AD123" s="1">
        <v>260327</v>
      </c>
      <c r="AE123" s="1">
        <v>260396</v>
      </c>
      <c r="AF123" s="1">
        <v>254124</v>
      </c>
      <c r="AG123" s="1">
        <v>258093</v>
      </c>
      <c r="AH123" s="1">
        <v>259173</v>
      </c>
      <c r="AI123" s="1">
        <v>257751</v>
      </c>
      <c r="AJ123" s="1">
        <v>255917</v>
      </c>
      <c r="AK123" s="1">
        <v>254098</v>
      </c>
      <c r="AL123" s="1">
        <v>252292</v>
      </c>
      <c r="AM123" s="1">
        <v>250499</v>
      </c>
      <c r="AN123" s="1">
        <v>248720</v>
      </c>
      <c r="AO123" s="1">
        <v>246953</v>
      </c>
      <c r="AP123" s="1">
        <v>245200</v>
      </c>
      <c r="AQ123" s="1">
        <v>243459</v>
      </c>
      <c r="AR123" s="1">
        <v>241731</v>
      </c>
      <c r="AS123" s="1">
        <v>240016</v>
      </c>
      <c r="AT123" s="1">
        <v>238313</v>
      </c>
      <c r="AU123" s="1">
        <v>236623</v>
      </c>
      <c r="AV123" s="1">
        <v>234945</v>
      </c>
      <c r="AW123" s="1">
        <v>233279</v>
      </c>
      <c r="AX123" s="1">
        <v>231626</v>
      </c>
      <c r="AY123" s="1"/>
      <c r="BA123" s="21">
        <f>SUM(C123:N123)</f>
        <v>3542104</v>
      </c>
      <c r="BB123" s="22">
        <f>+BA123/12</f>
        <v>295175.33333333331</v>
      </c>
      <c r="BD123" s="7">
        <f>SUM(O123:Z123)</f>
        <v>3368374</v>
      </c>
      <c r="BE123" s="7">
        <f>+BD123-BA123</f>
        <v>-173730</v>
      </c>
      <c r="BF123" s="8">
        <f>(BD123/BA123)-1</f>
        <v>-4.9047120016803558E-2</v>
      </c>
      <c r="BG123" s="7">
        <f>BD123/12</f>
        <v>280697.83333333331</v>
      </c>
      <c r="BI123" s="12">
        <f>+SUM(AA123:AL123)</f>
        <v>3119769</v>
      </c>
      <c r="BJ123" s="12">
        <f>+BI123-BD123</f>
        <v>-248605</v>
      </c>
      <c r="BK123" s="13">
        <f>(BI123/BD123)-1</f>
        <v>-7.3805640347538559E-2</v>
      </c>
      <c r="BL123" s="24">
        <f>SUM(AA123:AH123)/8</f>
        <v>262463.875</v>
      </c>
      <c r="BM123" s="24">
        <f>SUM(AI123:AL123)/4</f>
        <v>255014.5</v>
      </c>
      <c r="BO123" s="17">
        <f>+SUM(AM123:AX123)</f>
        <v>2891364</v>
      </c>
      <c r="BP123" s="17">
        <f>+BO123-BI123</f>
        <v>-228405</v>
      </c>
      <c r="BQ123" s="18">
        <f>(BO123/BI123)-1</f>
        <v>-7.3212151284277827E-2</v>
      </c>
      <c r="BR123" s="25">
        <f>BO123/12</f>
        <v>240947</v>
      </c>
    </row>
    <row r="124" spans="1:70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70">
      <c r="A125" t="s">
        <v>582</v>
      </c>
      <c r="B125">
        <v>110404</v>
      </c>
      <c r="C125" s="1">
        <v>99364</v>
      </c>
      <c r="D125" s="1">
        <v>90674</v>
      </c>
      <c r="E125" s="1">
        <v>100806</v>
      </c>
      <c r="F125" s="1">
        <v>98399</v>
      </c>
      <c r="G125" s="1">
        <v>103097</v>
      </c>
      <c r="H125" s="1">
        <v>103193</v>
      </c>
      <c r="I125" s="1">
        <v>108738</v>
      </c>
      <c r="J125" s="1">
        <v>112443</v>
      </c>
      <c r="K125" s="1">
        <v>109271</v>
      </c>
      <c r="L125" s="1">
        <v>113438</v>
      </c>
      <c r="M125" s="1">
        <v>113147</v>
      </c>
      <c r="N125" s="1">
        <v>119072</v>
      </c>
      <c r="O125" s="1">
        <v>122139</v>
      </c>
      <c r="P125" s="1">
        <v>114335</v>
      </c>
      <c r="Q125" s="1">
        <v>121810</v>
      </c>
      <c r="R125" s="1">
        <v>119393</v>
      </c>
      <c r="S125" s="1">
        <v>127452</v>
      </c>
      <c r="T125" s="1">
        <v>123288</v>
      </c>
      <c r="U125" s="1">
        <v>128092</v>
      </c>
      <c r="V125" s="1">
        <v>129932</v>
      </c>
      <c r="W125" s="1">
        <v>128171</v>
      </c>
      <c r="X125" s="1">
        <v>136437</v>
      </c>
      <c r="Y125" s="1">
        <v>131660</v>
      </c>
      <c r="Z125" s="1">
        <v>135671</v>
      </c>
      <c r="AA125" s="1">
        <v>138835</v>
      </c>
      <c r="AB125" s="1">
        <v>125574</v>
      </c>
      <c r="AC125" s="1">
        <v>138310</v>
      </c>
      <c r="AD125" s="1">
        <v>134547</v>
      </c>
      <c r="AE125" s="1">
        <v>140360</v>
      </c>
      <c r="AF125" s="1">
        <v>137341</v>
      </c>
      <c r="AG125" s="1">
        <v>140311</v>
      </c>
      <c r="AH125" s="1">
        <v>143557</v>
      </c>
      <c r="AI125" s="1">
        <v>136657</v>
      </c>
      <c r="AJ125" s="1">
        <v>143178</v>
      </c>
      <c r="AK125" s="1">
        <v>141516</v>
      </c>
      <c r="AL125" s="1">
        <v>149446</v>
      </c>
      <c r="AM125" s="1">
        <v>152263</v>
      </c>
      <c r="AN125" s="1">
        <v>139512</v>
      </c>
      <c r="AO125" s="1">
        <v>156031</v>
      </c>
      <c r="AP125" s="1">
        <v>152661</v>
      </c>
      <c r="AQ125" s="1">
        <v>160750</v>
      </c>
      <c r="AR125" s="1">
        <v>159498</v>
      </c>
      <c r="AS125" s="1">
        <v>168510</v>
      </c>
      <c r="AT125" s="1">
        <v>172304</v>
      </c>
      <c r="AU125" s="1">
        <v>169875</v>
      </c>
      <c r="AV125" s="1">
        <v>178528</v>
      </c>
      <c r="AW125" s="1">
        <v>176716</v>
      </c>
      <c r="AX125" s="1">
        <v>185825</v>
      </c>
      <c r="AY125" s="1"/>
      <c r="BA125" s="21">
        <f>SUM(C125:N125)</f>
        <v>1271642</v>
      </c>
      <c r="BB125" s="22">
        <f t="shared" ref="BB125:BB127" si="102">+BA125/12</f>
        <v>105970.16666666667</v>
      </c>
      <c r="BD125" s="7">
        <f>SUM(O125:Z125)</f>
        <v>1518380</v>
      </c>
      <c r="BE125" s="7">
        <f t="shared" ref="BE125:BE127" si="103">+BD125-BA125</f>
        <v>246738</v>
      </c>
      <c r="BF125" s="8">
        <f t="shared" ref="BF125:BF127" si="104">(BD125/BA125)-1</f>
        <v>0.19403102445499587</v>
      </c>
      <c r="BG125" s="7">
        <f t="shared" ref="BG125:BG127" si="105">BD125/12</f>
        <v>126531.66666666667</v>
      </c>
      <c r="BI125" s="12">
        <f>+SUM(AA125:AL125)</f>
        <v>1669632</v>
      </c>
      <c r="BJ125" s="12">
        <f t="shared" ref="BJ125:BJ127" si="106">+BI125-BD125</f>
        <v>151252</v>
      </c>
      <c r="BK125" s="13">
        <f t="shared" ref="BK125:BK127" si="107">(BI125/BD125)-1</f>
        <v>9.9614062355932065E-2</v>
      </c>
      <c r="BL125" s="24">
        <f>SUM(AA125:AH125)/8</f>
        <v>137354.375</v>
      </c>
      <c r="BM125" s="24">
        <f>SUM(AI125:AL125)/4</f>
        <v>142699.25</v>
      </c>
      <c r="BO125" s="17">
        <f>+SUM(AM125:AX125)</f>
        <v>1972473</v>
      </c>
      <c r="BP125" s="17">
        <f t="shared" ref="BP125:BP127" si="108">+BO125-BI125</f>
        <v>302841</v>
      </c>
      <c r="BQ125" s="18">
        <f t="shared" ref="BQ125:BQ127" si="109">(BO125/BI125)-1</f>
        <v>0.1813818853495861</v>
      </c>
      <c r="BR125" s="25">
        <f t="shared" ref="BR125:BR127" si="110">BO125/12</f>
        <v>164372.75</v>
      </c>
    </row>
    <row r="126" spans="1:70">
      <c r="A126" t="s">
        <v>178</v>
      </c>
      <c r="B126">
        <v>110405</v>
      </c>
      <c r="C126" s="1">
        <v>7317</v>
      </c>
      <c r="D126" s="1">
        <v>6538</v>
      </c>
      <c r="E126" s="1">
        <v>7159</v>
      </c>
      <c r="F126" s="1">
        <v>6857</v>
      </c>
      <c r="G126" s="1">
        <v>6878</v>
      </c>
      <c r="H126" s="1">
        <v>6506</v>
      </c>
      <c r="I126" s="1">
        <v>6926</v>
      </c>
      <c r="J126" s="1">
        <v>6986</v>
      </c>
      <c r="K126" s="1">
        <v>6135</v>
      </c>
      <c r="L126" s="1">
        <v>7280</v>
      </c>
      <c r="M126" s="1">
        <v>6956</v>
      </c>
      <c r="N126" s="1">
        <v>8321</v>
      </c>
      <c r="O126" s="1">
        <v>9608</v>
      </c>
      <c r="P126" s="1">
        <v>8391</v>
      </c>
      <c r="Q126" s="1">
        <v>8530</v>
      </c>
      <c r="R126" s="1">
        <v>8108</v>
      </c>
      <c r="S126" s="1">
        <v>9225</v>
      </c>
      <c r="T126" s="1">
        <v>12633</v>
      </c>
      <c r="U126" s="1">
        <v>9426</v>
      </c>
      <c r="V126" s="1">
        <v>9208</v>
      </c>
      <c r="W126" s="1">
        <v>7003</v>
      </c>
      <c r="X126" s="1">
        <v>8082</v>
      </c>
      <c r="Y126" s="1">
        <v>7779</v>
      </c>
      <c r="Z126" s="1">
        <v>8029</v>
      </c>
      <c r="AA126" s="1">
        <v>8060</v>
      </c>
      <c r="AB126" s="1">
        <v>6985</v>
      </c>
      <c r="AC126" s="1">
        <v>7681</v>
      </c>
      <c r="AD126" s="1">
        <v>7380</v>
      </c>
      <c r="AE126" s="1">
        <v>7575</v>
      </c>
      <c r="AF126" s="1">
        <v>7292</v>
      </c>
      <c r="AG126" s="1">
        <v>11644</v>
      </c>
      <c r="AH126" s="1">
        <v>7738</v>
      </c>
      <c r="AI126" s="1">
        <v>7514</v>
      </c>
      <c r="AJ126" s="1">
        <v>7898</v>
      </c>
      <c r="AK126" s="1">
        <v>7839</v>
      </c>
      <c r="AL126" s="1">
        <v>8300</v>
      </c>
      <c r="AM126" s="1">
        <v>8473</v>
      </c>
      <c r="AN126" s="1">
        <v>7774</v>
      </c>
      <c r="AO126" s="1">
        <v>8703</v>
      </c>
      <c r="AP126" s="1">
        <v>8523</v>
      </c>
      <c r="AQ126" s="1">
        <v>8988</v>
      </c>
      <c r="AR126" s="1">
        <v>8936</v>
      </c>
      <c r="AS126" s="1">
        <v>9457</v>
      </c>
      <c r="AT126" s="1">
        <v>9686</v>
      </c>
      <c r="AU126" s="1">
        <v>9563</v>
      </c>
      <c r="AV126" s="1">
        <v>10061</v>
      </c>
      <c r="AW126" s="1">
        <v>9975</v>
      </c>
      <c r="AX126" s="1">
        <v>10500</v>
      </c>
      <c r="AY126" s="1"/>
      <c r="BA126" s="21">
        <f>SUM(C126:N126)</f>
        <v>83859</v>
      </c>
      <c r="BB126" s="22">
        <f t="shared" si="102"/>
        <v>6988.25</v>
      </c>
      <c r="BD126" s="7">
        <f>SUM(O126:Z126)</f>
        <v>106022</v>
      </c>
      <c r="BE126" s="7">
        <f t="shared" si="103"/>
        <v>22163</v>
      </c>
      <c r="BF126" s="8">
        <f t="shared" si="104"/>
        <v>0.26428886583431721</v>
      </c>
      <c r="BG126" s="7">
        <f t="shared" si="105"/>
        <v>8835.1666666666661</v>
      </c>
      <c r="BI126" s="12">
        <f>+SUM(AA126:AL126)</f>
        <v>95906</v>
      </c>
      <c r="BJ126" s="12">
        <f t="shared" si="106"/>
        <v>-10116</v>
      </c>
      <c r="BK126" s="13">
        <f t="shared" si="107"/>
        <v>-9.5414159325423076E-2</v>
      </c>
      <c r="BL126" s="24">
        <f>SUM(AA126:AH126)/8</f>
        <v>8044.375</v>
      </c>
      <c r="BM126" s="24">
        <f>SUM(AI126:AL126)/4</f>
        <v>7887.75</v>
      </c>
      <c r="BO126" s="17">
        <f>+SUM(AM126:AX126)</f>
        <v>110639</v>
      </c>
      <c r="BP126" s="17">
        <f t="shared" si="108"/>
        <v>14733</v>
      </c>
      <c r="BQ126" s="18">
        <f t="shared" si="109"/>
        <v>0.15361916876942017</v>
      </c>
      <c r="BR126" s="25">
        <f t="shared" si="110"/>
        <v>9219.9166666666661</v>
      </c>
    </row>
    <row r="127" spans="1:70">
      <c r="A127" t="s">
        <v>179</v>
      </c>
      <c r="B127">
        <v>110410</v>
      </c>
      <c r="C127" s="1">
        <v>161474</v>
      </c>
      <c r="D127" s="1">
        <v>152778</v>
      </c>
      <c r="E127" s="1">
        <v>178692</v>
      </c>
      <c r="F127" s="1">
        <v>184042</v>
      </c>
      <c r="G127" s="1">
        <v>203673</v>
      </c>
      <c r="H127" s="1">
        <v>207895</v>
      </c>
      <c r="I127" s="1">
        <v>225250</v>
      </c>
      <c r="J127" s="1">
        <v>235439</v>
      </c>
      <c r="K127" s="1">
        <v>236388</v>
      </c>
      <c r="L127" s="1">
        <v>256834</v>
      </c>
      <c r="M127" s="1">
        <v>262983</v>
      </c>
      <c r="N127" s="1">
        <v>286145</v>
      </c>
      <c r="O127" s="1">
        <v>294140</v>
      </c>
      <c r="P127" s="1">
        <v>282248</v>
      </c>
      <c r="Q127" s="1">
        <v>310466</v>
      </c>
      <c r="R127" s="1">
        <v>306869</v>
      </c>
      <c r="S127" s="1">
        <v>324516</v>
      </c>
      <c r="T127" s="1">
        <v>323630</v>
      </c>
      <c r="U127" s="1">
        <v>349446</v>
      </c>
      <c r="V127" s="1">
        <v>358493</v>
      </c>
      <c r="W127" s="1">
        <v>361435</v>
      </c>
      <c r="X127" s="1">
        <v>380452</v>
      </c>
      <c r="Y127" s="1">
        <v>372934</v>
      </c>
      <c r="Z127" s="1">
        <v>395853</v>
      </c>
      <c r="AA127" s="1">
        <v>400773</v>
      </c>
      <c r="AB127" s="1">
        <v>368561</v>
      </c>
      <c r="AC127" s="1">
        <v>413953</v>
      </c>
      <c r="AD127" s="1">
        <v>407846</v>
      </c>
      <c r="AE127" s="1">
        <v>430419</v>
      </c>
      <c r="AF127" s="1">
        <v>423521</v>
      </c>
      <c r="AG127" s="1">
        <v>439654</v>
      </c>
      <c r="AH127" s="1">
        <v>438626</v>
      </c>
      <c r="AI127" s="1">
        <v>429359</v>
      </c>
      <c r="AJ127" s="1">
        <v>447984</v>
      </c>
      <c r="AK127" s="1">
        <v>436793</v>
      </c>
      <c r="AL127" s="1">
        <v>454681</v>
      </c>
      <c r="AM127" s="1">
        <v>458547</v>
      </c>
      <c r="AN127" s="1">
        <v>416631</v>
      </c>
      <c r="AO127" s="1">
        <v>462778</v>
      </c>
      <c r="AP127" s="1">
        <v>449695</v>
      </c>
      <c r="AQ127" s="1">
        <v>469662</v>
      </c>
      <c r="AR127" s="1">
        <v>461788</v>
      </c>
      <c r="AS127" s="1">
        <v>483871</v>
      </c>
      <c r="AT127" s="1">
        <v>490848</v>
      </c>
      <c r="AU127" s="1">
        <v>480526</v>
      </c>
      <c r="AV127" s="1">
        <v>501721</v>
      </c>
      <c r="AW127" s="1">
        <v>493077</v>
      </c>
      <c r="AX127" s="1">
        <v>515323</v>
      </c>
      <c r="AY127" s="1"/>
      <c r="BA127" s="21">
        <f>SUM(C127:N127)</f>
        <v>2591593</v>
      </c>
      <c r="BB127" s="22">
        <f t="shared" si="102"/>
        <v>215966.08333333334</v>
      </c>
      <c r="BD127" s="7">
        <f>SUM(O127:Z127)</f>
        <v>4060482</v>
      </c>
      <c r="BE127" s="7">
        <f t="shared" si="103"/>
        <v>1468889</v>
      </c>
      <c r="BF127" s="8">
        <f t="shared" si="104"/>
        <v>0.56679000136209656</v>
      </c>
      <c r="BG127" s="7">
        <f t="shared" si="105"/>
        <v>338373.5</v>
      </c>
      <c r="BI127" s="12">
        <f>+SUM(AA127:AL127)</f>
        <v>5092170</v>
      </c>
      <c r="BJ127" s="12">
        <f t="shared" si="106"/>
        <v>1031688</v>
      </c>
      <c r="BK127" s="13">
        <f t="shared" si="107"/>
        <v>0.25408018062880222</v>
      </c>
      <c r="BL127" s="24">
        <f>SUM(AA127:AH127)/8</f>
        <v>415419.125</v>
      </c>
      <c r="BM127" s="24">
        <f>SUM(AI127:AL127)/4</f>
        <v>442204.25</v>
      </c>
      <c r="BO127" s="17">
        <f>+SUM(AM127:AX127)</f>
        <v>5684467</v>
      </c>
      <c r="BP127" s="17">
        <f t="shared" si="108"/>
        <v>592297</v>
      </c>
      <c r="BQ127" s="18">
        <f t="shared" si="109"/>
        <v>0.11631524477776667</v>
      </c>
      <c r="BR127" s="25">
        <f t="shared" si="110"/>
        <v>473705.58333333331</v>
      </c>
    </row>
    <row r="128" spans="1:70">
      <c r="A128" t="s">
        <v>11</v>
      </c>
      <c r="B128" t="s">
        <v>12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BA128" s="21"/>
      <c r="BB128" s="22"/>
      <c r="BD128" s="7"/>
      <c r="BE128" s="7"/>
      <c r="BF128" s="8"/>
      <c r="BG128" s="7"/>
      <c r="BI128" s="12"/>
      <c r="BJ128" s="12"/>
      <c r="BK128" s="13"/>
      <c r="BL128" s="24"/>
      <c r="BM128" s="24"/>
      <c r="BO128" s="17"/>
      <c r="BP128" s="17"/>
      <c r="BQ128" s="18"/>
      <c r="BR128" s="25"/>
    </row>
    <row r="129" spans="1:70">
      <c r="A129" t="s">
        <v>583</v>
      </c>
      <c r="C129" s="1">
        <v>268155</v>
      </c>
      <c r="D129" s="1">
        <v>249990</v>
      </c>
      <c r="E129" s="1">
        <v>286657</v>
      </c>
      <c r="F129" s="1">
        <v>289298</v>
      </c>
      <c r="G129" s="1">
        <v>313648</v>
      </c>
      <c r="H129" s="1">
        <v>317593</v>
      </c>
      <c r="I129" s="1">
        <v>340913</v>
      </c>
      <c r="J129" s="1">
        <v>354869</v>
      </c>
      <c r="K129" s="1">
        <v>351794</v>
      </c>
      <c r="L129" s="1">
        <v>377552</v>
      </c>
      <c r="M129" s="1">
        <v>383086</v>
      </c>
      <c r="N129" s="1">
        <v>413539</v>
      </c>
      <c r="O129" s="1">
        <v>425887</v>
      </c>
      <c r="P129" s="1">
        <v>404974</v>
      </c>
      <c r="Q129" s="1">
        <v>440806</v>
      </c>
      <c r="R129" s="1">
        <v>434370</v>
      </c>
      <c r="S129" s="1">
        <v>461193</v>
      </c>
      <c r="T129" s="1">
        <v>459552</v>
      </c>
      <c r="U129" s="1">
        <v>486965</v>
      </c>
      <c r="V129" s="1">
        <v>497632</v>
      </c>
      <c r="W129" s="1">
        <v>496609</v>
      </c>
      <c r="X129" s="1">
        <v>524972</v>
      </c>
      <c r="Y129" s="1">
        <v>512373</v>
      </c>
      <c r="Z129" s="1">
        <v>539553</v>
      </c>
      <c r="AA129" s="1">
        <v>547668</v>
      </c>
      <c r="AB129" s="1">
        <v>501121</v>
      </c>
      <c r="AC129" s="1">
        <v>559944</v>
      </c>
      <c r="AD129" s="1">
        <v>549773</v>
      </c>
      <c r="AE129" s="1">
        <v>578354</v>
      </c>
      <c r="AF129" s="1">
        <v>568154</v>
      </c>
      <c r="AG129" s="1">
        <v>591609</v>
      </c>
      <c r="AH129" s="1">
        <v>589921</v>
      </c>
      <c r="AI129" s="1">
        <v>573530</v>
      </c>
      <c r="AJ129" s="1">
        <v>599060</v>
      </c>
      <c r="AK129" s="1">
        <v>586148</v>
      </c>
      <c r="AL129" s="1">
        <v>612426</v>
      </c>
      <c r="AM129" s="1">
        <v>619283</v>
      </c>
      <c r="AN129" s="1">
        <v>563918</v>
      </c>
      <c r="AO129" s="1">
        <v>627512</v>
      </c>
      <c r="AP129" s="1">
        <v>610878</v>
      </c>
      <c r="AQ129" s="1">
        <v>639401</v>
      </c>
      <c r="AR129" s="1">
        <v>630223</v>
      </c>
      <c r="AS129" s="1">
        <v>661838</v>
      </c>
      <c r="AT129" s="1">
        <v>672839</v>
      </c>
      <c r="AU129" s="1">
        <v>659964</v>
      </c>
      <c r="AV129" s="1">
        <v>690311</v>
      </c>
      <c r="AW129" s="1">
        <v>679768</v>
      </c>
      <c r="AX129" s="1">
        <v>711649</v>
      </c>
      <c r="AY129" s="1"/>
      <c r="BA129" s="21">
        <f>SUM(C129:N129)</f>
        <v>3947094</v>
      </c>
      <c r="BB129" s="22">
        <f>+BA129/12</f>
        <v>328924.5</v>
      </c>
      <c r="BD129" s="7">
        <f>SUM(O129:Z129)</f>
        <v>5684886</v>
      </c>
      <c r="BE129" s="7">
        <f>+BD129-BA129</f>
        <v>1737792</v>
      </c>
      <c r="BF129" s="8">
        <f>(BD129/BA129)-1</f>
        <v>0.4402712476571371</v>
      </c>
      <c r="BG129" s="7">
        <f>BD129/12</f>
        <v>473740.5</v>
      </c>
      <c r="BI129" s="12">
        <f>+SUM(AA129:AL129)</f>
        <v>6857708</v>
      </c>
      <c r="BJ129" s="12">
        <f>+BI129-BD129</f>
        <v>1172822</v>
      </c>
      <c r="BK129" s="13">
        <f>(BI129/BD129)-1</f>
        <v>0.20630528035214768</v>
      </c>
      <c r="BL129" s="24">
        <f>SUM(AA129:AH129)/8</f>
        <v>560818</v>
      </c>
      <c r="BM129" s="24">
        <f>SUM(AI129:AL129)/4</f>
        <v>592791</v>
      </c>
      <c r="BO129" s="17">
        <f>+SUM(AM129:AX129)</f>
        <v>7767584</v>
      </c>
      <c r="BP129" s="17">
        <f>+BO129-BI129</f>
        <v>909876</v>
      </c>
      <c r="BQ129" s="18">
        <f>(BO129/BI129)-1</f>
        <v>0.13267931501312091</v>
      </c>
      <c r="BR129" s="25">
        <f>BO129/12</f>
        <v>647298.66666666663</v>
      </c>
    </row>
    <row r="130" spans="1:70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BA130" s="21"/>
      <c r="BB130" s="22"/>
      <c r="BD130" s="7"/>
      <c r="BE130" s="7"/>
      <c r="BF130" s="8"/>
      <c r="BG130" s="7"/>
      <c r="BI130" s="12"/>
      <c r="BJ130" s="12"/>
      <c r="BK130" s="13"/>
      <c r="BL130" s="24"/>
      <c r="BM130" s="24"/>
      <c r="BO130" s="17"/>
      <c r="BP130" s="17"/>
      <c r="BQ130" s="18"/>
      <c r="BR130" s="25"/>
    </row>
    <row r="131" spans="1:70">
      <c r="A131" t="s">
        <v>184</v>
      </c>
      <c r="B131">
        <v>110421</v>
      </c>
      <c r="C131" s="1">
        <v>151</v>
      </c>
      <c r="D131" s="1">
        <v>111</v>
      </c>
      <c r="E131" s="1">
        <v>104</v>
      </c>
      <c r="F131" s="1">
        <v>41</v>
      </c>
      <c r="G131" s="1">
        <v>0</v>
      </c>
      <c r="H131" s="1">
        <v>0</v>
      </c>
      <c r="I131" s="1">
        <v>27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/>
      <c r="BA131" s="21">
        <f>SUM(C131:N131)</f>
        <v>434</v>
      </c>
      <c r="BB131" s="22">
        <f t="shared" ref="BB131:BB134" si="111">+BA131/12</f>
        <v>36.166666666666664</v>
      </c>
      <c r="BD131" s="7">
        <f>SUM(O131:Z131)</f>
        <v>0</v>
      </c>
      <c r="BE131" s="7">
        <f t="shared" ref="BE131:BE134" si="112">+BD131-BA131</f>
        <v>-434</v>
      </c>
      <c r="BF131" s="8">
        <f t="shared" ref="BF131:BF134" si="113">(BD131/BA131)-1</f>
        <v>-1</v>
      </c>
      <c r="BG131" s="7">
        <f t="shared" ref="BG131:BG134" si="114">BD131/12</f>
        <v>0</v>
      </c>
      <c r="BI131" s="12">
        <f>+SUM(AA131:AL131)</f>
        <v>0</v>
      </c>
      <c r="BJ131" s="12">
        <f t="shared" ref="BJ131:BJ134" si="115">+BI131-BD131</f>
        <v>0</v>
      </c>
      <c r="BK131" s="13" t="e">
        <f t="shared" ref="BK131:BK134" si="116">(BI131/BD131)-1</f>
        <v>#DIV/0!</v>
      </c>
      <c r="BL131" s="24">
        <f>SUM(AA131:AH131)/8</f>
        <v>0</v>
      </c>
      <c r="BM131" s="24">
        <f>SUM(AI131:AL131)/4</f>
        <v>0</v>
      </c>
      <c r="BO131" s="17">
        <f>+SUM(AM131:AX131)</f>
        <v>0</v>
      </c>
      <c r="BP131" s="17">
        <f t="shared" ref="BP131:BP134" si="117">+BO131-BI131</f>
        <v>0</v>
      </c>
      <c r="BQ131" s="18" t="e">
        <f t="shared" ref="BQ131:BQ134" si="118">(BO131/BI131)-1</f>
        <v>#DIV/0!</v>
      </c>
      <c r="BR131" s="25">
        <f t="shared" ref="BR131:BR134" si="119">BO131/12</f>
        <v>0</v>
      </c>
    </row>
    <row r="132" spans="1:70">
      <c r="A132" t="s">
        <v>185</v>
      </c>
      <c r="B132">
        <v>110422</v>
      </c>
      <c r="C132" s="1">
        <v>26</v>
      </c>
      <c r="D132" s="1">
        <v>20</v>
      </c>
      <c r="E132" s="1">
        <v>19</v>
      </c>
      <c r="F132" s="1">
        <v>6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/>
      <c r="BA132" s="21">
        <f>SUM(C132:N132)</f>
        <v>71</v>
      </c>
      <c r="BB132" s="22">
        <f t="shared" si="111"/>
        <v>5.916666666666667</v>
      </c>
      <c r="BD132" s="7">
        <f>SUM(O132:Z132)</f>
        <v>0</v>
      </c>
      <c r="BE132" s="7">
        <f t="shared" si="112"/>
        <v>-71</v>
      </c>
      <c r="BF132" s="8">
        <f t="shared" si="113"/>
        <v>-1</v>
      </c>
      <c r="BG132" s="7">
        <f t="shared" si="114"/>
        <v>0</v>
      </c>
      <c r="BI132" s="12">
        <f>+SUM(AA132:AL132)</f>
        <v>0</v>
      </c>
      <c r="BJ132" s="12">
        <f t="shared" si="115"/>
        <v>0</v>
      </c>
      <c r="BK132" s="13" t="e">
        <f t="shared" si="116"/>
        <v>#DIV/0!</v>
      </c>
      <c r="BL132" s="24">
        <f>SUM(AA132:AH132)/8</f>
        <v>0</v>
      </c>
      <c r="BM132" s="24">
        <f>SUM(AI132:AL132)/4</f>
        <v>0</v>
      </c>
      <c r="BO132" s="17">
        <f>+SUM(AM132:AX132)</f>
        <v>0</v>
      </c>
      <c r="BP132" s="17">
        <f t="shared" si="117"/>
        <v>0</v>
      </c>
      <c r="BQ132" s="18" t="e">
        <f t="shared" si="118"/>
        <v>#DIV/0!</v>
      </c>
      <c r="BR132" s="25">
        <f t="shared" si="119"/>
        <v>0</v>
      </c>
    </row>
    <row r="133" spans="1:70">
      <c r="A133" t="s">
        <v>186</v>
      </c>
      <c r="B133">
        <v>110415</v>
      </c>
      <c r="C133" s="1">
        <v>6650</v>
      </c>
      <c r="D133" s="1">
        <v>5958</v>
      </c>
      <c r="E133" s="1">
        <v>6209</v>
      </c>
      <c r="F133" s="1">
        <v>6067</v>
      </c>
      <c r="G133" s="1">
        <v>6006</v>
      </c>
      <c r="H133" s="1">
        <v>5447</v>
      </c>
      <c r="I133" s="1">
        <v>5617</v>
      </c>
      <c r="J133" s="1">
        <v>5384</v>
      </c>
      <c r="K133" s="1">
        <v>4897</v>
      </c>
      <c r="L133" s="1">
        <v>4991</v>
      </c>
      <c r="M133" s="1">
        <v>4649</v>
      </c>
      <c r="N133" s="1">
        <v>4710</v>
      </c>
      <c r="O133" s="1">
        <v>4599</v>
      </c>
      <c r="P133" s="1">
        <v>4014</v>
      </c>
      <c r="Q133" s="1">
        <v>3975</v>
      </c>
      <c r="R133" s="1">
        <v>3585</v>
      </c>
      <c r="S133" s="1">
        <v>3591</v>
      </c>
      <c r="T133" s="1">
        <v>3398</v>
      </c>
      <c r="U133" s="1">
        <v>3313</v>
      </c>
      <c r="V133" s="1">
        <v>3196</v>
      </c>
      <c r="W133" s="1">
        <v>3014</v>
      </c>
      <c r="X133" s="1">
        <v>2809</v>
      </c>
      <c r="Y133" s="1">
        <v>2640</v>
      </c>
      <c r="Z133" s="1">
        <v>2331</v>
      </c>
      <c r="AA133" s="1">
        <v>2031</v>
      </c>
      <c r="AB133" s="1">
        <v>1601</v>
      </c>
      <c r="AC133" s="1">
        <v>1614</v>
      </c>
      <c r="AD133" s="1">
        <v>1481</v>
      </c>
      <c r="AE133" s="1">
        <v>1473</v>
      </c>
      <c r="AF133" s="1">
        <v>1369</v>
      </c>
      <c r="AG133" s="1">
        <v>1360</v>
      </c>
      <c r="AH133" s="1">
        <v>1295</v>
      </c>
      <c r="AI133" s="1">
        <v>1181</v>
      </c>
      <c r="AJ133" s="1">
        <v>1196</v>
      </c>
      <c r="AK133" s="1">
        <v>1141</v>
      </c>
      <c r="AL133" s="1">
        <v>1192</v>
      </c>
      <c r="AM133" s="1">
        <v>1160</v>
      </c>
      <c r="AN133" s="1">
        <v>1014</v>
      </c>
      <c r="AO133" s="1">
        <v>1124</v>
      </c>
      <c r="AP133" s="1">
        <v>1100</v>
      </c>
      <c r="AQ133" s="1">
        <v>1161</v>
      </c>
      <c r="AR133" s="1">
        <v>1138</v>
      </c>
      <c r="AS133" s="1">
        <v>1170</v>
      </c>
      <c r="AT133" s="1">
        <v>1177</v>
      </c>
      <c r="AU133" s="1">
        <v>1146</v>
      </c>
      <c r="AV133" s="1">
        <v>1164</v>
      </c>
      <c r="AW133" s="1">
        <v>1111</v>
      </c>
      <c r="AX133" s="1">
        <v>1143</v>
      </c>
      <c r="AY133" s="1"/>
      <c r="BA133" s="21">
        <f>SUM(C133:N133)</f>
        <v>66585</v>
      </c>
      <c r="BB133" s="22">
        <f t="shared" si="111"/>
        <v>5548.75</v>
      </c>
      <c r="BD133" s="7">
        <f>SUM(O133:Z133)</f>
        <v>40465</v>
      </c>
      <c r="BE133" s="7">
        <f t="shared" si="112"/>
        <v>-26120</v>
      </c>
      <c r="BF133" s="8">
        <f t="shared" si="113"/>
        <v>-0.39228054366599086</v>
      </c>
      <c r="BG133" s="7">
        <f t="shared" si="114"/>
        <v>3372.0833333333335</v>
      </c>
      <c r="BI133" s="12">
        <f>+SUM(AA133:AL133)</f>
        <v>16934</v>
      </c>
      <c r="BJ133" s="12">
        <f t="shared" si="115"/>
        <v>-23531</v>
      </c>
      <c r="BK133" s="13">
        <f t="shared" si="116"/>
        <v>-0.5815148894106017</v>
      </c>
      <c r="BL133" s="24">
        <f>SUM(AA133:AH133)/8</f>
        <v>1528</v>
      </c>
      <c r="BM133" s="24">
        <f>SUM(AI133:AL133)/4</f>
        <v>1177.5</v>
      </c>
      <c r="BO133" s="17">
        <f>+SUM(AM133:AX133)</f>
        <v>13608</v>
      </c>
      <c r="BP133" s="17">
        <f t="shared" si="117"/>
        <v>-3326</v>
      </c>
      <c r="BQ133" s="18">
        <f t="shared" si="118"/>
        <v>-0.19640959017361526</v>
      </c>
      <c r="BR133" s="25">
        <f t="shared" si="119"/>
        <v>1134</v>
      </c>
    </row>
    <row r="134" spans="1:70">
      <c r="A134" t="s">
        <v>187</v>
      </c>
      <c r="B134">
        <v>110420</v>
      </c>
      <c r="C134" s="1">
        <v>460724</v>
      </c>
      <c r="D134" s="1">
        <v>423383</v>
      </c>
      <c r="E134" s="1">
        <v>474379</v>
      </c>
      <c r="F134" s="1">
        <v>495689</v>
      </c>
      <c r="G134" s="1">
        <v>518478</v>
      </c>
      <c r="H134" s="1">
        <v>505575</v>
      </c>
      <c r="I134" s="1">
        <v>542386</v>
      </c>
      <c r="J134" s="1">
        <v>548845</v>
      </c>
      <c r="K134" s="1">
        <v>534449</v>
      </c>
      <c r="L134" s="1">
        <v>574822</v>
      </c>
      <c r="M134" s="1">
        <v>556699</v>
      </c>
      <c r="N134" s="1">
        <v>570640</v>
      </c>
      <c r="O134" s="1">
        <v>568393</v>
      </c>
      <c r="P134" s="1">
        <v>542101</v>
      </c>
      <c r="Q134" s="1">
        <v>573874</v>
      </c>
      <c r="R134" s="1">
        <v>561151</v>
      </c>
      <c r="S134" s="1">
        <v>582415</v>
      </c>
      <c r="T134" s="1">
        <v>563404</v>
      </c>
      <c r="U134" s="1">
        <v>582793</v>
      </c>
      <c r="V134" s="1">
        <v>595213</v>
      </c>
      <c r="W134" s="1">
        <v>568729</v>
      </c>
      <c r="X134" s="1">
        <v>554160</v>
      </c>
      <c r="Y134" s="1">
        <v>541328</v>
      </c>
      <c r="Z134" s="1">
        <v>555226</v>
      </c>
      <c r="AA134" s="1">
        <v>519602</v>
      </c>
      <c r="AB134" s="1">
        <v>471288</v>
      </c>
      <c r="AC134" s="1">
        <v>521126</v>
      </c>
      <c r="AD134" s="1">
        <v>507182</v>
      </c>
      <c r="AE134" s="1">
        <v>533561</v>
      </c>
      <c r="AF134" s="1">
        <v>525414</v>
      </c>
      <c r="AG134" s="1">
        <v>538903</v>
      </c>
      <c r="AH134" s="1">
        <v>552199</v>
      </c>
      <c r="AI134" s="1">
        <v>533183</v>
      </c>
      <c r="AJ134" s="1">
        <v>586202</v>
      </c>
      <c r="AK134" s="1">
        <v>601476</v>
      </c>
      <c r="AL134" s="1">
        <v>627686</v>
      </c>
      <c r="AM134" s="1">
        <v>625914</v>
      </c>
      <c r="AN134" s="1">
        <v>559196</v>
      </c>
      <c r="AO134" s="1">
        <v>619228</v>
      </c>
      <c r="AP134" s="1">
        <v>601641</v>
      </c>
      <c r="AQ134" s="1">
        <v>628424</v>
      </c>
      <c r="AR134" s="1">
        <v>617410</v>
      </c>
      <c r="AS134" s="1">
        <v>641848</v>
      </c>
      <c r="AT134" s="1">
        <v>649362</v>
      </c>
      <c r="AU134" s="1">
        <v>637511</v>
      </c>
      <c r="AV134" s="1">
        <v>660343</v>
      </c>
      <c r="AW134" s="1">
        <v>635449</v>
      </c>
      <c r="AX134" s="1">
        <v>652293</v>
      </c>
      <c r="AY134" s="1"/>
      <c r="BA134" s="21">
        <f>SUM(C134:N134)</f>
        <v>6206069</v>
      </c>
      <c r="BB134" s="22">
        <f t="shared" si="111"/>
        <v>517172.41666666669</v>
      </c>
      <c r="BD134" s="7">
        <f>SUM(O134:Z134)</f>
        <v>6788787</v>
      </c>
      <c r="BE134" s="7">
        <f t="shared" si="112"/>
        <v>582718</v>
      </c>
      <c r="BF134" s="8">
        <f t="shared" si="113"/>
        <v>9.3894863237904636E-2</v>
      </c>
      <c r="BG134" s="7">
        <f t="shared" si="114"/>
        <v>565732.25</v>
      </c>
      <c r="BI134" s="12">
        <f>+SUM(AA134:AL134)</f>
        <v>6517822</v>
      </c>
      <c r="BJ134" s="12">
        <f t="shared" si="115"/>
        <v>-270965</v>
      </c>
      <c r="BK134" s="13">
        <f t="shared" si="116"/>
        <v>-3.9913610487411044E-2</v>
      </c>
      <c r="BL134" s="24">
        <f>SUM(AA134:AH134)/8</f>
        <v>521159.375</v>
      </c>
      <c r="BM134" s="24">
        <f>SUM(AI134:AL134)/4</f>
        <v>587136.75</v>
      </c>
      <c r="BO134" s="17">
        <f>+SUM(AM134:AX134)</f>
        <v>7528619</v>
      </c>
      <c r="BP134" s="17">
        <f t="shared" si="117"/>
        <v>1010797</v>
      </c>
      <c r="BQ134" s="18">
        <f t="shared" si="118"/>
        <v>0.15508201972990365</v>
      </c>
      <c r="BR134" s="25">
        <f t="shared" si="119"/>
        <v>627384.91666666663</v>
      </c>
    </row>
    <row r="135" spans="1:70">
      <c r="A135" t="s">
        <v>11</v>
      </c>
      <c r="B135" t="s">
        <v>12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70">
      <c r="A136" t="s">
        <v>584</v>
      </c>
      <c r="C136" s="1">
        <v>467550</v>
      </c>
      <c r="D136" s="1">
        <v>429472</v>
      </c>
      <c r="E136" s="1">
        <v>480711</v>
      </c>
      <c r="F136" s="1">
        <v>501804</v>
      </c>
      <c r="G136" s="1">
        <v>524484</v>
      </c>
      <c r="H136" s="1">
        <v>511023</v>
      </c>
      <c r="I136" s="1">
        <v>548030</v>
      </c>
      <c r="J136" s="1">
        <v>554228</v>
      </c>
      <c r="K136" s="1">
        <v>539347</v>
      </c>
      <c r="L136" s="1">
        <v>579813</v>
      </c>
      <c r="M136" s="1">
        <v>561348</v>
      </c>
      <c r="N136" s="1">
        <v>575350</v>
      </c>
      <c r="O136" s="1">
        <v>572992</v>
      </c>
      <c r="P136" s="1">
        <v>546115</v>
      </c>
      <c r="Q136" s="1">
        <v>577849</v>
      </c>
      <c r="R136" s="1">
        <v>564736</v>
      </c>
      <c r="S136" s="1">
        <v>586006</v>
      </c>
      <c r="T136" s="1">
        <v>566803</v>
      </c>
      <c r="U136" s="1">
        <v>586106</v>
      </c>
      <c r="V136" s="1">
        <v>598410</v>
      </c>
      <c r="W136" s="1">
        <v>571743</v>
      </c>
      <c r="X136" s="1">
        <v>556969</v>
      </c>
      <c r="Y136" s="1">
        <v>543968</v>
      </c>
      <c r="Z136" s="1">
        <v>557556</v>
      </c>
      <c r="AA136" s="1">
        <v>521633</v>
      </c>
      <c r="AB136" s="1">
        <v>472889</v>
      </c>
      <c r="AC136" s="1">
        <v>522740</v>
      </c>
      <c r="AD136" s="1">
        <v>508663</v>
      </c>
      <c r="AE136" s="1">
        <v>535034</v>
      </c>
      <c r="AF136" s="1">
        <v>526784</v>
      </c>
      <c r="AG136" s="1">
        <v>540263</v>
      </c>
      <c r="AH136" s="1">
        <v>553494</v>
      </c>
      <c r="AI136" s="1">
        <v>534363</v>
      </c>
      <c r="AJ136" s="1">
        <v>587398</v>
      </c>
      <c r="AK136" s="1">
        <v>602616</v>
      </c>
      <c r="AL136" s="1">
        <v>628878</v>
      </c>
      <c r="AM136" s="1">
        <v>627075</v>
      </c>
      <c r="AN136" s="1">
        <v>560210</v>
      </c>
      <c r="AO136" s="1">
        <v>620351</v>
      </c>
      <c r="AP136" s="1">
        <v>602741</v>
      </c>
      <c r="AQ136" s="1">
        <v>629585</v>
      </c>
      <c r="AR136" s="1">
        <v>618547</v>
      </c>
      <c r="AS136" s="1">
        <v>643018</v>
      </c>
      <c r="AT136" s="1">
        <v>650540</v>
      </c>
      <c r="AU136" s="1">
        <v>638657</v>
      </c>
      <c r="AV136" s="1">
        <v>661507</v>
      </c>
      <c r="AW136" s="1">
        <v>636560</v>
      </c>
      <c r="AX136" s="1">
        <v>653436</v>
      </c>
      <c r="AY136" s="1"/>
      <c r="BA136" s="21">
        <f>SUM(C136:N136)</f>
        <v>6273160</v>
      </c>
      <c r="BB136" s="22">
        <f>+BA136/12</f>
        <v>522763.33333333331</v>
      </c>
      <c r="BD136" s="7">
        <f>SUM(O136:Z136)</f>
        <v>6829253</v>
      </c>
      <c r="BE136" s="7">
        <f>+BD136-BA136</f>
        <v>556093</v>
      </c>
      <c r="BF136" s="8">
        <f>(BD136/BA136)-1</f>
        <v>8.8646391930063961E-2</v>
      </c>
      <c r="BG136" s="7">
        <f>BD136/12</f>
        <v>569104.41666666663</v>
      </c>
      <c r="BI136" s="12">
        <f>+SUM(AA136:AL136)</f>
        <v>6534755</v>
      </c>
      <c r="BJ136" s="12">
        <f>+BI136-BD136</f>
        <v>-294498</v>
      </c>
      <c r="BK136" s="13">
        <f>(BI136/BD136)-1</f>
        <v>-4.3123017993329626E-2</v>
      </c>
      <c r="BL136" s="24">
        <f>SUM(AA136:AH136)/8</f>
        <v>522687.5</v>
      </c>
      <c r="BM136" s="24">
        <f>SUM(AI136:AL136)/4</f>
        <v>588313.75</v>
      </c>
      <c r="BO136" s="17">
        <f>+SUM(AM136:AX136)</f>
        <v>7542227</v>
      </c>
      <c r="BP136" s="17">
        <f>+BO136-BI136</f>
        <v>1007472</v>
      </c>
      <c r="BQ136" s="18">
        <f>(BO136/BI136)-1</f>
        <v>0.15417134995879733</v>
      </c>
      <c r="BR136" s="25">
        <f>BO136/12</f>
        <v>628518.91666666663</v>
      </c>
    </row>
    <row r="137" spans="1:70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70">
      <c r="A138" t="s">
        <v>189</v>
      </c>
      <c r="B138">
        <v>110440</v>
      </c>
      <c r="C138" s="1">
        <v>12591</v>
      </c>
      <c r="D138" s="1">
        <v>12568</v>
      </c>
      <c r="E138" s="1">
        <v>12530</v>
      </c>
      <c r="F138" s="1">
        <v>12502</v>
      </c>
      <c r="G138" s="1">
        <v>12476</v>
      </c>
      <c r="H138" s="1">
        <v>12443</v>
      </c>
      <c r="I138" s="1">
        <v>12411</v>
      </c>
      <c r="J138" s="1">
        <v>12387</v>
      </c>
      <c r="K138" s="1">
        <v>12352</v>
      </c>
      <c r="L138" s="1">
        <v>12293</v>
      </c>
      <c r="M138" s="1">
        <v>12281</v>
      </c>
      <c r="N138" s="1">
        <v>12253</v>
      </c>
      <c r="O138" s="1">
        <v>12177</v>
      </c>
      <c r="P138" s="1">
        <v>12163</v>
      </c>
      <c r="Q138" s="1">
        <v>12126</v>
      </c>
      <c r="R138" s="1">
        <v>12041</v>
      </c>
      <c r="S138" s="1">
        <v>9836</v>
      </c>
      <c r="T138" s="1">
        <v>11183</v>
      </c>
      <c r="U138" s="1">
        <v>11149</v>
      </c>
      <c r="V138" s="1">
        <v>10126</v>
      </c>
      <c r="W138" s="1">
        <v>10933</v>
      </c>
      <c r="X138" s="1">
        <v>10283</v>
      </c>
      <c r="Y138" s="1">
        <v>10873</v>
      </c>
      <c r="Z138" s="1">
        <v>10014</v>
      </c>
      <c r="AA138" s="1">
        <v>9468</v>
      </c>
      <c r="AB138" s="1">
        <v>9650</v>
      </c>
      <c r="AC138" s="1">
        <v>9621</v>
      </c>
      <c r="AD138" s="1">
        <v>9283</v>
      </c>
      <c r="AE138" s="1">
        <v>9560</v>
      </c>
      <c r="AF138" s="1">
        <v>9829</v>
      </c>
      <c r="AG138" s="1">
        <v>9204</v>
      </c>
      <c r="AH138" s="1">
        <v>9764</v>
      </c>
      <c r="AI138" s="1">
        <v>42905</v>
      </c>
      <c r="AJ138" s="1">
        <v>75823</v>
      </c>
      <c r="AK138" s="1">
        <v>74866</v>
      </c>
      <c r="AL138" s="1">
        <v>73922</v>
      </c>
      <c r="AM138" s="1">
        <v>72989</v>
      </c>
      <c r="AN138" s="1">
        <v>72068</v>
      </c>
      <c r="AO138" s="1">
        <v>71158</v>
      </c>
      <c r="AP138" s="1">
        <v>70261</v>
      </c>
      <c r="AQ138" s="1">
        <v>69374</v>
      </c>
      <c r="AR138" s="1">
        <v>68499</v>
      </c>
      <c r="AS138" s="1">
        <v>67635</v>
      </c>
      <c r="AT138" s="1">
        <v>66782</v>
      </c>
      <c r="AU138" s="1">
        <v>65939</v>
      </c>
      <c r="AV138" s="1">
        <v>65108</v>
      </c>
      <c r="AW138" s="1">
        <v>64286</v>
      </c>
      <c r="AX138" s="1">
        <v>63476</v>
      </c>
      <c r="AY138" s="1"/>
      <c r="BA138" s="21">
        <f>SUM(C138:N138)</f>
        <v>149087</v>
      </c>
      <c r="BB138" s="22">
        <f t="shared" ref="BB138:BB139" si="120">+BA138/12</f>
        <v>12423.916666666666</v>
      </c>
      <c r="BD138" s="7">
        <f>SUM(O138:Z138)</f>
        <v>132904</v>
      </c>
      <c r="BE138" s="7">
        <f t="shared" ref="BE138:BE139" si="121">+BD138-BA138</f>
        <v>-16183</v>
      </c>
      <c r="BF138" s="8">
        <f t="shared" ref="BF138:BF139" si="122">(BD138/BA138)-1</f>
        <v>-0.10854735825390549</v>
      </c>
      <c r="BG138" s="7">
        <f t="shared" ref="BG138:BG139" si="123">BD138/12</f>
        <v>11075.333333333334</v>
      </c>
      <c r="BI138" s="12">
        <f>+SUM(AA138:AL138)</f>
        <v>343895</v>
      </c>
      <c r="BJ138" s="12">
        <f t="shared" ref="BJ138:BJ139" si="124">+BI138-BD138</f>
        <v>210991</v>
      </c>
      <c r="BK138" s="13">
        <f t="shared" ref="BK138:BK139" si="125">(BI138/BD138)-1</f>
        <v>1.5875443929452837</v>
      </c>
      <c r="BL138" s="24">
        <f>SUM(AA138:AH138)/8</f>
        <v>9547.375</v>
      </c>
      <c r="BM138" s="24">
        <f>SUM(AI138:AL138)/4</f>
        <v>66879</v>
      </c>
      <c r="BO138" s="17">
        <f>+SUM(AM138:AX138)</f>
        <v>817575</v>
      </c>
      <c r="BP138" s="17">
        <f t="shared" ref="BP138:BP139" si="126">+BO138-BI138</f>
        <v>473680</v>
      </c>
      <c r="BQ138" s="18">
        <f t="shared" ref="BQ138:BQ139" si="127">(BO138/BI138)-1</f>
        <v>1.3773971706480177</v>
      </c>
      <c r="BR138" s="25">
        <f t="shared" ref="BR138:BR139" si="128">BO138/12</f>
        <v>68131.25</v>
      </c>
    </row>
    <row r="139" spans="1:70">
      <c r="A139" t="s">
        <v>585</v>
      </c>
      <c r="C139" s="1">
        <v>12591</v>
      </c>
      <c r="D139" s="1">
        <v>12568</v>
      </c>
      <c r="E139" s="1">
        <v>12530</v>
      </c>
      <c r="F139" s="1">
        <v>12502</v>
      </c>
      <c r="G139" s="1">
        <v>12476</v>
      </c>
      <c r="H139" s="1">
        <v>12443</v>
      </c>
      <c r="I139" s="1">
        <v>12411</v>
      </c>
      <c r="J139" s="1">
        <v>12387</v>
      </c>
      <c r="K139" s="1">
        <v>12352</v>
      </c>
      <c r="L139" s="1">
        <v>12293</v>
      </c>
      <c r="M139" s="1">
        <v>12281</v>
      </c>
      <c r="N139" s="1">
        <v>12253</v>
      </c>
      <c r="O139" s="1">
        <v>12177</v>
      </c>
      <c r="P139" s="1">
        <v>12163</v>
      </c>
      <c r="Q139" s="1">
        <v>12126</v>
      </c>
      <c r="R139" s="1">
        <v>12041</v>
      </c>
      <c r="S139" s="1">
        <v>9836</v>
      </c>
      <c r="T139" s="1">
        <v>11183</v>
      </c>
      <c r="U139" s="1">
        <v>11149</v>
      </c>
      <c r="V139" s="1">
        <v>10126</v>
      </c>
      <c r="W139" s="1">
        <v>10933</v>
      </c>
      <c r="X139" s="1">
        <v>10283</v>
      </c>
      <c r="Y139" s="1">
        <v>10873</v>
      </c>
      <c r="Z139" s="1">
        <v>10014</v>
      </c>
      <c r="AA139" s="1">
        <v>9468</v>
      </c>
      <c r="AB139" s="1">
        <v>9650</v>
      </c>
      <c r="AC139" s="1">
        <v>9621</v>
      </c>
      <c r="AD139" s="1">
        <v>9283</v>
      </c>
      <c r="AE139" s="1">
        <v>9560</v>
      </c>
      <c r="AF139" s="1">
        <v>9829</v>
      </c>
      <c r="AG139" s="1">
        <v>9204</v>
      </c>
      <c r="AH139" s="1">
        <v>9764</v>
      </c>
      <c r="AI139" s="1">
        <v>42905</v>
      </c>
      <c r="AJ139" s="1">
        <v>75823</v>
      </c>
      <c r="AK139" s="1">
        <v>74866</v>
      </c>
      <c r="AL139" s="1">
        <v>73922</v>
      </c>
      <c r="AM139" s="1">
        <v>72989</v>
      </c>
      <c r="AN139" s="1">
        <v>72068</v>
      </c>
      <c r="AO139" s="1">
        <v>71158</v>
      </c>
      <c r="AP139" s="1">
        <v>70261</v>
      </c>
      <c r="AQ139" s="1">
        <v>69374</v>
      </c>
      <c r="AR139" s="1">
        <v>68499</v>
      </c>
      <c r="AS139" s="1">
        <v>67635</v>
      </c>
      <c r="AT139" s="1">
        <v>66782</v>
      </c>
      <c r="AU139" s="1">
        <v>65939</v>
      </c>
      <c r="AV139" s="1">
        <v>65108</v>
      </c>
      <c r="AW139" s="1">
        <v>64286</v>
      </c>
      <c r="AX139" s="1">
        <v>63476</v>
      </c>
      <c r="AY139" s="1"/>
      <c r="BA139" s="21">
        <f>SUM(C139:N139)</f>
        <v>149087</v>
      </c>
      <c r="BB139" s="22">
        <f t="shared" si="120"/>
        <v>12423.916666666666</v>
      </c>
      <c r="BD139" s="7">
        <f>SUM(O139:Z139)</f>
        <v>132904</v>
      </c>
      <c r="BE139" s="7">
        <f t="shared" si="121"/>
        <v>-16183</v>
      </c>
      <c r="BF139" s="8">
        <f t="shared" si="122"/>
        <v>-0.10854735825390549</v>
      </c>
      <c r="BG139" s="7">
        <f t="shared" si="123"/>
        <v>11075.333333333334</v>
      </c>
      <c r="BI139" s="12">
        <f>+SUM(AA139:AL139)</f>
        <v>343895</v>
      </c>
      <c r="BJ139" s="12">
        <f t="shared" si="124"/>
        <v>210991</v>
      </c>
      <c r="BK139" s="13">
        <f t="shared" si="125"/>
        <v>1.5875443929452837</v>
      </c>
      <c r="BL139" s="24">
        <f>SUM(AA139:AH139)/8</f>
        <v>9547.375</v>
      </c>
      <c r="BM139" s="24">
        <f>SUM(AI139:AL139)/4</f>
        <v>66879</v>
      </c>
      <c r="BO139" s="17">
        <f>+SUM(AM139:AX139)</f>
        <v>817575</v>
      </c>
      <c r="BP139" s="17">
        <f t="shared" si="126"/>
        <v>473680</v>
      </c>
      <c r="BQ139" s="18">
        <f t="shared" si="127"/>
        <v>1.3773971706480177</v>
      </c>
      <c r="BR139" s="25">
        <f t="shared" si="128"/>
        <v>68131.25</v>
      </c>
    </row>
    <row r="140" spans="1:70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70">
      <c r="A141" t="s">
        <v>194</v>
      </c>
      <c r="B141">
        <v>110460</v>
      </c>
      <c r="C141" s="1">
        <v>218376</v>
      </c>
      <c r="D141" s="1">
        <v>223664</v>
      </c>
      <c r="E141" s="1">
        <v>215778</v>
      </c>
      <c r="F141" s="1">
        <v>223580</v>
      </c>
      <c r="G141" s="1">
        <v>196794</v>
      </c>
      <c r="H141" s="1">
        <v>232654</v>
      </c>
      <c r="I141" s="1">
        <v>224185</v>
      </c>
      <c r="J141" s="1">
        <v>214630</v>
      </c>
      <c r="K141" s="1">
        <v>209121</v>
      </c>
      <c r="L141" s="1">
        <v>200466</v>
      </c>
      <c r="M141" s="1">
        <v>225956</v>
      </c>
      <c r="N141" s="1">
        <v>201955</v>
      </c>
      <c r="O141" s="1">
        <v>261523</v>
      </c>
      <c r="P141" s="1">
        <v>229191</v>
      </c>
      <c r="Q141" s="1">
        <v>202130</v>
      </c>
      <c r="R141" s="1">
        <v>176499</v>
      </c>
      <c r="S141" s="1">
        <v>199610</v>
      </c>
      <c r="T141" s="1">
        <v>193576</v>
      </c>
      <c r="U141" s="1">
        <v>152465</v>
      </c>
      <c r="V141" s="1">
        <v>231415</v>
      </c>
      <c r="W141" s="1">
        <v>182655</v>
      </c>
      <c r="X141" s="1">
        <v>181500</v>
      </c>
      <c r="Y141" s="1">
        <v>165137</v>
      </c>
      <c r="Z141" s="1">
        <v>169411</v>
      </c>
      <c r="AA141" s="1">
        <v>182729</v>
      </c>
      <c r="AB141" s="1">
        <v>161064</v>
      </c>
      <c r="AC141" s="1">
        <v>166231</v>
      </c>
      <c r="AD141" s="1">
        <v>159418</v>
      </c>
      <c r="AE141" s="1">
        <v>113937</v>
      </c>
      <c r="AF141" s="1">
        <v>150629</v>
      </c>
      <c r="AG141" s="1">
        <v>150762</v>
      </c>
      <c r="AH141" s="1">
        <v>149413</v>
      </c>
      <c r="AI141" s="1">
        <v>458017</v>
      </c>
      <c r="AJ141" s="1">
        <v>935117</v>
      </c>
      <c r="AK141" s="1">
        <v>1073820</v>
      </c>
      <c r="AL141" s="1">
        <v>1028474</v>
      </c>
      <c r="AM141" s="1">
        <v>987402</v>
      </c>
      <c r="AN141" s="1">
        <v>950368</v>
      </c>
      <c r="AO141" s="1">
        <v>916427</v>
      </c>
      <c r="AP141" s="1">
        <v>885760</v>
      </c>
      <c r="AQ141" s="1">
        <v>858905</v>
      </c>
      <c r="AR141" s="1">
        <v>835789</v>
      </c>
      <c r="AS141" s="1">
        <v>815031</v>
      </c>
      <c r="AT141" s="1">
        <v>796988</v>
      </c>
      <c r="AU141" s="1">
        <v>781898</v>
      </c>
      <c r="AV141" s="1">
        <v>767551</v>
      </c>
      <c r="AW141" s="1">
        <v>753416</v>
      </c>
      <c r="AX141" s="1">
        <v>739988</v>
      </c>
      <c r="AY141" s="1"/>
      <c r="BA141" s="21">
        <f>SUM(C141:N141)</f>
        <v>2587159</v>
      </c>
      <c r="BB141" s="22">
        <f t="shared" ref="BB141:BB142" si="129">+BA141/12</f>
        <v>215596.58333333334</v>
      </c>
      <c r="BD141" s="7">
        <f>SUM(O141:Z141)</f>
        <v>2345112</v>
      </c>
      <c r="BE141" s="7">
        <f t="shared" ref="BE141:BE142" si="130">+BD141-BA141</f>
        <v>-242047</v>
      </c>
      <c r="BF141" s="8">
        <f t="shared" ref="BF141:BF142" si="131">(BD141/BA141)-1</f>
        <v>-9.3557063945432062E-2</v>
      </c>
      <c r="BG141" s="7">
        <f t="shared" ref="BG141:BG142" si="132">BD141/12</f>
        <v>195426</v>
      </c>
      <c r="BI141" s="12">
        <f>+SUM(AA141:AL141)</f>
        <v>4729611</v>
      </c>
      <c r="BJ141" s="12">
        <f t="shared" ref="BJ141:BJ142" si="133">+BI141-BD141</f>
        <v>2384499</v>
      </c>
      <c r="BK141" s="13">
        <f t="shared" ref="BK141:BK142" si="134">(BI141/BD141)-1</f>
        <v>1.0167953598804664</v>
      </c>
      <c r="BL141" s="24">
        <f>SUM(AA141:AH141)/8</f>
        <v>154272.875</v>
      </c>
      <c r="BM141" s="24">
        <f>SUM(AI141:AL141)/4</f>
        <v>873857</v>
      </c>
      <c r="BO141" s="17">
        <f>+SUM(AM141:AX141)</f>
        <v>10089523</v>
      </c>
      <c r="BP141" s="17">
        <f t="shared" ref="BP141:BP142" si="135">+BO141-BI141</f>
        <v>5359912</v>
      </c>
      <c r="BQ141" s="18">
        <f t="shared" ref="BQ141:BQ142" si="136">(BO141/BI141)-1</f>
        <v>1.1332669853820958</v>
      </c>
      <c r="BR141" s="25">
        <f t="shared" ref="BR141:BR142" si="137">BO141/12</f>
        <v>840793.58333333337</v>
      </c>
    </row>
    <row r="142" spans="1:70">
      <c r="A142" t="s">
        <v>586</v>
      </c>
      <c r="C142" s="1">
        <v>218376</v>
      </c>
      <c r="D142" s="1">
        <v>223664</v>
      </c>
      <c r="E142" s="1">
        <v>215778</v>
      </c>
      <c r="F142" s="1">
        <v>223580</v>
      </c>
      <c r="G142" s="1">
        <v>196794</v>
      </c>
      <c r="H142" s="1">
        <v>232654</v>
      </c>
      <c r="I142" s="1">
        <v>224185</v>
      </c>
      <c r="J142" s="1">
        <v>214630</v>
      </c>
      <c r="K142" s="1">
        <v>209121</v>
      </c>
      <c r="L142" s="1">
        <v>200466</v>
      </c>
      <c r="M142" s="1">
        <v>225956</v>
      </c>
      <c r="N142" s="1">
        <v>201955</v>
      </c>
      <c r="O142" s="1">
        <v>261523</v>
      </c>
      <c r="P142" s="1">
        <v>229191</v>
      </c>
      <c r="Q142" s="1">
        <v>202130</v>
      </c>
      <c r="R142" s="1">
        <v>176499</v>
      </c>
      <c r="S142" s="1">
        <v>199610</v>
      </c>
      <c r="T142" s="1">
        <v>193576</v>
      </c>
      <c r="U142" s="1">
        <v>152465</v>
      </c>
      <c r="V142" s="1">
        <v>231415</v>
      </c>
      <c r="W142" s="1">
        <v>182655</v>
      </c>
      <c r="X142" s="1">
        <v>181500</v>
      </c>
      <c r="Y142" s="1">
        <v>165137</v>
      </c>
      <c r="Z142" s="1">
        <v>169411</v>
      </c>
      <c r="AA142" s="1">
        <v>182729</v>
      </c>
      <c r="AB142" s="1">
        <v>161064</v>
      </c>
      <c r="AC142" s="1">
        <v>166231</v>
      </c>
      <c r="AD142" s="1">
        <v>159418</v>
      </c>
      <c r="AE142" s="1">
        <v>113937</v>
      </c>
      <c r="AF142" s="1">
        <v>150629</v>
      </c>
      <c r="AG142" s="1">
        <v>150762</v>
      </c>
      <c r="AH142" s="1">
        <v>149413</v>
      </c>
      <c r="AI142" s="1">
        <v>458017</v>
      </c>
      <c r="AJ142" s="1">
        <v>935117</v>
      </c>
      <c r="AK142" s="1">
        <v>1073820</v>
      </c>
      <c r="AL142" s="1">
        <v>1028474</v>
      </c>
      <c r="AM142" s="1">
        <v>987402</v>
      </c>
      <c r="AN142" s="1">
        <v>950368</v>
      </c>
      <c r="AO142" s="1">
        <v>916427</v>
      </c>
      <c r="AP142" s="1">
        <v>885760</v>
      </c>
      <c r="AQ142" s="1">
        <v>858905</v>
      </c>
      <c r="AR142" s="1">
        <v>835789</v>
      </c>
      <c r="AS142" s="1">
        <v>815031</v>
      </c>
      <c r="AT142" s="1">
        <v>796988</v>
      </c>
      <c r="AU142" s="1">
        <v>781898</v>
      </c>
      <c r="AV142" s="1">
        <v>767551</v>
      </c>
      <c r="AW142" s="1">
        <v>753416</v>
      </c>
      <c r="AX142" s="1">
        <v>739988</v>
      </c>
      <c r="AY142" s="1"/>
      <c r="BA142" s="21">
        <f>SUM(C142:N142)</f>
        <v>2587159</v>
      </c>
      <c r="BB142" s="22">
        <f t="shared" si="129"/>
        <v>215596.58333333334</v>
      </c>
      <c r="BD142" s="7">
        <f>SUM(O142:Z142)</f>
        <v>2345112</v>
      </c>
      <c r="BE142" s="7">
        <f t="shared" si="130"/>
        <v>-242047</v>
      </c>
      <c r="BF142" s="8">
        <f t="shared" si="131"/>
        <v>-9.3557063945432062E-2</v>
      </c>
      <c r="BG142" s="7">
        <f t="shared" si="132"/>
        <v>195426</v>
      </c>
      <c r="BI142" s="12">
        <f>+SUM(AA142:AL142)</f>
        <v>4729611</v>
      </c>
      <c r="BJ142" s="12">
        <f t="shared" si="133"/>
        <v>2384499</v>
      </c>
      <c r="BK142" s="13">
        <f t="shared" si="134"/>
        <v>1.0167953598804664</v>
      </c>
      <c r="BL142" s="24">
        <f>SUM(AA142:AH142)/8</f>
        <v>154272.875</v>
      </c>
      <c r="BM142" s="24">
        <f>SUM(AI142:AL142)/4</f>
        <v>873857</v>
      </c>
      <c r="BO142" s="17">
        <f>+SUM(AM142:AX142)</f>
        <v>10089523</v>
      </c>
      <c r="BP142" s="17">
        <f t="shared" si="135"/>
        <v>5359912</v>
      </c>
      <c r="BQ142" s="18">
        <f t="shared" si="136"/>
        <v>1.1332669853820958</v>
      </c>
      <c r="BR142" s="25">
        <f t="shared" si="137"/>
        <v>840793.58333333337</v>
      </c>
    </row>
    <row r="143" spans="1:70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BA143" s="21"/>
      <c r="BB143" s="22"/>
      <c r="BD143" s="7"/>
      <c r="BE143" s="7"/>
      <c r="BF143" s="8"/>
      <c r="BG143" s="7"/>
      <c r="BI143" s="12"/>
      <c r="BJ143" s="12"/>
      <c r="BK143" s="13"/>
      <c r="BL143" s="24"/>
      <c r="BM143" s="24"/>
      <c r="BO143" s="17"/>
      <c r="BP143" s="17"/>
      <c r="BQ143" s="18"/>
      <c r="BR143" s="25"/>
    </row>
    <row r="144" spans="1:70">
      <c r="A144" t="s">
        <v>205</v>
      </c>
      <c r="B144">
        <v>110505</v>
      </c>
      <c r="C144" s="1">
        <v>6530</v>
      </c>
      <c r="D144" s="1">
        <v>6040</v>
      </c>
      <c r="E144" s="1">
        <v>6804</v>
      </c>
      <c r="F144" s="1">
        <v>6858</v>
      </c>
      <c r="G144" s="1">
        <v>7294</v>
      </c>
      <c r="H144" s="1">
        <v>7091</v>
      </c>
      <c r="I144" s="1">
        <v>7231</v>
      </c>
      <c r="J144" s="1">
        <v>7177</v>
      </c>
      <c r="K144" s="1">
        <v>7097</v>
      </c>
      <c r="L144" s="1">
        <v>7580</v>
      </c>
      <c r="M144" s="1">
        <v>7617</v>
      </c>
      <c r="N144" s="1">
        <v>8377</v>
      </c>
      <c r="O144" s="1">
        <v>4040</v>
      </c>
      <c r="P144" s="1">
        <v>13579</v>
      </c>
      <c r="Q144" s="1">
        <v>9291</v>
      </c>
      <c r="R144" s="1">
        <v>9055</v>
      </c>
      <c r="S144" s="1">
        <v>9681</v>
      </c>
      <c r="T144" s="1">
        <v>10390</v>
      </c>
      <c r="U144" s="1">
        <v>11002</v>
      </c>
      <c r="V144" s="1">
        <v>11500</v>
      </c>
      <c r="W144" s="1">
        <v>11221</v>
      </c>
      <c r="X144" s="1">
        <v>11662</v>
      </c>
      <c r="Y144" s="1">
        <v>11695</v>
      </c>
      <c r="Z144" s="1">
        <v>12293</v>
      </c>
      <c r="AA144" s="1">
        <v>12086</v>
      </c>
      <c r="AB144" s="1">
        <v>10676</v>
      </c>
      <c r="AC144" s="1">
        <v>11838</v>
      </c>
      <c r="AD144" s="1">
        <v>11428</v>
      </c>
      <c r="AE144" s="1">
        <v>11692</v>
      </c>
      <c r="AF144" s="1">
        <v>11111</v>
      </c>
      <c r="AG144" s="1">
        <v>11165</v>
      </c>
      <c r="AH144" s="1">
        <v>11367</v>
      </c>
      <c r="AI144" s="1">
        <v>10879</v>
      </c>
      <c r="AJ144" s="1">
        <v>11203</v>
      </c>
      <c r="AK144" s="1">
        <v>10924</v>
      </c>
      <c r="AL144" s="1">
        <v>11357</v>
      </c>
      <c r="AM144" s="1">
        <v>11441</v>
      </c>
      <c r="AN144" s="1">
        <v>10662</v>
      </c>
      <c r="AO144" s="1">
        <v>12364</v>
      </c>
      <c r="AP144" s="1">
        <v>12639</v>
      </c>
      <c r="AQ144" s="1">
        <v>13943</v>
      </c>
      <c r="AR144" s="1">
        <v>14284</v>
      </c>
      <c r="AS144" s="1">
        <v>15619</v>
      </c>
      <c r="AT144" s="1">
        <v>16219</v>
      </c>
      <c r="AU144" s="1">
        <v>15852</v>
      </c>
      <c r="AV144" s="1">
        <v>16591</v>
      </c>
      <c r="AW144" s="1">
        <v>16236</v>
      </c>
      <c r="AX144" s="1">
        <v>16816</v>
      </c>
      <c r="AY144" s="1"/>
      <c r="BA144" s="21">
        <f t="shared" ref="BA144:BA150" si="138">SUM(C144:N144)</f>
        <v>85696</v>
      </c>
      <c r="BB144" s="22">
        <f t="shared" ref="BB144:BB150" si="139">+BA144/12</f>
        <v>7141.333333333333</v>
      </c>
      <c r="BD144" s="7">
        <f t="shared" ref="BD144:BD150" si="140">SUM(O144:Z144)</f>
        <v>125409</v>
      </c>
      <c r="BE144" s="7">
        <f t="shared" ref="BE144:BE150" si="141">+BD144-BA144</f>
        <v>39713</v>
      </c>
      <c r="BF144" s="8">
        <f t="shared" ref="BF144:BF150" si="142">(BD144/BA144)-1</f>
        <v>0.46341719566840922</v>
      </c>
      <c r="BG144" s="7">
        <f t="shared" ref="BG144:BG150" si="143">BD144/12</f>
        <v>10450.75</v>
      </c>
      <c r="BI144" s="12">
        <f t="shared" ref="BI144:BI150" si="144">+SUM(AA144:AL144)</f>
        <v>135726</v>
      </c>
      <c r="BJ144" s="12">
        <f t="shared" ref="BJ144:BJ150" si="145">+BI144-BD144</f>
        <v>10317</v>
      </c>
      <c r="BK144" s="13">
        <f t="shared" ref="BK144:BK150" si="146">(BI144/BD144)-1</f>
        <v>8.2266822955290309E-2</v>
      </c>
      <c r="BL144" s="24">
        <f t="shared" ref="BL144:BL150" si="147">SUM(AA144:AH144)/8</f>
        <v>11420.375</v>
      </c>
      <c r="BM144" s="24">
        <f t="shared" ref="BM144:BM150" si="148">SUM(AI144:AL144)/4</f>
        <v>11090.75</v>
      </c>
      <c r="BO144" s="17">
        <f t="shared" ref="BO144:BO150" si="149">+SUM(AM144:AX144)</f>
        <v>172666</v>
      </c>
      <c r="BP144" s="17">
        <f t="shared" ref="BP144:BP150" si="150">+BO144-BI144</f>
        <v>36940</v>
      </c>
      <c r="BQ144" s="18">
        <f t="shared" ref="BQ144:BQ150" si="151">(BO144/BI144)-1</f>
        <v>0.2721659814626527</v>
      </c>
      <c r="BR144" s="25">
        <f t="shared" ref="BR144:BR150" si="152">BO144/12</f>
        <v>14388.833333333334</v>
      </c>
    </row>
    <row r="145" spans="1:70">
      <c r="A145" t="s">
        <v>206</v>
      </c>
      <c r="B145">
        <v>110510</v>
      </c>
      <c r="C145" s="1">
        <v>12116</v>
      </c>
      <c r="D145" s="1">
        <v>12071</v>
      </c>
      <c r="E145" s="1">
        <v>12027</v>
      </c>
      <c r="F145" s="1">
        <v>11982</v>
      </c>
      <c r="G145" s="1">
        <v>11938</v>
      </c>
      <c r="H145" s="1">
        <v>11893</v>
      </c>
      <c r="I145" s="1">
        <v>11847</v>
      </c>
      <c r="J145" s="1">
        <v>11802</v>
      </c>
      <c r="K145" s="1">
        <v>11756</v>
      </c>
      <c r="L145" s="1">
        <v>11710</v>
      </c>
      <c r="M145" s="1">
        <v>11664</v>
      </c>
      <c r="N145" s="1">
        <v>11618</v>
      </c>
      <c r="O145" s="1">
        <v>11571</v>
      </c>
      <c r="P145" s="1">
        <v>11525</v>
      </c>
      <c r="Q145" s="1">
        <v>11478</v>
      </c>
      <c r="R145" s="1">
        <v>11430</v>
      </c>
      <c r="S145" s="1">
        <v>11380</v>
      </c>
      <c r="T145" s="1">
        <v>11331</v>
      </c>
      <c r="U145" s="1">
        <v>11282</v>
      </c>
      <c r="V145" s="1">
        <v>11234</v>
      </c>
      <c r="W145" s="1">
        <v>11186</v>
      </c>
      <c r="X145" s="1">
        <v>11134</v>
      </c>
      <c r="Y145" s="1">
        <v>11080</v>
      </c>
      <c r="Z145" s="1">
        <v>11029</v>
      </c>
      <c r="AA145" s="1">
        <v>10977</v>
      </c>
      <c r="AB145" s="1">
        <v>10925</v>
      </c>
      <c r="AC145" s="1">
        <v>10876</v>
      </c>
      <c r="AD145" s="1">
        <v>10827</v>
      </c>
      <c r="AE145" s="1">
        <v>10777</v>
      </c>
      <c r="AF145" s="1">
        <v>10537</v>
      </c>
      <c r="AG145" s="1">
        <v>9902</v>
      </c>
      <c r="AH145" s="1">
        <v>9854</v>
      </c>
      <c r="AI145" s="1">
        <v>9808</v>
      </c>
      <c r="AJ145" s="1">
        <v>9817</v>
      </c>
      <c r="AK145" s="1">
        <v>9924</v>
      </c>
      <c r="AL145" s="1">
        <v>10020</v>
      </c>
      <c r="AM145" s="1">
        <v>10111</v>
      </c>
      <c r="AN145" s="1">
        <v>10472</v>
      </c>
      <c r="AO145" s="1">
        <v>11053</v>
      </c>
      <c r="AP145" s="1">
        <v>11783</v>
      </c>
      <c r="AQ145" s="1">
        <v>12704</v>
      </c>
      <c r="AR145" s="1">
        <v>13558</v>
      </c>
      <c r="AS145" s="1">
        <v>14457</v>
      </c>
      <c r="AT145" s="1">
        <v>15093</v>
      </c>
      <c r="AU145" s="1">
        <v>15282</v>
      </c>
      <c r="AV145" s="1">
        <v>15523</v>
      </c>
      <c r="AW145" s="1">
        <v>15740</v>
      </c>
      <c r="AX145" s="1">
        <v>15806</v>
      </c>
      <c r="AY145" s="1"/>
      <c r="BA145" s="21">
        <f t="shared" si="138"/>
        <v>142424</v>
      </c>
      <c r="BB145" s="22">
        <f t="shared" si="139"/>
        <v>11868.666666666666</v>
      </c>
      <c r="BD145" s="7">
        <f t="shared" si="140"/>
        <v>135660</v>
      </c>
      <c r="BE145" s="7">
        <f t="shared" si="141"/>
        <v>-6764</v>
      </c>
      <c r="BF145" s="8">
        <f t="shared" si="142"/>
        <v>-4.7491995731056558E-2</v>
      </c>
      <c r="BG145" s="7">
        <f t="shared" si="143"/>
        <v>11305</v>
      </c>
      <c r="BI145" s="12">
        <f t="shared" si="144"/>
        <v>124244</v>
      </c>
      <c r="BJ145" s="12">
        <f t="shared" si="145"/>
        <v>-11416</v>
      </c>
      <c r="BK145" s="13">
        <f t="shared" si="146"/>
        <v>-8.4151555358985664E-2</v>
      </c>
      <c r="BL145" s="24">
        <f t="shared" si="147"/>
        <v>10584.375</v>
      </c>
      <c r="BM145" s="24">
        <f t="shared" si="148"/>
        <v>9892.25</v>
      </c>
      <c r="BO145" s="17">
        <f t="shared" si="149"/>
        <v>161582</v>
      </c>
      <c r="BP145" s="17">
        <f t="shared" si="150"/>
        <v>37338</v>
      </c>
      <c r="BQ145" s="18">
        <f t="shared" si="151"/>
        <v>0.30052155436077399</v>
      </c>
      <c r="BR145" s="25">
        <f t="shared" si="152"/>
        <v>13465.166666666666</v>
      </c>
    </row>
    <row r="146" spans="1:70">
      <c r="A146" t="s">
        <v>207</v>
      </c>
      <c r="B146">
        <v>110515</v>
      </c>
      <c r="C146" s="1">
        <v>21027</v>
      </c>
      <c r="D146" s="1">
        <v>18945</v>
      </c>
      <c r="E146" s="1">
        <v>52702</v>
      </c>
      <c r="F146" s="1">
        <v>53587</v>
      </c>
      <c r="G146" s="1">
        <v>55257</v>
      </c>
      <c r="H146" s="1">
        <v>53146</v>
      </c>
      <c r="I146" s="1">
        <v>57932</v>
      </c>
      <c r="J146" s="1">
        <v>57659</v>
      </c>
      <c r="K146" s="1">
        <v>56023</v>
      </c>
      <c r="L146" s="1">
        <v>58300</v>
      </c>
      <c r="M146" s="1">
        <v>55717</v>
      </c>
      <c r="N146" s="1">
        <v>57444</v>
      </c>
      <c r="O146" s="1">
        <v>57346</v>
      </c>
      <c r="P146" s="1">
        <v>53842</v>
      </c>
      <c r="Q146" s="1">
        <v>57111</v>
      </c>
      <c r="R146" s="1">
        <v>55155</v>
      </c>
      <c r="S146" s="1">
        <v>56898</v>
      </c>
      <c r="T146" s="1">
        <v>54967</v>
      </c>
      <c r="U146" s="1">
        <v>56689</v>
      </c>
      <c r="V146" s="1">
        <v>56591</v>
      </c>
      <c r="W146" s="1">
        <v>54675</v>
      </c>
      <c r="X146" s="1">
        <v>56361</v>
      </c>
      <c r="Y146" s="1">
        <v>54439</v>
      </c>
      <c r="Z146" s="1">
        <v>56163</v>
      </c>
      <c r="AA146" s="1">
        <v>56063</v>
      </c>
      <c r="AB146" s="1">
        <v>50539</v>
      </c>
      <c r="AC146" s="1">
        <v>55825</v>
      </c>
      <c r="AD146" s="1">
        <v>53915</v>
      </c>
      <c r="AE146" s="1">
        <v>55605</v>
      </c>
      <c r="AF146" s="1">
        <v>53695</v>
      </c>
      <c r="AG146" s="1">
        <v>55363</v>
      </c>
      <c r="AH146" s="1">
        <v>54941</v>
      </c>
      <c r="AI146" s="1">
        <v>53311</v>
      </c>
      <c r="AJ146" s="1">
        <v>53479</v>
      </c>
      <c r="AK146" s="1">
        <v>54456</v>
      </c>
      <c r="AL146" s="1">
        <v>55387</v>
      </c>
      <c r="AM146" s="1">
        <v>56251</v>
      </c>
      <c r="AN146" s="1">
        <v>58290</v>
      </c>
      <c r="AO146" s="1">
        <v>61621</v>
      </c>
      <c r="AP146" s="1">
        <v>66319</v>
      </c>
      <c r="AQ146" s="1">
        <v>72236</v>
      </c>
      <c r="AR146" s="1">
        <v>77733</v>
      </c>
      <c r="AS146" s="1">
        <v>83515</v>
      </c>
      <c r="AT146" s="1">
        <v>87629</v>
      </c>
      <c r="AU146" s="1">
        <v>88893</v>
      </c>
      <c r="AV146" s="1">
        <v>90492</v>
      </c>
      <c r="AW146" s="1">
        <v>91944</v>
      </c>
      <c r="AX146" s="1">
        <v>92437</v>
      </c>
      <c r="AY146" s="1"/>
      <c r="BA146" s="21">
        <f t="shared" si="138"/>
        <v>597739</v>
      </c>
      <c r="BB146" s="22">
        <f t="shared" si="139"/>
        <v>49811.583333333336</v>
      </c>
      <c r="BD146" s="7">
        <f t="shared" si="140"/>
        <v>670237</v>
      </c>
      <c r="BE146" s="7">
        <f t="shared" si="141"/>
        <v>72498</v>
      </c>
      <c r="BF146" s="8">
        <f t="shared" si="142"/>
        <v>0.12128705003354301</v>
      </c>
      <c r="BG146" s="7">
        <f t="shared" si="143"/>
        <v>55853.083333333336</v>
      </c>
      <c r="BI146" s="12">
        <f t="shared" si="144"/>
        <v>652579</v>
      </c>
      <c r="BJ146" s="12">
        <f t="shared" si="145"/>
        <v>-17658</v>
      </c>
      <c r="BK146" s="13">
        <f t="shared" si="146"/>
        <v>-2.6345904508405238E-2</v>
      </c>
      <c r="BL146" s="24">
        <f t="shared" si="147"/>
        <v>54493.25</v>
      </c>
      <c r="BM146" s="24">
        <f t="shared" si="148"/>
        <v>54158.25</v>
      </c>
      <c r="BO146" s="17">
        <f t="shared" si="149"/>
        <v>927360</v>
      </c>
      <c r="BP146" s="17">
        <f t="shared" si="150"/>
        <v>274781</v>
      </c>
      <c r="BQ146" s="18">
        <f t="shared" si="151"/>
        <v>0.4210693264723504</v>
      </c>
      <c r="BR146" s="25">
        <f t="shared" si="152"/>
        <v>77280</v>
      </c>
    </row>
    <row r="147" spans="1:70">
      <c r="A147" t="s">
        <v>208</v>
      </c>
      <c r="B147">
        <v>110560</v>
      </c>
      <c r="C147" s="1">
        <v>799</v>
      </c>
      <c r="D147" s="1">
        <v>682</v>
      </c>
      <c r="E147" s="1">
        <v>699</v>
      </c>
      <c r="F147" s="1">
        <v>641</v>
      </c>
      <c r="G147" s="1">
        <v>632</v>
      </c>
      <c r="H147" s="1">
        <v>586</v>
      </c>
      <c r="I147" s="1">
        <v>590</v>
      </c>
      <c r="J147" s="1">
        <v>677</v>
      </c>
      <c r="K147" s="1">
        <v>606</v>
      </c>
      <c r="L147" s="1">
        <v>603</v>
      </c>
      <c r="M147" s="1">
        <v>624</v>
      </c>
      <c r="N147" s="1">
        <v>623</v>
      </c>
      <c r="O147" s="1">
        <v>670</v>
      </c>
      <c r="P147" s="1">
        <v>614</v>
      </c>
      <c r="Q147" s="1">
        <v>627</v>
      </c>
      <c r="R147" s="1">
        <v>619</v>
      </c>
      <c r="S147" s="1">
        <v>646</v>
      </c>
      <c r="T147" s="1">
        <v>594</v>
      </c>
      <c r="U147" s="1">
        <v>336</v>
      </c>
      <c r="V147" s="1">
        <v>278</v>
      </c>
      <c r="W147" s="1">
        <v>252</v>
      </c>
      <c r="X147" s="1">
        <v>237</v>
      </c>
      <c r="Y147" s="1">
        <v>203</v>
      </c>
      <c r="Z147" s="1">
        <v>174</v>
      </c>
      <c r="AA147" s="1">
        <v>155</v>
      </c>
      <c r="AB147" s="1">
        <v>137</v>
      </c>
      <c r="AC147" s="1">
        <v>138</v>
      </c>
      <c r="AD147" s="1">
        <v>98</v>
      </c>
      <c r="AE147" s="1">
        <v>70</v>
      </c>
      <c r="AF147" s="1">
        <v>157</v>
      </c>
      <c r="AG147" s="1">
        <v>168</v>
      </c>
      <c r="AH147" s="1">
        <v>145</v>
      </c>
      <c r="AI147" s="1">
        <v>169</v>
      </c>
      <c r="AJ147" s="1">
        <v>175</v>
      </c>
      <c r="AK147" s="1">
        <v>173</v>
      </c>
      <c r="AL147" s="1">
        <v>184</v>
      </c>
      <c r="AM147" s="1">
        <v>189</v>
      </c>
      <c r="AN147" s="1">
        <v>181</v>
      </c>
      <c r="AO147" s="1">
        <v>218</v>
      </c>
      <c r="AP147" s="1">
        <v>231</v>
      </c>
      <c r="AQ147" s="1">
        <v>264</v>
      </c>
      <c r="AR147" s="1">
        <v>279</v>
      </c>
      <c r="AS147" s="1">
        <v>313</v>
      </c>
      <c r="AT147" s="1">
        <v>332</v>
      </c>
      <c r="AU147" s="1">
        <v>327</v>
      </c>
      <c r="AV147" s="1">
        <v>347</v>
      </c>
      <c r="AW147" s="1">
        <v>343</v>
      </c>
      <c r="AX147" s="1">
        <v>358</v>
      </c>
      <c r="AY147" s="1"/>
      <c r="BA147" s="21">
        <f t="shared" si="138"/>
        <v>7762</v>
      </c>
      <c r="BB147" s="22">
        <f t="shared" si="139"/>
        <v>646.83333333333337</v>
      </c>
      <c r="BD147" s="7">
        <f t="shared" si="140"/>
        <v>5250</v>
      </c>
      <c r="BE147" s="7">
        <f t="shared" si="141"/>
        <v>-2512</v>
      </c>
      <c r="BF147" s="8">
        <f t="shared" si="142"/>
        <v>-0.32362793094563258</v>
      </c>
      <c r="BG147" s="7">
        <f t="shared" si="143"/>
        <v>437.5</v>
      </c>
      <c r="BI147" s="12">
        <f t="shared" si="144"/>
        <v>1769</v>
      </c>
      <c r="BJ147" s="12">
        <f t="shared" si="145"/>
        <v>-3481</v>
      </c>
      <c r="BK147" s="13">
        <f t="shared" si="146"/>
        <v>-0.66304761904761911</v>
      </c>
      <c r="BL147" s="24">
        <f t="shared" si="147"/>
        <v>133.5</v>
      </c>
      <c r="BM147" s="24">
        <f t="shared" si="148"/>
        <v>175.25</v>
      </c>
      <c r="BO147" s="17">
        <f t="shared" si="149"/>
        <v>3382</v>
      </c>
      <c r="BP147" s="17">
        <f t="shared" si="150"/>
        <v>1613</v>
      </c>
      <c r="BQ147" s="18">
        <f t="shared" si="151"/>
        <v>0.91181458451102326</v>
      </c>
      <c r="BR147" s="25">
        <f t="shared" si="152"/>
        <v>281.83333333333331</v>
      </c>
    </row>
    <row r="148" spans="1:70">
      <c r="A148" t="s">
        <v>209</v>
      </c>
      <c r="B148">
        <v>110520</v>
      </c>
      <c r="C148" s="1">
        <v>3206</v>
      </c>
      <c r="D148" s="1">
        <v>2897</v>
      </c>
      <c r="E148" s="1">
        <v>3179</v>
      </c>
      <c r="F148" s="1">
        <v>3186</v>
      </c>
      <c r="G148" s="1">
        <v>3516</v>
      </c>
      <c r="H148" s="1">
        <v>3316</v>
      </c>
      <c r="I148" s="1">
        <v>3275</v>
      </c>
      <c r="J148" s="1">
        <v>3230</v>
      </c>
      <c r="K148" s="1">
        <v>3162</v>
      </c>
      <c r="L148" s="1">
        <v>3250</v>
      </c>
      <c r="M148" s="1">
        <v>3151</v>
      </c>
      <c r="N148" s="1">
        <v>3063</v>
      </c>
      <c r="O148" s="1">
        <v>2838</v>
      </c>
      <c r="P148" s="1">
        <v>2513</v>
      </c>
      <c r="Q148" s="1">
        <v>2664</v>
      </c>
      <c r="R148" s="1">
        <v>2524</v>
      </c>
      <c r="S148" s="1">
        <v>2510</v>
      </c>
      <c r="T148" s="1">
        <v>2337</v>
      </c>
      <c r="U148" s="1">
        <v>2307</v>
      </c>
      <c r="V148" s="1">
        <v>2327</v>
      </c>
      <c r="W148" s="1">
        <v>1872</v>
      </c>
      <c r="X148" s="1">
        <v>1721</v>
      </c>
      <c r="Y148" s="1">
        <v>1598</v>
      </c>
      <c r="Z148" s="1">
        <v>1600</v>
      </c>
      <c r="AA148" s="1">
        <v>1782</v>
      </c>
      <c r="AB148" s="1">
        <v>2082</v>
      </c>
      <c r="AC148" s="1">
        <v>2024</v>
      </c>
      <c r="AD148" s="1">
        <v>2143</v>
      </c>
      <c r="AE148" s="1">
        <v>2147</v>
      </c>
      <c r="AF148" s="1">
        <v>2036</v>
      </c>
      <c r="AG148" s="1">
        <v>2324</v>
      </c>
      <c r="AH148" s="1">
        <v>2040</v>
      </c>
      <c r="AI148" s="1">
        <v>2213</v>
      </c>
      <c r="AJ148" s="1">
        <v>2186</v>
      </c>
      <c r="AK148" s="1">
        <v>2194</v>
      </c>
      <c r="AL148" s="1">
        <v>2201</v>
      </c>
      <c r="AM148" s="1">
        <v>2205</v>
      </c>
      <c r="AN148" s="1">
        <v>2252</v>
      </c>
      <c r="AO148" s="1">
        <v>2330</v>
      </c>
      <c r="AP148" s="1">
        <v>2429</v>
      </c>
      <c r="AQ148" s="1">
        <v>2560</v>
      </c>
      <c r="AR148" s="1">
        <v>2679</v>
      </c>
      <c r="AS148" s="1">
        <v>2805</v>
      </c>
      <c r="AT148" s="1">
        <v>2890</v>
      </c>
      <c r="AU148" s="1">
        <v>2904</v>
      </c>
      <c r="AV148" s="1">
        <v>2926</v>
      </c>
      <c r="AW148" s="1">
        <v>2944</v>
      </c>
      <c r="AX148" s="1">
        <v>2939</v>
      </c>
      <c r="AY148" s="1"/>
      <c r="BA148" s="21">
        <f t="shared" si="138"/>
        <v>38431</v>
      </c>
      <c r="BB148" s="22">
        <f t="shared" si="139"/>
        <v>3202.5833333333335</v>
      </c>
      <c r="BD148" s="7">
        <f t="shared" si="140"/>
        <v>26811</v>
      </c>
      <c r="BE148" s="7">
        <f t="shared" si="141"/>
        <v>-11620</v>
      </c>
      <c r="BF148" s="8">
        <f t="shared" si="142"/>
        <v>-0.30236007389867559</v>
      </c>
      <c r="BG148" s="7">
        <f t="shared" si="143"/>
        <v>2234.25</v>
      </c>
      <c r="BI148" s="12">
        <f t="shared" si="144"/>
        <v>25372</v>
      </c>
      <c r="BJ148" s="12">
        <f t="shared" si="145"/>
        <v>-1439</v>
      </c>
      <c r="BK148" s="13">
        <f t="shared" si="146"/>
        <v>-5.3672000298385036E-2</v>
      </c>
      <c r="BL148" s="24">
        <f t="shared" si="147"/>
        <v>2072.25</v>
      </c>
      <c r="BM148" s="24">
        <f t="shared" si="148"/>
        <v>2198.5</v>
      </c>
      <c r="BO148" s="17">
        <f t="shared" si="149"/>
        <v>31863</v>
      </c>
      <c r="BP148" s="17">
        <f t="shared" si="150"/>
        <v>6491</v>
      </c>
      <c r="BQ148" s="18">
        <f t="shared" si="151"/>
        <v>0.25583320195491099</v>
      </c>
      <c r="BR148" s="25">
        <f t="shared" si="152"/>
        <v>2655.25</v>
      </c>
    </row>
    <row r="149" spans="1:70">
      <c r="A149" t="s">
        <v>211</v>
      </c>
      <c r="B149">
        <v>110525</v>
      </c>
      <c r="C149" s="1">
        <v>2257</v>
      </c>
      <c r="D149" s="1">
        <v>2034</v>
      </c>
      <c r="E149" s="1">
        <v>3250</v>
      </c>
      <c r="F149" s="1">
        <v>6760</v>
      </c>
      <c r="G149" s="1">
        <v>6979</v>
      </c>
      <c r="H149" s="1">
        <v>6741</v>
      </c>
      <c r="I149" s="1">
        <v>6945</v>
      </c>
      <c r="J149" s="1">
        <v>6926</v>
      </c>
      <c r="K149" s="1">
        <v>6686</v>
      </c>
      <c r="L149" s="1">
        <v>6889</v>
      </c>
      <c r="M149" s="1">
        <v>6648</v>
      </c>
      <c r="N149" s="1">
        <v>6851</v>
      </c>
      <c r="O149" s="1">
        <v>6831</v>
      </c>
      <c r="P149" s="1">
        <v>6374</v>
      </c>
      <c r="Q149" s="1">
        <v>6792</v>
      </c>
      <c r="R149" s="1">
        <v>6553</v>
      </c>
      <c r="S149" s="1">
        <v>6751</v>
      </c>
      <c r="T149" s="1">
        <v>6514</v>
      </c>
      <c r="U149" s="1">
        <v>6711</v>
      </c>
      <c r="V149" s="1">
        <v>6693</v>
      </c>
      <c r="W149" s="1">
        <v>6456</v>
      </c>
      <c r="X149" s="1">
        <v>6650</v>
      </c>
      <c r="Y149" s="1">
        <v>6418</v>
      </c>
      <c r="Z149" s="1">
        <v>8596</v>
      </c>
      <c r="AA149" s="1">
        <v>8712</v>
      </c>
      <c r="AB149" s="1">
        <v>7851</v>
      </c>
      <c r="AC149" s="1">
        <v>8668</v>
      </c>
      <c r="AD149" s="1">
        <v>8368</v>
      </c>
      <c r="AE149" s="1">
        <v>8627</v>
      </c>
      <c r="AF149" s="1">
        <v>8327</v>
      </c>
      <c r="AG149" s="1">
        <v>7593</v>
      </c>
      <c r="AH149" s="1">
        <v>2372</v>
      </c>
      <c r="AI149" s="1">
        <v>2282</v>
      </c>
      <c r="AJ149" s="1">
        <v>2377</v>
      </c>
      <c r="AK149" s="1">
        <v>2359</v>
      </c>
      <c r="AL149" s="1">
        <v>2497</v>
      </c>
      <c r="AM149" s="1">
        <v>2554</v>
      </c>
      <c r="AN149" s="1">
        <v>2425</v>
      </c>
      <c r="AO149" s="1">
        <v>2892</v>
      </c>
      <c r="AP149" s="1">
        <v>3074</v>
      </c>
      <c r="AQ149" s="1">
        <v>3534</v>
      </c>
      <c r="AR149" s="1">
        <v>3741</v>
      </c>
      <c r="AS149" s="1">
        <v>4214</v>
      </c>
      <c r="AT149" s="1">
        <v>4464</v>
      </c>
      <c r="AU149" s="1">
        <v>4399</v>
      </c>
      <c r="AV149" s="1">
        <v>4647</v>
      </c>
      <c r="AW149" s="1">
        <v>4587</v>
      </c>
      <c r="AX149" s="1">
        <v>4776</v>
      </c>
      <c r="AY149" s="1"/>
      <c r="BA149" s="21">
        <f t="shared" si="138"/>
        <v>68966</v>
      </c>
      <c r="BB149" s="22">
        <f t="shared" si="139"/>
        <v>5747.166666666667</v>
      </c>
      <c r="BD149" s="7">
        <f t="shared" si="140"/>
        <v>81339</v>
      </c>
      <c r="BE149" s="7">
        <f t="shared" si="141"/>
        <v>12373</v>
      </c>
      <c r="BF149" s="8">
        <f t="shared" si="142"/>
        <v>0.17940724414929088</v>
      </c>
      <c r="BG149" s="7">
        <f t="shared" si="143"/>
        <v>6778.25</v>
      </c>
      <c r="BI149" s="12">
        <f t="shared" si="144"/>
        <v>70033</v>
      </c>
      <c r="BJ149" s="12">
        <f t="shared" si="145"/>
        <v>-11306</v>
      </c>
      <c r="BK149" s="13">
        <f t="shared" si="146"/>
        <v>-0.13899851239872629</v>
      </c>
      <c r="BL149" s="24">
        <f t="shared" si="147"/>
        <v>7564.75</v>
      </c>
      <c r="BM149" s="24">
        <f t="shared" si="148"/>
        <v>2378.75</v>
      </c>
      <c r="BO149" s="17">
        <f t="shared" si="149"/>
        <v>45307</v>
      </c>
      <c r="BP149" s="17">
        <f t="shared" si="150"/>
        <v>-24726</v>
      </c>
      <c r="BQ149" s="18">
        <f t="shared" si="151"/>
        <v>-0.3530621278540117</v>
      </c>
      <c r="BR149" s="25">
        <f t="shared" si="152"/>
        <v>3775.5833333333335</v>
      </c>
    </row>
    <row r="150" spans="1:70">
      <c r="A150" t="s">
        <v>212</v>
      </c>
      <c r="B150">
        <v>110530</v>
      </c>
      <c r="C150" s="1">
        <v>27885</v>
      </c>
      <c r="D150" s="1">
        <v>25187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/>
      <c r="BA150" s="21">
        <f t="shared" si="138"/>
        <v>53072</v>
      </c>
      <c r="BB150" s="22">
        <f t="shared" si="139"/>
        <v>4422.666666666667</v>
      </c>
      <c r="BD150" s="7">
        <f t="shared" si="140"/>
        <v>0</v>
      </c>
      <c r="BE150" s="7">
        <f t="shared" si="141"/>
        <v>-53072</v>
      </c>
      <c r="BF150" s="8">
        <f t="shared" si="142"/>
        <v>-1</v>
      </c>
      <c r="BG150" s="7">
        <f t="shared" si="143"/>
        <v>0</v>
      </c>
      <c r="BI150" s="12">
        <f t="shared" si="144"/>
        <v>0</v>
      </c>
      <c r="BJ150" s="12">
        <f t="shared" si="145"/>
        <v>0</v>
      </c>
      <c r="BK150" s="13" t="e">
        <f t="shared" si="146"/>
        <v>#DIV/0!</v>
      </c>
      <c r="BL150" s="24">
        <f t="shared" si="147"/>
        <v>0</v>
      </c>
      <c r="BM150" s="24">
        <f t="shared" si="148"/>
        <v>0</v>
      </c>
      <c r="BO150" s="17">
        <f t="shared" si="149"/>
        <v>0</v>
      </c>
      <c r="BP150" s="17">
        <f t="shared" si="150"/>
        <v>0</v>
      </c>
      <c r="BQ150" s="18" t="e">
        <f t="shared" si="151"/>
        <v>#DIV/0!</v>
      </c>
      <c r="BR150" s="25">
        <f t="shared" si="152"/>
        <v>0</v>
      </c>
    </row>
    <row r="151" spans="1:70">
      <c r="A151" t="s">
        <v>11</v>
      </c>
      <c r="B151" t="s">
        <v>12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BA151" s="21"/>
      <c r="BB151" s="22"/>
      <c r="BD151" s="7"/>
      <c r="BE151" s="7"/>
      <c r="BF151" s="8"/>
      <c r="BG151" s="7"/>
      <c r="BI151" s="12"/>
      <c r="BJ151" s="12"/>
      <c r="BK151" s="13"/>
      <c r="BL151" s="24"/>
      <c r="BM151" s="24"/>
      <c r="BO151" s="17"/>
      <c r="BP151" s="17"/>
      <c r="BQ151" s="18"/>
      <c r="BR151" s="25"/>
    </row>
    <row r="152" spans="1:70">
      <c r="A152" t="s">
        <v>587</v>
      </c>
      <c r="C152" s="1">
        <v>73820</v>
      </c>
      <c r="D152" s="1">
        <v>67856</v>
      </c>
      <c r="E152" s="1">
        <v>78662</v>
      </c>
      <c r="F152" s="1">
        <v>83014</v>
      </c>
      <c r="G152" s="1">
        <v>85615</v>
      </c>
      <c r="H152" s="1">
        <v>82773</v>
      </c>
      <c r="I152" s="1">
        <v>87821</v>
      </c>
      <c r="J152" s="1">
        <v>87470</v>
      </c>
      <c r="K152" s="1">
        <v>85331</v>
      </c>
      <c r="L152" s="1">
        <v>88332</v>
      </c>
      <c r="M152" s="1">
        <v>85422</v>
      </c>
      <c r="N152" s="1">
        <v>87974</v>
      </c>
      <c r="O152" s="1">
        <v>83297</v>
      </c>
      <c r="P152" s="1">
        <v>88446</v>
      </c>
      <c r="Q152" s="1">
        <v>87963</v>
      </c>
      <c r="R152" s="1">
        <v>85336</v>
      </c>
      <c r="S152" s="1">
        <v>87866</v>
      </c>
      <c r="T152" s="1">
        <v>86133</v>
      </c>
      <c r="U152" s="1">
        <v>88326</v>
      </c>
      <c r="V152" s="1">
        <v>88622</v>
      </c>
      <c r="W152" s="1">
        <v>85662</v>
      </c>
      <c r="X152" s="1">
        <v>87766</v>
      </c>
      <c r="Y152" s="1">
        <v>85434</v>
      </c>
      <c r="Z152" s="1">
        <v>89854</v>
      </c>
      <c r="AA152" s="1">
        <v>89775</v>
      </c>
      <c r="AB152" s="1">
        <v>82209</v>
      </c>
      <c r="AC152" s="1">
        <v>89369</v>
      </c>
      <c r="AD152" s="1">
        <v>86779</v>
      </c>
      <c r="AE152" s="1">
        <v>88919</v>
      </c>
      <c r="AF152" s="1">
        <v>85863</v>
      </c>
      <c r="AG152" s="1">
        <v>86516</v>
      </c>
      <c r="AH152" s="1">
        <v>80718</v>
      </c>
      <c r="AI152" s="1">
        <v>78662</v>
      </c>
      <c r="AJ152" s="1">
        <v>79236</v>
      </c>
      <c r="AK152" s="1">
        <v>80030</v>
      </c>
      <c r="AL152" s="1">
        <v>81646</v>
      </c>
      <c r="AM152" s="1">
        <v>82750</v>
      </c>
      <c r="AN152" s="1">
        <v>84282</v>
      </c>
      <c r="AO152" s="1">
        <v>90478</v>
      </c>
      <c r="AP152" s="1">
        <v>96475</v>
      </c>
      <c r="AQ152" s="1">
        <v>105239</v>
      </c>
      <c r="AR152" s="1">
        <v>112273</v>
      </c>
      <c r="AS152" s="1">
        <v>120923</v>
      </c>
      <c r="AT152" s="1">
        <v>126627</v>
      </c>
      <c r="AU152" s="1">
        <v>127658</v>
      </c>
      <c r="AV152" s="1">
        <v>130525</v>
      </c>
      <c r="AW152" s="1">
        <v>131794</v>
      </c>
      <c r="AX152" s="1">
        <v>133131</v>
      </c>
      <c r="AY152" s="1"/>
      <c r="BA152" s="21">
        <f>SUM(C152:N152)</f>
        <v>994090</v>
      </c>
      <c r="BB152" s="22">
        <f>+BA152/12</f>
        <v>82840.833333333328</v>
      </c>
      <c r="BD152" s="7">
        <f>SUM(O152:Z152)</f>
        <v>1044705</v>
      </c>
      <c r="BE152" s="7">
        <f>+BD152-BA152</f>
        <v>50615</v>
      </c>
      <c r="BF152" s="8">
        <f>(BD152/BA152)-1</f>
        <v>5.0915913046102546E-2</v>
      </c>
      <c r="BG152" s="7">
        <f>BD152/12</f>
        <v>87058.75</v>
      </c>
      <c r="BI152" s="12">
        <f>+SUM(AA152:AL152)</f>
        <v>1009722</v>
      </c>
      <c r="BJ152" s="12">
        <f>+BI152-BD152</f>
        <v>-34983</v>
      </c>
      <c r="BK152" s="13">
        <f>(BI152/BD152)-1</f>
        <v>-3.3486008011831103E-2</v>
      </c>
      <c r="BL152" s="24">
        <f>SUM(AA152:AH152)/8</f>
        <v>86268.5</v>
      </c>
      <c r="BM152" s="24">
        <f>SUM(AI152:AL152)/4</f>
        <v>79893.5</v>
      </c>
      <c r="BO152" s="17">
        <f>+SUM(AM152:AX152)</f>
        <v>1342155</v>
      </c>
      <c r="BP152" s="17">
        <f>+BO152-BI152</f>
        <v>332433</v>
      </c>
      <c r="BQ152" s="18">
        <f>(BO152/BI152)-1</f>
        <v>0.32923220450777535</v>
      </c>
      <c r="BR152" s="25">
        <f>BO152/12</f>
        <v>111846.25</v>
      </c>
    </row>
    <row r="153" spans="1:70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BA153" s="21"/>
      <c r="BB153" s="22"/>
      <c r="BD153" s="7"/>
      <c r="BE153" s="7"/>
      <c r="BF153" s="8"/>
      <c r="BG153" s="7"/>
      <c r="BI153" s="12"/>
      <c r="BJ153" s="12"/>
      <c r="BK153" s="13"/>
      <c r="BL153" s="24"/>
      <c r="BM153" s="24"/>
      <c r="BO153" s="17"/>
      <c r="BP153" s="17"/>
      <c r="BQ153" s="18"/>
      <c r="BR153" s="25"/>
    </row>
    <row r="154" spans="1:70">
      <c r="A154" t="s">
        <v>219</v>
      </c>
      <c r="B154">
        <v>110566</v>
      </c>
      <c r="C154" s="1">
        <v>2074</v>
      </c>
      <c r="D154" s="1">
        <v>1721</v>
      </c>
      <c r="E154" s="1">
        <v>1714</v>
      </c>
      <c r="F154" s="1">
        <v>1706</v>
      </c>
      <c r="G154" s="1">
        <v>1699</v>
      </c>
      <c r="H154" s="1">
        <v>1692</v>
      </c>
      <c r="I154" s="1">
        <v>1685</v>
      </c>
      <c r="J154" s="1">
        <v>2225</v>
      </c>
      <c r="K154" s="1">
        <v>2216</v>
      </c>
      <c r="L154" s="1">
        <v>2362</v>
      </c>
      <c r="M154" s="1">
        <v>2353</v>
      </c>
      <c r="N154" s="1">
        <v>2344</v>
      </c>
      <c r="O154" s="1">
        <v>2335</v>
      </c>
      <c r="P154" s="1">
        <v>2326</v>
      </c>
      <c r="Q154" s="1">
        <v>2317</v>
      </c>
      <c r="R154" s="1">
        <v>2308</v>
      </c>
      <c r="S154" s="1">
        <v>2298</v>
      </c>
      <c r="T154" s="1">
        <v>2289</v>
      </c>
      <c r="U154" s="1">
        <v>2280</v>
      </c>
      <c r="V154" s="1">
        <v>2499</v>
      </c>
      <c r="W154" s="1">
        <v>2489</v>
      </c>
      <c r="X154" s="1">
        <v>2488</v>
      </c>
      <c r="Y154" s="1">
        <v>2478</v>
      </c>
      <c r="Z154" s="1">
        <v>1778</v>
      </c>
      <c r="AA154" s="1">
        <v>1700</v>
      </c>
      <c r="AB154" s="1">
        <v>1545</v>
      </c>
      <c r="AC154" s="1">
        <v>1485</v>
      </c>
      <c r="AD154" s="1">
        <v>1415</v>
      </c>
      <c r="AE154" s="1">
        <v>1407</v>
      </c>
      <c r="AF154" s="1">
        <v>1400</v>
      </c>
      <c r="AG154" s="1">
        <v>1392</v>
      </c>
      <c r="AH154" s="1">
        <v>1268</v>
      </c>
      <c r="AI154" s="1">
        <v>1240</v>
      </c>
      <c r="AJ154" s="1">
        <v>1225</v>
      </c>
      <c r="AK154" s="1">
        <v>1198</v>
      </c>
      <c r="AL154" s="1">
        <v>1170</v>
      </c>
      <c r="AM154" s="1">
        <v>1189</v>
      </c>
      <c r="AN154" s="1">
        <v>1216</v>
      </c>
      <c r="AO154" s="1">
        <v>1266</v>
      </c>
      <c r="AP154" s="1">
        <v>1352</v>
      </c>
      <c r="AQ154" s="1">
        <v>1462</v>
      </c>
      <c r="AR154" s="1">
        <v>1563</v>
      </c>
      <c r="AS154" s="1">
        <v>1668</v>
      </c>
      <c r="AT154" s="1">
        <v>1743</v>
      </c>
      <c r="AU154" s="1">
        <v>1752</v>
      </c>
      <c r="AV154" s="1">
        <v>1767</v>
      </c>
      <c r="AW154" s="1">
        <v>1796</v>
      </c>
      <c r="AX154" s="1">
        <v>1807</v>
      </c>
      <c r="AY154" s="1"/>
      <c r="BA154" s="21">
        <f t="shared" ref="BA154:BA159" si="153">SUM(C154:N154)</f>
        <v>23791</v>
      </c>
      <c r="BB154" s="22">
        <f t="shared" ref="BB154:BB159" si="154">+BA154/12</f>
        <v>1982.5833333333333</v>
      </c>
      <c r="BD154" s="7">
        <f t="shared" ref="BD154:BD159" si="155">SUM(O154:Z154)</f>
        <v>27885</v>
      </c>
      <c r="BE154" s="7">
        <f t="shared" ref="BE154:BE159" si="156">+BD154-BA154</f>
        <v>4094</v>
      </c>
      <c r="BF154" s="8">
        <f t="shared" ref="BF154:BF159" si="157">(BD154/BA154)-1</f>
        <v>0.1720818797024084</v>
      </c>
      <c r="BG154" s="7">
        <f t="shared" ref="BG154:BG159" si="158">BD154/12</f>
        <v>2323.75</v>
      </c>
      <c r="BI154" s="12">
        <f t="shared" ref="BI154:BI159" si="159">+SUM(AA154:AL154)</f>
        <v>16445</v>
      </c>
      <c r="BJ154" s="12">
        <f t="shared" ref="BJ154:BJ159" si="160">+BI154-BD154</f>
        <v>-11440</v>
      </c>
      <c r="BK154" s="13">
        <f t="shared" ref="BK154:BK159" si="161">(BI154/BD154)-1</f>
        <v>-0.41025641025641024</v>
      </c>
      <c r="BL154" s="24">
        <f t="shared" ref="BL154:BL159" si="162">SUM(AA154:AH154)/8</f>
        <v>1451.5</v>
      </c>
      <c r="BM154" s="24">
        <f t="shared" ref="BM154:BM159" si="163">SUM(AI154:AL154)/4</f>
        <v>1208.25</v>
      </c>
      <c r="BO154" s="17">
        <f t="shared" ref="BO154:BO159" si="164">+SUM(AM154:AX154)</f>
        <v>18581</v>
      </c>
      <c r="BP154" s="17">
        <f t="shared" ref="BP154:BP159" si="165">+BO154-BI154</f>
        <v>2136</v>
      </c>
      <c r="BQ154" s="18">
        <f t="shared" ref="BQ154:BQ159" si="166">(BO154/BI154)-1</f>
        <v>0.12988750380054737</v>
      </c>
      <c r="BR154" s="25">
        <f t="shared" ref="BR154:BR159" si="167">BO154/12</f>
        <v>1548.4166666666667</v>
      </c>
    </row>
    <row r="155" spans="1:70">
      <c r="A155" t="s">
        <v>220</v>
      </c>
      <c r="B155">
        <v>110567</v>
      </c>
      <c r="C155" s="1">
        <v>10489</v>
      </c>
      <c r="D155" s="1">
        <v>9512</v>
      </c>
      <c r="E155" s="1">
        <v>10853</v>
      </c>
      <c r="F155" s="1">
        <v>10767</v>
      </c>
      <c r="G155" s="1">
        <v>11118</v>
      </c>
      <c r="H155" s="1">
        <v>11013</v>
      </c>
      <c r="I155" s="1">
        <v>11058</v>
      </c>
      <c r="J155" s="1">
        <v>11336</v>
      </c>
      <c r="K155" s="1">
        <v>10968</v>
      </c>
      <c r="L155" s="1">
        <v>11332</v>
      </c>
      <c r="M155" s="1">
        <v>10964</v>
      </c>
      <c r="N155" s="1">
        <v>11327</v>
      </c>
      <c r="O155" s="1">
        <v>11324</v>
      </c>
      <c r="P155" s="1">
        <v>10591</v>
      </c>
      <c r="Q155" s="1">
        <v>11317</v>
      </c>
      <c r="R155" s="1">
        <v>10946</v>
      </c>
      <c r="S155" s="1">
        <v>11289</v>
      </c>
      <c r="T155" s="1">
        <v>10890</v>
      </c>
      <c r="U155" s="1">
        <v>11253</v>
      </c>
      <c r="V155" s="1">
        <v>11253</v>
      </c>
      <c r="W155" s="1">
        <v>10890</v>
      </c>
      <c r="X155" s="1">
        <v>10691</v>
      </c>
      <c r="Y155" s="1">
        <v>8277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/>
      <c r="BA155" s="21">
        <f t="shared" si="153"/>
        <v>130737</v>
      </c>
      <c r="BB155" s="22">
        <f t="shared" si="154"/>
        <v>10894.75</v>
      </c>
      <c r="BD155" s="7">
        <f t="shared" si="155"/>
        <v>118721</v>
      </c>
      <c r="BE155" s="7">
        <f t="shared" si="156"/>
        <v>-12016</v>
      </c>
      <c r="BF155" s="8">
        <f t="shared" si="157"/>
        <v>-9.1909711864277099E-2</v>
      </c>
      <c r="BG155" s="7">
        <f t="shared" si="158"/>
        <v>9893.4166666666661</v>
      </c>
      <c r="BI155" s="12">
        <f t="shared" si="159"/>
        <v>0</v>
      </c>
      <c r="BJ155" s="12">
        <f t="shared" si="160"/>
        <v>-118721</v>
      </c>
      <c r="BK155" s="13">
        <f t="shared" si="161"/>
        <v>-1</v>
      </c>
      <c r="BL155" s="24">
        <f t="shared" si="162"/>
        <v>0</v>
      </c>
      <c r="BM155" s="24">
        <f t="shared" si="163"/>
        <v>0</v>
      </c>
      <c r="BO155" s="17">
        <f t="shared" si="164"/>
        <v>0</v>
      </c>
      <c r="BP155" s="17">
        <f t="shared" si="165"/>
        <v>0</v>
      </c>
      <c r="BQ155" s="18" t="e">
        <f t="shared" si="166"/>
        <v>#DIV/0!</v>
      </c>
      <c r="BR155" s="25">
        <f t="shared" si="167"/>
        <v>0</v>
      </c>
    </row>
    <row r="156" spans="1:70">
      <c r="A156" t="s">
        <v>221</v>
      </c>
      <c r="B156">
        <v>110563</v>
      </c>
      <c r="C156" s="1">
        <v>21650</v>
      </c>
      <c r="D156" s="1">
        <v>19475</v>
      </c>
      <c r="E156" s="1">
        <v>21461</v>
      </c>
      <c r="F156" s="1">
        <v>28586</v>
      </c>
      <c r="G156" s="1">
        <v>36574</v>
      </c>
      <c r="H156" s="1">
        <v>35271</v>
      </c>
      <c r="I156" s="1">
        <v>36313</v>
      </c>
      <c r="J156" s="1">
        <v>36182</v>
      </c>
      <c r="K156" s="1">
        <v>34891</v>
      </c>
      <c r="L156" s="1">
        <v>35927</v>
      </c>
      <c r="M156" s="1">
        <v>34636</v>
      </c>
      <c r="N156" s="1">
        <v>35650</v>
      </c>
      <c r="O156" s="1">
        <v>35522</v>
      </c>
      <c r="P156" s="1">
        <v>33106</v>
      </c>
      <c r="Q156" s="1">
        <v>35240</v>
      </c>
      <c r="R156" s="1">
        <v>35614</v>
      </c>
      <c r="S156" s="1">
        <v>38143</v>
      </c>
      <c r="T156" s="1">
        <v>36790</v>
      </c>
      <c r="U156" s="1">
        <v>37858</v>
      </c>
      <c r="V156" s="1">
        <v>37704</v>
      </c>
      <c r="W156" s="1">
        <v>35948</v>
      </c>
      <c r="X156" s="1">
        <v>24653</v>
      </c>
      <c r="Y156" s="1">
        <v>23652</v>
      </c>
      <c r="Z156" s="1">
        <v>24216</v>
      </c>
      <c r="AA156" s="1">
        <v>5461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/>
      <c r="BA156" s="21">
        <f t="shared" si="153"/>
        <v>376616</v>
      </c>
      <c r="BB156" s="22">
        <f t="shared" si="154"/>
        <v>31384.666666666668</v>
      </c>
      <c r="BD156" s="7">
        <f t="shared" si="155"/>
        <v>398446</v>
      </c>
      <c r="BE156" s="7">
        <f t="shared" si="156"/>
        <v>21830</v>
      </c>
      <c r="BF156" s="8">
        <f t="shared" si="157"/>
        <v>5.796354907916812E-2</v>
      </c>
      <c r="BG156" s="7">
        <f t="shared" si="158"/>
        <v>33203.833333333336</v>
      </c>
      <c r="BI156" s="12">
        <f t="shared" si="159"/>
        <v>5461</v>
      </c>
      <c r="BJ156" s="12">
        <f t="shared" si="160"/>
        <v>-392985</v>
      </c>
      <c r="BK156" s="13">
        <f t="shared" si="161"/>
        <v>-0.98629425317357933</v>
      </c>
      <c r="BL156" s="24">
        <f t="shared" si="162"/>
        <v>682.625</v>
      </c>
      <c r="BM156" s="24">
        <f t="shared" si="163"/>
        <v>0</v>
      </c>
      <c r="BO156" s="17">
        <f t="shared" si="164"/>
        <v>0</v>
      </c>
      <c r="BP156" s="17">
        <f t="shared" si="165"/>
        <v>-5461</v>
      </c>
      <c r="BQ156" s="18">
        <f t="shared" si="166"/>
        <v>-1</v>
      </c>
      <c r="BR156" s="25">
        <f t="shared" si="167"/>
        <v>0</v>
      </c>
    </row>
    <row r="157" spans="1:70">
      <c r="A157" t="s">
        <v>224</v>
      </c>
      <c r="B157">
        <v>110570</v>
      </c>
      <c r="C157" s="1">
        <v>243846</v>
      </c>
      <c r="D157" s="1">
        <v>220185</v>
      </c>
      <c r="E157" s="1">
        <v>243954</v>
      </c>
      <c r="F157" s="1">
        <v>279397</v>
      </c>
      <c r="G157" s="1">
        <v>295995</v>
      </c>
      <c r="H157" s="1">
        <v>290860</v>
      </c>
      <c r="I157" s="1">
        <v>299738</v>
      </c>
      <c r="J157" s="1">
        <v>298637</v>
      </c>
      <c r="K157" s="1">
        <v>287076</v>
      </c>
      <c r="L157" s="1">
        <v>299775</v>
      </c>
      <c r="M157" s="1">
        <v>301772</v>
      </c>
      <c r="N157" s="1">
        <v>311245</v>
      </c>
      <c r="O157" s="1">
        <v>311427</v>
      </c>
      <c r="P157" s="1">
        <v>289896</v>
      </c>
      <c r="Q157" s="1">
        <v>309253</v>
      </c>
      <c r="R157" s="1">
        <v>298335</v>
      </c>
      <c r="S157" s="1">
        <v>306615</v>
      </c>
      <c r="T157" s="1">
        <v>296186</v>
      </c>
      <c r="U157" s="1">
        <v>305464</v>
      </c>
      <c r="V157" s="1">
        <v>307340</v>
      </c>
      <c r="W157" s="1">
        <v>297522</v>
      </c>
      <c r="X157" s="1">
        <v>308477</v>
      </c>
      <c r="Y157" s="1">
        <v>297451</v>
      </c>
      <c r="Z157" s="1">
        <v>305935</v>
      </c>
      <c r="AA157" s="1">
        <v>304411</v>
      </c>
      <c r="AB157" s="1">
        <v>275687</v>
      </c>
      <c r="AC157" s="1">
        <v>304371</v>
      </c>
      <c r="AD157" s="1">
        <v>292818</v>
      </c>
      <c r="AE157" s="1">
        <v>300959</v>
      </c>
      <c r="AF157" s="1">
        <v>294349</v>
      </c>
      <c r="AG157" s="1">
        <v>306735</v>
      </c>
      <c r="AH157" s="1">
        <v>314174</v>
      </c>
      <c r="AI157" s="1">
        <v>304989</v>
      </c>
      <c r="AJ157" s="1">
        <v>319322</v>
      </c>
      <c r="AK157" s="1">
        <v>315219</v>
      </c>
      <c r="AL157" s="1">
        <v>332912</v>
      </c>
      <c r="AM157" s="1">
        <v>339987</v>
      </c>
      <c r="AN157" s="1">
        <v>314216</v>
      </c>
      <c r="AO157" s="1">
        <v>362373</v>
      </c>
      <c r="AP157" s="1">
        <v>376205</v>
      </c>
      <c r="AQ157" s="1">
        <v>420851</v>
      </c>
      <c r="AR157" s="1">
        <v>436568</v>
      </c>
      <c r="AS157" s="1">
        <v>483732</v>
      </c>
      <c r="AT157" s="1">
        <v>507111</v>
      </c>
      <c r="AU157" s="1">
        <v>498152</v>
      </c>
      <c r="AV157" s="1">
        <v>523825</v>
      </c>
      <c r="AW157" s="1">
        <v>514487</v>
      </c>
      <c r="AX157" s="1">
        <v>534309</v>
      </c>
      <c r="AY157" s="1"/>
      <c r="BA157" s="21">
        <f t="shared" si="153"/>
        <v>3372480</v>
      </c>
      <c r="BB157" s="22">
        <f t="shared" si="154"/>
        <v>281040</v>
      </c>
      <c r="BD157" s="7">
        <f t="shared" si="155"/>
        <v>3633901</v>
      </c>
      <c r="BE157" s="7">
        <f t="shared" si="156"/>
        <v>261421</v>
      </c>
      <c r="BF157" s="8">
        <f t="shared" si="157"/>
        <v>7.7515952652054354E-2</v>
      </c>
      <c r="BG157" s="7">
        <f t="shared" si="158"/>
        <v>302825.08333333331</v>
      </c>
      <c r="BI157" s="12">
        <f t="shared" si="159"/>
        <v>3665946</v>
      </c>
      <c r="BJ157" s="12">
        <f t="shared" si="160"/>
        <v>32045</v>
      </c>
      <c r="BK157" s="13">
        <f t="shared" si="161"/>
        <v>8.8183470050504642E-3</v>
      </c>
      <c r="BL157" s="24">
        <f t="shared" si="162"/>
        <v>299188</v>
      </c>
      <c r="BM157" s="24">
        <f t="shared" si="163"/>
        <v>318110.5</v>
      </c>
      <c r="BO157" s="17">
        <f t="shared" si="164"/>
        <v>5311816</v>
      </c>
      <c r="BP157" s="17">
        <f t="shared" si="165"/>
        <v>1645870</v>
      </c>
      <c r="BQ157" s="18">
        <f t="shared" si="166"/>
        <v>0.4489618777799782</v>
      </c>
      <c r="BR157" s="25">
        <f t="shared" si="167"/>
        <v>442651.33333333331</v>
      </c>
    </row>
    <row r="158" spans="1:70">
      <c r="A158" t="s">
        <v>227</v>
      </c>
      <c r="B158">
        <v>110576</v>
      </c>
      <c r="C158" s="1">
        <v>2777</v>
      </c>
      <c r="D158" s="1">
        <v>2924</v>
      </c>
      <c r="E158" s="1">
        <v>3832</v>
      </c>
      <c r="F158" s="1">
        <v>3486</v>
      </c>
      <c r="G158" s="1">
        <v>2325</v>
      </c>
      <c r="H158" s="1">
        <v>2986</v>
      </c>
      <c r="I158" s="1">
        <v>3084</v>
      </c>
      <c r="J158" s="1">
        <v>3336</v>
      </c>
      <c r="K158" s="1">
        <v>3233</v>
      </c>
      <c r="L158" s="1">
        <v>2862</v>
      </c>
      <c r="M158" s="1">
        <v>2881</v>
      </c>
      <c r="N158" s="1">
        <v>3447</v>
      </c>
      <c r="O158" s="1">
        <v>4504</v>
      </c>
      <c r="P158" s="1">
        <v>4309</v>
      </c>
      <c r="Q158" s="1">
        <v>4519</v>
      </c>
      <c r="R158" s="1">
        <v>3862</v>
      </c>
      <c r="S158" s="1">
        <v>3271</v>
      </c>
      <c r="T158" s="1">
        <v>3545</v>
      </c>
      <c r="U158" s="1">
        <v>3897</v>
      </c>
      <c r="V158" s="1">
        <v>3571</v>
      </c>
      <c r="W158" s="1">
        <v>3419</v>
      </c>
      <c r="X158" s="1">
        <v>3399</v>
      </c>
      <c r="Y158" s="1">
        <v>2618</v>
      </c>
      <c r="Z158" s="1">
        <v>3249</v>
      </c>
      <c r="AA158" s="1">
        <v>-742</v>
      </c>
      <c r="AB158" s="1">
        <v>2262</v>
      </c>
      <c r="AC158" s="1">
        <v>5579</v>
      </c>
      <c r="AD158" s="1">
        <v>19716</v>
      </c>
      <c r="AE158" s="1">
        <v>14506</v>
      </c>
      <c r="AF158" s="1">
        <v>16315</v>
      </c>
      <c r="AG158" s="1">
        <v>18222</v>
      </c>
      <c r="AH158" s="1">
        <v>18697</v>
      </c>
      <c r="AI158" s="1">
        <v>17813</v>
      </c>
      <c r="AJ158" s="1">
        <v>17955</v>
      </c>
      <c r="AK158" s="1">
        <v>18085</v>
      </c>
      <c r="AL158" s="1">
        <v>18204</v>
      </c>
      <c r="AM158" s="1">
        <v>18399</v>
      </c>
      <c r="AN158" s="1">
        <v>18697</v>
      </c>
      <c r="AO158" s="1">
        <v>19353</v>
      </c>
      <c r="AP158" s="1">
        <v>20519</v>
      </c>
      <c r="AQ158" s="1">
        <v>21945</v>
      </c>
      <c r="AR158" s="1">
        <v>23123</v>
      </c>
      <c r="AS158" s="1">
        <v>24314</v>
      </c>
      <c r="AT158" s="1">
        <v>25177</v>
      </c>
      <c r="AU158" s="1">
        <v>25234</v>
      </c>
      <c r="AV158" s="1">
        <v>25401</v>
      </c>
      <c r="AW158" s="1">
        <v>25712</v>
      </c>
      <c r="AX158" s="1">
        <v>25800</v>
      </c>
      <c r="AY158" s="1"/>
      <c r="BA158" s="21">
        <f t="shared" si="153"/>
        <v>37173</v>
      </c>
      <c r="BB158" s="22">
        <f t="shared" si="154"/>
        <v>3097.75</v>
      </c>
      <c r="BD158" s="7">
        <f t="shared" si="155"/>
        <v>44163</v>
      </c>
      <c r="BE158" s="7">
        <f t="shared" si="156"/>
        <v>6990</v>
      </c>
      <c r="BF158" s="8">
        <f t="shared" si="157"/>
        <v>0.18803970623839894</v>
      </c>
      <c r="BG158" s="7">
        <f t="shared" si="158"/>
        <v>3680.25</v>
      </c>
      <c r="BI158" s="12">
        <f t="shared" si="159"/>
        <v>166612</v>
      </c>
      <c r="BJ158" s="12">
        <f t="shared" si="160"/>
        <v>122449</v>
      </c>
      <c r="BK158" s="13">
        <f t="shared" si="161"/>
        <v>2.7726603718044518</v>
      </c>
      <c r="BL158" s="24">
        <f t="shared" si="162"/>
        <v>11819.375</v>
      </c>
      <c r="BM158" s="24">
        <f t="shared" si="163"/>
        <v>18014.25</v>
      </c>
      <c r="BO158" s="17">
        <f t="shared" si="164"/>
        <v>273674</v>
      </c>
      <c r="BP158" s="17">
        <f t="shared" si="165"/>
        <v>107062</v>
      </c>
      <c r="BQ158" s="18">
        <f t="shared" si="166"/>
        <v>0.64258276714762452</v>
      </c>
      <c r="BR158" s="25">
        <f t="shared" si="167"/>
        <v>22806.166666666668</v>
      </c>
    </row>
    <row r="159" spans="1:70">
      <c r="A159" t="s">
        <v>228</v>
      </c>
      <c r="B159">
        <v>110577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5995</v>
      </c>
      <c r="AG159" s="1">
        <v>8311</v>
      </c>
      <c r="AH159" s="1">
        <v>8311</v>
      </c>
      <c r="AI159" s="1">
        <v>8104</v>
      </c>
      <c r="AJ159" s="1">
        <v>8020</v>
      </c>
      <c r="AK159" s="1">
        <v>7954</v>
      </c>
      <c r="AL159" s="1">
        <v>5636</v>
      </c>
      <c r="AM159" s="1">
        <v>2668</v>
      </c>
      <c r="AN159" s="1">
        <v>2051</v>
      </c>
      <c r="AO159" s="1">
        <v>2170</v>
      </c>
      <c r="AP159" s="1">
        <v>2318</v>
      </c>
      <c r="AQ159" s="1">
        <v>2503</v>
      </c>
      <c r="AR159" s="1">
        <v>2674</v>
      </c>
      <c r="AS159" s="1">
        <v>2853</v>
      </c>
      <c r="AT159" s="1">
        <v>2980</v>
      </c>
      <c r="AU159" s="1">
        <v>3017</v>
      </c>
      <c r="AV159" s="1">
        <v>3064</v>
      </c>
      <c r="AW159" s="1">
        <v>3105</v>
      </c>
      <c r="AX159" s="1">
        <v>3117</v>
      </c>
      <c r="AY159" s="1"/>
      <c r="BA159" s="21">
        <f t="shared" si="153"/>
        <v>0</v>
      </c>
      <c r="BB159" s="22">
        <f t="shared" si="154"/>
        <v>0</v>
      </c>
      <c r="BD159" s="7">
        <f t="shared" si="155"/>
        <v>0</v>
      </c>
      <c r="BE159" s="7">
        <f t="shared" si="156"/>
        <v>0</v>
      </c>
      <c r="BF159" s="8" t="e">
        <f t="shared" si="157"/>
        <v>#DIV/0!</v>
      </c>
      <c r="BG159" s="7">
        <f t="shared" si="158"/>
        <v>0</v>
      </c>
      <c r="BI159" s="12">
        <f t="shared" si="159"/>
        <v>52331</v>
      </c>
      <c r="BJ159" s="12">
        <f t="shared" si="160"/>
        <v>52331</v>
      </c>
      <c r="BK159" s="13" t="e">
        <f t="shared" si="161"/>
        <v>#DIV/0!</v>
      </c>
      <c r="BL159" s="24">
        <f t="shared" si="162"/>
        <v>2827.125</v>
      </c>
      <c r="BM159" s="24">
        <f t="shared" si="163"/>
        <v>7428.5</v>
      </c>
      <c r="BO159" s="17">
        <f t="shared" si="164"/>
        <v>32520</v>
      </c>
      <c r="BP159" s="17">
        <f t="shared" si="165"/>
        <v>-19811</v>
      </c>
      <c r="BQ159" s="18">
        <f t="shared" si="166"/>
        <v>-0.37857101909002311</v>
      </c>
      <c r="BR159" s="25">
        <f t="shared" si="167"/>
        <v>2710</v>
      </c>
    </row>
    <row r="160" spans="1:70">
      <c r="A160" t="s">
        <v>11</v>
      </c>
      <c r="B160" t="s">
        <v>12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70">
      <c r="A161" t="s">
        <v>588</v>
      </c>
      <c r="C161" s="1">
        <v>280836</v>
      </c>
      <c r="D161" s="1">
        <v>253817</v>
      </c>
      <c r="E161" s="1">
        <v>281813</v>
      </c>
      <c r="F161" s="1">
        <v>323943</v>
      </c>
      <c r="G161" s="1">
        <v>347712</v>
      </c>
      <c r="H161" s="1">
        <v>341822</v>
      </c>
      <c r="I161" s="1">
        <v>351878</v>
      </c>
      <c r="J161" s="1">
        <v>351716</v>
      </c>
      <c r="K161" s="1">
        <v>338384</v>
      </c>
      <c r="L161" s="1">
        <v>352257</v>
      </c>
      <c r="M161" s="1">
        <v>352606</v>
      </c>
      <c r="N161" s="1">
        <v>364013</v>
      </c>
      <c r="O161" s="1">
        <v>365112</v>
      </c>
      <c r="P161" s="1">
        <v>340228</v>
      </c>
      <c r="Q161" s="1">
        <v>362646</v>
      </c>
      <c r="R161" s="1">
        <v>351064</v>
      </c>
      <c r="S161" s="1">
        <v>361616</v>
      </c>
      <c r="T161" s="1">
        <v>349701</v>
      </c>
      <c r="U161" s="1">
        <v>360752</v>
      </c>
      <c r="V161" s="1">
        <v>362368</v>
      </c>
      <c r="W161" s="1">
        <v>350268</v>
      </c>
      <c r="X161" s="1">
        <v>349708</v>
      </c>
      <c r="Y161" s="1">
        <v>334476</v>
      </c>
      <c r="Z161" s="1">
        <v>335179</v>
      </c>
      <c r="AA161" s="1">
        <v>310831</v>
      </c>
      <c r="AB161" s="1">
        <v>279494</v>
      </c>
      <c r="AC161" s="1">
        <v>311435</v>
      </c>
      <c r="AD161" s="1">
        <v>313949</v>
      </c>
      <c r="AE161" s="1">
        <v>316873</v>
      </c>
      <c r="AF161" s="1">
        <v>318058</v>
      </c>
      <c r="AG161" s="1">
        <v>334660</v>
      </c>
      <c r="AH161" s="1">
        <v>342450</v>
      </c>
      <c r="AI161" s="1">
        <v>332146</v>
      </c>
      <c r="AJ161" s="1">
        <v>346523</v>
      </c>
      <c r="AK161" s="1">
        <v>342456</v>
      </c>
      <c r="AL161" s="1">
        <v>357922</v>
      </c>
      <c r="AM161" s="1">
        <v>362243</v>
      </c>
      <c r="AN161" s="1">
        <v>336180</v>
      </c>
      <c r="AO161" s="1">
        <v>385163</v>
      </c>
      <c r="AP161" s="1">
        <v>400394</v>
      </c>
      <c r="AQ161" s="1">
        <v>446760</v>
      </c>
      <c r="AR161" s="1">
        <v>463927</v>
      </c>
      <c r="AS161" s="1">
        <v>512569</v>
      </c>
      <c r="AT161" s="1">
        <v>537011</v>
      </c>
      <c r="AU161" s="1">
        <v>528154</v>
      </c>
      <c r="AV161" s="1">
        <v>554057</v>
      </c>
      <c r="AW161" s="1">
        <v>545099</v>
      </c>
      <c r="AX161" s="1">
        <v>565033</v>
      </c>
      <c r="AY161" s="1"/>
      <c r="BA161" s="21">
        <f>SUM(C161:N161)</f>
        <v>3940797</v>
      </c>
      <c r="BB161" s="22">
        <f>+BA161/12</f>
        <v>328399.75</v>
      </c>
      <c r="BD161" s="7">
        <f>SUM(O161:Z161)</f>
        <v>4223118</v>
      </c>
      <c r="BE161" s="7">
        <f>+BD161-BA161</f>
        <v>282321</v>
      </c>
      <c r="BF161" s="8">
        <f>(BD161/BA161)-1</f>
        <v>7.1640584379251138E-2</v>
      </c>
      <c r="BG161" s="7">
        <f>BD161/12</f>
        <v>351926.5</v>
      </c>
      <c r="BI161" s="12">
        <f>+SUM(AA161:AL161)</f>
        <v>3906797</v>
      </c>
      <c r="BJ161" s="12">
        <f>+BI161-BD161</f>
        <v>-316321</v>
      </c>
      <c r="BK161" s="13">
        <f>(BI161/BD161)-1</f>
        <v>-7.4902240477296655E-2</v>
      </c>
      <c r="BL161" s="24">
        <f>SUM(AA161:AH161)/8</f>
        <v>315968.75</v>
      </c>
      <c r="BM161" s="24">
        <f>SUM(AI161:AL161)/4</f>
        <v>344761.75</v>
      </c>
      <c r="BO161" s="17">
        <f>+SUM(AM161:AX161)</f>
        <v>5636590</v>
      </c>
      <c r="BP161" s="17">
        <f>+BO161-BI161</f>
        <v>1729793</v>
      </c>
      <c r="BQ161" s="18">
        <f>(BO161/BI161)-1</f>
        <v>0.4427650067305775</v>
      </c>
      <c r="BR161" s="25">
        <f>BO161/12</f>
        <v>469715.83333333331</v>
      </c>
    </row>
    <row r="162" spans="1:70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70">
      <c r="A163" t="s">
        <v>11</v>
      </c>
      <c r="B163" t="s">
        <v>12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BA163" s="21"/>
      <c r="BB163" s="22"/>
      <c r="BD163" s="7"/>
      <c r="BE163" s="7"/>
      <c r="BF163" s="8"/>
      <c r="BG163" s="7"/>
      <c r="BI163" s="12"/>
      <c r="BJ163" s="12"/>
      <c r="BK163" s="13"/>
      <c r="BL163" s="24"/>
      <c r="BM163" s="24"/>
      <c r="BO163" s="17"/>
      <c r="BP163" s="17"/>
      <c r="BQ163" s="18"/>
      <c r="BR163" s="25"/>
    </row>
    <row r="164" spans="1:70">
      <c r="A164" t="s">
        <v>589</v>
      </c>
      <c r="C164" s="1">
        <v>354656</v>
      </c>
      <c r="D164" s="1">
        <v>321672</v>
      </c>
      <c r="E164" s="1">
        <v>360474</v>
      </c>
      <c r="F164" s="1">
        <v>406957</v>
      </c>
      <c r="G164" s="1">
        <v>433327</v>
      </c>
      <c r="H164" s="1">
        <v>424595</v>
      </c>
      <c r="I164" s="1">
        <v>439699</v>
      </c>
      <c r="J164" s="1">
        <v>439185</v>
      </c>
      <c r="K164" s="1">
        <v>423715</v>
      </c>
      <c r="L164" s="1">
        <v>440589</v>
      </c>
      <c r="M164" s="1">
        <v>438028</v>
      </c>
      <c r="N164" s="1">
        <v>451987</v>
      </c>
      <c r="O164" s="1">
        <v>448408</v>
      </c>
      <c r="P164" s="1">
        <v>428674</v>
      </c>
      <c r="Q164" s="1">
        <v>450609</v>
      </c>
      <c r="R164" s="1">
        <v>436400</v>
      </c>
      <c r="S164" s="1">
        <v>449482</v>
      </c>
      <c r="T164" s="1">
        <v>435833</v>
      </c>
      <c r="U164" s="1">
        <v>449079</v>
      </c>
      <c r="V164" s="1">
        <v>450990</v>
      </c>
      <c r="W164" s="1">
        <v>435930</v>
      </c>
      <c r="X164" s="1">
        <v>437474</v>
      </c>
      <c r="Y164" s="1">
        <v>419909</v>
      </c>
      <c r="Z164" s="1">
        <v>425033</v>
      </c>
      <c r="AA164" s="1">
        <v>400606</v>
      </c>
      <c r="AB164" s="1">
        <v>361703</v>
      </c>
      <c r="AC164" s="1">
        <v>400803</v>
      </c>
      <c r="AD164" s="1">
        <v>400728</v>
      </c>
      <c r="AE164" s="1">
        <v>405791</v>
      </c>
      <c r="AF164" s="1">
        <v>403921</v>
      </c>
      <c r="AG164" s="1">
        <v>421176</v>
      </c>
      <c r="AH164" s="1">
        <v>423168</v>
      </c>
      <c r="AI164" s="1">
        <v>410808</v>
      </c>
      <c r="AJ164" s="1">
        <v>425759</v>
      </c>
      <c r="AK164" s="1">
        <v>422486</v>
      </c>
      <c r="AL164" s="1">
        <v>439568</v>
      </c>
      <c r="AM164" s="1">
        <v>444993</v>
      </c>
      <c r="AN164" s="1">
        <v>420462</v>
      </c>
      <c r="AO164" s="1">
        <v>475640</v>
      </c>
      <c r="AP164" s="1">
        <v>496869</v>
      </c>
      <c r="AQ164" s="1">
        <v>551999</v>
      </c>
      <c r="AR164" s="1">
        <v>576200</v>
      </c>
      <c r="AS164" s="1">
        <v>633492</v>
      </c>
      <c r="AT164" s="1">
        <v>663638</v>
      </c>
      <c r="AU164" s="1">
        <v>655812</v>
      </c>
      <c r="AV164" s="1">
        <v>684582</v>
      </c>
      <c r="AW164" s="1">
        <v>676893</v>
      </c>
      <c r="AX164" s="1">
        <v>698163</v>
      </c>
      <c r="AY164" s="1"/>
      <c r="BA164" s="21">
        <f>SUM(C164:N164)</f>
        <v>4934884</v>
      </c>
      <c r="BB164" s="22">
        <f>+BA164/12</f>
        <v>411240.33333333331</v>
      </c>
      <c r="BD164" s="7">
        <f>SUM(O164:Z164)</f>
        <v>5267821</v>
      </c>
      <c r="BE164" s="7">
        <f>+BD164-BA164</f>
        <v>332937</v>
      </c>
      <c r="BF164" s="8">
        <f>(BD164/BA164)-1</f>
        <v>6.7466023517472662E-2</v>
      </c>
      <c r="BG164" s="7">
        <f>BD164/12</f>
        <v>438985.08333333331</v>
      </c>
      <c r="BI164" s="12">
        <f>+SUM(AA164:AL164)</f>
        <v>4916517</v>
      </c>
      <c r="BJ164" s="12">
        <f>+BI164-BD164</f>
        <v>-351304</v>
      </c>
      <c r="BK164" s="13">
        <f>(BI164/BD164)-1</f>
        <v>-6.6688674501278578E-2</v>
      </c>
      <c r="BL164" s="24">
        <f>SUM(AA164:AH164)/8</f>
        <v>402237</v>
      </c>
      <c r="BM164" s="24">
        <f>SUM(AI164:AL164)/4</f>
        <v>424655.25</v>
      </c>
      <c r="BO164" s="17">
        <f>+SUM(AM164:AX164)</f>
        <v>6978743</v>
      </c>
      <c r="BP164" s="17">
        <f>+BO164-BI164</f>
        <v>2062226</v>
      </c>
      <c r="BQ164" s="18">
        <f>(BO164/BI164)-1</f>
        <v>0.41944856490885729</v>
      </c>
      <c r="BR164" s="25">
        <f>BO164/12</f>
        <v>581561.91666666663</v>
      </c>
    </row>
    <row r="165" spans="1:70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BA165" s="21"/>
      <c r="BB165" s="22"/>
      <c r="BD165" s="7"/>
      <c r="BE165" s="7"/>
      <c r="BF165" s="8"/>
      <c r="BG165" s="7"/>
      <c r="BI165" s="12"/>
      <c r="BJ165" s="12"/>
      <c r="BK165" s="13"/>
      <c r="BL165" s="24"/>
      <c r="BM165" s="24"/>
      <c r="BO165" s="17"/>
      <c r="BP165" s="17"/>
      <c r="BQ165" s="18"/>
      <c r="BR165" s="25"/>
    </row>
    <row r="166" spans="1:70">
      <c r="A166" t="s">
        <v>235</v>
      </c>
      <c r="B166">
        <v>110615</v>
      </c>
      <c r="C166" s="1">
        <v>599262</v>
      </c>
      <c r="D166" s="1">
        <v>556940</v>
      </c>
      <c r="E166" s="1">
        <v>617772</v>
      </c>
      <c r="F166" s="1">
        <v>596413</v>
      </c>
      <c r="G166" s="1">
        <v>653539</v>
      </c>
      <c r="H166" s="1">
        <v>644273</v>
      </c>
      <c r="I166" s="1">
        <v>674744</v>
      </c>
      <c r="J166" s="1">
        <v>699063</v>
      </c>
      <c r="K166" s="1">
        <v>682602</v>
      </c>
      <c r="L166" s="1">
        <v>717673</v>
      </c>
      <c r="M166" s="1">
        <v>718611</v>
      </c>
      <c r="N166" s="1">
        <v>754153</v>
      </c>
      <c r="O166" s="1">
        <v>755825</v>
      </c>
      <c r="P166" s="1">
        <v>706510</v>
      </c>
      <c r="Q166" s="1">
        <v>751692</v>
      </c>
      <c r="R166" s="1">
        <v>717054</v>
      </c>
      <c r="S166" s="1">
        <v>771607</v>
      </c>
      <c r="T166" s="1">
        <v>728348</v>
      </c>
      <c r="U166" s="1">
        <v>781112</v>
      </c>
      <c r="V166" s="1">
        <v>786533</v>
      </c>
      <c r="W166" s="1">
        <v>761791</v>
      </c>
      <c r="X166" s="1">
        <v>791544</v>
      </c>
      <c r="Y166" s="1">
        <v>726093</v>
      </c>
      <c r="Z166" s="1">
        <v>779471</v>
      </c>
      <c r="AA166" s="1">
        <v>743981</v>
      </c>
      <c r="AB166" s="1">
        <v>651096</v>
      </c>
      <c r="AC166" s="1">
        <v>721857</v>
      </c>
      <c r="AD166" s="1">
        <v>683454</v>
      </c>
      <c r="AE166" s="1">
        <v>725137</v>
      </c>
      <c r="AF166" s="1">
        <v>683706</v>
      </c>
      <c r="AG166" s="1">
        <v>741212</v>
      </c>
      <c r="AH166" s="1">
        <v>735699</v>
      </c>
      <c r="AI166" s="1">
        <v>818576</v>
      </c>
      <c r="AJ166" s="1">
        <v>786352</v>
      </c>
      <c r="AK166" s="1">
        <v>762660</v>
      </c>
      <c r="AL166" s="1">
        <v>769828</v>
      </c>
      <c r="AM166" s="1">
        <v>754147</v>
      </c>
      <c r="AN166" s="1">
        <v>681135</v>
      </c>
      <c r="AO166" s="1">
        <v>747110</v>
      </c>
      <c r="AP166" s="1">
        <v>722469</v>
      </c>
      <c r="AQ166" s="1">
        <v>753420</v>
      </c>
      <c r="AR166" s="1">
        <v>727688</v>
      </c>
      <c r="AS166" s="1">
        <v>751777</v>
      </c>
      <c r="AT166" s="1">
        <v>759570</v>
      </c>
      <c r="AU166" s="1">
        <v>734554</v>
      </c>
      <c r="AV166" s="1">
        <v>753061</v>
      </c>
      <c r="AW166" s="1">
        <v>727799</v>
      </c>
      <c r="AX166" s="1">
        <v>750005</v>
      </c>
      <c r="AY166" s="1"/>
      <c r="BA166" s="21">
        <f>SUM(C166:N166)</f>
        <v>7915045</v>
      </c>
      <c r="BB166" s="22">
        <f>+BA166/12</f>
        <v>659587.08333333337</v>
      </c>
      <c r="BD166" s="7">
        <f>SUM(O166:Z166)</f>
        <v>9057580</v>
      </c>
      <c r="BE166" s="7">
        <f>+BD166-BA166</f>
        <v>1142535</v>
      </c>
      <c r="BF166" s="8">
        <f>(BD166/BA166)-1</f>
        <v>0.14434977943903027</v>
      </c>
      <c r="BG166" s="7">
        <f>BD166/12</f>
        <v>754798.33333333337</v>
      </c>
      <c r="BI166" s="12">
        <f>+SUM(AA166:AL166)</f>
        <v>8823558</v>
      </c>
      <c r="BJ166" s="12">
        <f>+BI166-BD166</f>
        <v>-234022</v>
      </c>
      <c r="BK166" s="13">
        <f>(BI166/BD166)-1</f>
        <v>-2.5837144137838108E-2</v>
      </c>
      <c r="BL166" s="24">
        <f>SUM(AA166:AH166)/8</f>
        <v>710767.75</v>
      </c>
      <c r="BM166" s="24">
        <f>SUM(AI166:AL166)/4</f>
        <v>784354</v>
      </c>
      <c r="BO166" s="17">
        <f>+SUM(AM166:AX166)</f>
        <v>8862735</v>
      </c>
      <c r="BP166" s="17">
        <f>+BO166-BI166</f>
        <v>39177</v>
      </c>
      <c r="BQ166" s="18">
        <f>(BO166/BI166)-1</f>
        <v>4.4400456142521527E-3</v>
      </c>
      <c r="BR166" s="25">
        <f>BO166/12</f>
        <v>738561.25</v>
      </c>
    </row>
    <row r="167" spans="1:70">
      <c r="A167" t="s">
        <v>236</v>
      </c>
      <c r="B167">
        <v>110620</v>
      </c>
      <c r="C167" s="1">
        <v>63695</v>
      </c>
      <c r="D167" s="1">
        <v>57962</v>
      </c>
      <c r="E167" s="1">
        <v>63736</v>
      </c>
      <c r="F167" s="1">
        <v>61709</v>
      </c>
      <c r="G167" s="1">
        <v>66298</v>
      </c>
      <c r="H167" s="1">
        <v>64326</v>
      </c>
      <c r="I167" s="1">
        <v>67800</v>
      </c>
      <c r="J167" s="1">
        <v>70902</v>
      </c>
      <c r="K167" s="1">
        <v>69119</v>
      </c>
      <c r="L167" s="1">
        <v>72760</v>
      </c>
      <c r="M167" s="1">
        <v>70579</v>
      </c>
      <c r="N167" s="1">
        <v>72633</v>
      </c>
      <c r="O167" s="1">
        <v>73113</v>
      </c>
      <c r="P167" s="1">
        <v>66916</v>
      </c>
      <c r="Q167" s="1">
        <v>72382</v>
      </c>
      <c r="R167" s="1">
        <v>66868</v>
      </c>
      <c r="S167" s="1">
        <v>72760</v>
      </c>
      <c r="T167" s="1">
        <v>67059</v>
      </c>
      <c r="U167" s="1">
        <v>71659</v>
      </c>
      <c r="V167" s="1">
        <v>73090</v>
      </c>
      <c r="W167" s="1">
        <v>67811</v>
      </c>
      <c r="X167" s="1">
        <v>71334</v>
      </c>
      <c r="Y167" s="1">
        <v>64464</v>
      </c>
      <c r="Z167" s="1">
        <v>70784</v>
      </c>
      <c r="AA167" s="1">
        <v>67741</v>
      </c>
      <c r="AB167" s="1">
        <v>59246</v>
      </c>
      <c r="AC167" s="1">
        <v>63468</v>
      </c>
      <c r="AD167" s="1">
        <v>62856</v>
      </c>
      <c r="AE167" s="1">
        <v>65116</v>
      </c>
      <c r="AF167" s="1">
        <v>63444</v>
      </c>
      <c r="AG167" s="1">
        <v>68650</v>
      </c>
      <c r="AH167" s="1">
        <v>67686</v>
      </c>
      <c r="AI167" s="1">
        <v>81949</v>
      </c>
      <c r="AJ167" s="1">
        <v>80525</v>
      </c>
      <c r="AK167" s="1">
        <v>78153</v>
      </c>
      <c r="AL167" s="1">
        <v>79184</v>
      </c>
      <c r="AM167" s="1">
        <v>77761</v>
      </c>
      <c r="AN167" s="1">
        <v>70159</v>
      </c>
      <c r="AO167" s="1">
        <v>77080</v>
      </c>
      <c r="AP167" s="1">
        <v>74658</v>
      </c>
      <c r="AQ167" s="1">
        <v>77857</v>
      </c>
      <c r="AR167" s="1">
        <v>75334</v>
      </c>
      <c r="AS167" s="1">
        <v>77970</v>
      </c>
      <c r="AT167" s="1">
        <v>78778</v>
      </c>
      <c r="AU167" s="1">
        <v>76327</v>
      </c>
      <c r="AV167" s="1">
        <v>78400</v>
      </c>
      <c r="AW167" s="1">
        <v>75770</v>
      </c>
      <c r="AX167" s="1">
        <v>78081</v>
      </c>
      <c r="AY167" s="1"/>
      <c r="BA167" s="21">
        <f>SUM(C167:N167)</f>
        <v>801519</v>
      </c>
      <c r="BB167" s="22">
        <f>+BA167/12</f>
        <v>66793.25</v>
      </c>
      <c r="BD167" s="7">
        <f>SUM(O167:Z167)</f>
        <v>838240</v>
      </c>
      <c r="BE167" s="7">
        <f>+BD167-BA167</f>
        <v>36721</v>
      </c>
      <c r="BF167" s="8">
        <f>(BD167/BA167)-1</f>
        <v>4.5814260173495658E-2</v>
      </c>
      <c r="BG167" s="7">
        <f>BD167/12</f>
        <v>69853.333333333328</v>
      </c>
      <c r="BI167" s="12">
        <f>+SUM(AA167:AL167)</f>
        <v>838018</v>
      </c>
      <c r="BJ167" s="12">
        <f>+BI167-BD167</f>
        <v>-222</v>
      </c>
      <c r="BK167" s="13">
        <f>(BI167/BD167)-1</f>
        <v>-2.6484061843867757E-4</v>
      </c>
      <c r="BL167" s="24">
        <f>SUM(AA167:AH167)/8</f>
        <v>64775.875</v>
      </c>
      <c r="BM167" s="24">
        <f>SUM(AI167:AL167)/4</f>
        <v>79952.75</v>
      </c>
      <c r="BO167" s="17">
        <f>+SUM(AM167:AX167)</f>
        <v>918175</v>
      </c>
      <c r="BP167" s="17">
        <f>+BO167-BI167</f>
        <v>80157</v>
      </c>
      <c r="BQ167" s="18">
        <f>(BO167/BI167)-1</f>
        <v>9.5650690080642642E-2</v>
      </c>
      <c r="BR167" s="25">
        <f>BO167/12</f>
        <v>76514.583333333328</v>
      </c>
    </row>
    <row r="168" spans="1:70">
      <c r="A168" t="s">
        <v>237</v>
      </c>
      <c r="B168">
        <v>110623</v>
      </c>
      <c r="C168" s="1">
        <v>49702</v>
      </c>
      <c r="D168" s="1">
        <v>48256</v>
      </c>
      <c r="E168" s="1">
        <v>55654</v>
      </c>
      <c r="F168" s="1">
        <v>54664</v>
      </c>
      <c r="G168" s="1">
        <v>59306</v>
      </c>
      <c r="H168" s="1">
        <v>58737</v>
      </c>
      <c r="I168" s="1">
        <v>62265</v>
      </c>
      <c r="J168" s="1">
        <v>63982</v>
      </c>
      <c r="K168" s="1">
        <v>62282</v>
      </c>
      <c r="L168" s="1">
        <v>68492</v>
      </c>
      <c r="M168" s="1">
        <v>67336</v>
      </c>
      <c r="N168" s="1">
        <v>70860</v>
      </c>
      <c r="O168" s="1">
        <v>70159</v>
      </c>
      <c r="P168" s="1">
        <v>66727</v>
      </c>
      <c r="Q168" s="1">
        <v>70166</v>
      </c>
      <c r="R168" s="1">
        <v>69079</v>
      </c>
      <c r="S168" s="1">
        <v>74204</v>
      </c>
      <c r="T168" s="1">
        <v>72851</v>
      </c>
      <c r="U168" s="1">
        <v>80315</v>
      </c>
      <c r="V168" s="1">
        <v>80436</v>
      </c>
      <c r="W168" s="1">
        <v>76027</v>
      </c>
      <c r="X168" s="1">
        <v>78923</v>
      </c>
      <c r="Y168" s="1">
        <v>74957</v>
      </c>
      <c r="Z168" s="1">
        <v>83263</v>
      </c>
      <c r="AA168" s="1">
        <v>82608</v>
      </c>
      <c r="AB168" s="1">
        <v>70485</v>
      </c>
      <c r="AC168" s="1">
        <v>80739</v>
      </c>
      <c r="AD168" s="1">
        <v>76728</v>
      </c>
      <c r="AE168" s="1">
        <v>84118</v>
      </c>
      <c r="AF168" s="1">
        <v>82473</v>
      </c>
      <c r="AG168" s="1">
        <v>88729</v>
      </c>
      <c r="AH168" s="1">
        <v>87970</v>
      </c>
      <c r="AI168" s="1">
        <v>120672</v>
      </c>
      <c r="AJ168" s="1">
        <v>118807</v>
      </c>
      <c r="AK168" s="1">
        <v>114118</v>
      </c>
      <c r="AL168" s="1">
        <v>121576</v>
      </c>
      <c r="AM168" s="1">
        <v>122890</v>
      </c>
      <c r="AN168" s="1">
        <v>111045</v>
      </c>
      <c r="AO168" s="1">
        <v>122262</v>
      </c>
      <c r="AP168" s="1">
        <v>118725</v>
      </c>
      <c r="AQ168" s="1">
        <v>123811</v>
      </c>
      <c r="AR168" s="1">
        <v>119958</v>
      </c>
      <c r="AS168" s="1">
        <v>124319</v>
      </c>
      <c r="AT168" s="1">
        <v>125608</v>
      </c>
      <c r="AU168" s="1">
        <v>121867</v>
      </c>
      <c r="AV168" s="1">
        <v>125349</v>
      </c>
      <c r="AW168" s="1">
        <v>121144</v>
      </c>
      <c r="AX168" s="1">
        <v>124840</v>
      </c>
      <c r="AY168" s="1"/>
      <c r="BA168" s="21">
        <f>SUM(C168:N168)</f>
        <v>721536</v>
      </c>
      <c r="BB168" s="22">
        <f>+BA168/12</f>
        <v>60128</v>
      </c>
      <c r="BD168" s="7">
        <f>SUM(O168:Z168)</f>
        <v>897107</v>
      </c>
      <c r="BE168" s="7">
        <f>+BD168-BA168</f>
        <v>175571</v>
      </c>
      <c r="BF168" s="8">
        <f>(BD168/BA168)-1</f>
        <v>0.24332950816036902</v>
      </c>
      <c r="BG168" s="7">
        <f>BD168/12</f>
        <v>74758.916666666672</v>
      </c>
      <c r="BI168" s="12">
        <f>+SUM(AA168:AL168)</f>
        <v>1129023</v>
      </c>
      <c r="BJ168" s="12">
        <f>+BI168-BD168</f>
        <v>231916</v>
      </c>
      <c r="BK168" s="13">
        <f>(BI168/BD168)-1</f>
        <v>0.25851542792554283</v>
      </c>
      <c r="BL168" s="24">
        <f>SUM(AA168:AH168)/8</f>
        <v>81731.25</v>
      </c>
      <c r="BM168" s="24">
        <f>SUM(AI168:AL168)/4</f>
        <v>118793.25</v>
      </c>
      <c r="BO168" s="17">
        <f>+SUM(AM168:AX168)</f>
        <v>1461818</v>
      </c>
      <c r="BP168" s="17">
        <f>+BO168-BI168</f>
        <v>332795</v>
      </c>
      <c r="BQ168" s="18">
        <f>(BO168/BI168)-1</f>
        <v>0.29476370277664854</v>
      </c>
      <c r="BR168" s="25">
        <f>BO168/12</f>
        <v>121818.16666666667</v>
      </c>
    </row>
    <row r="169" spans="1:70">
      <c r="A169" t="s">
        <v>239</v>
      </c>
      <c r="B169">
        <v>110625</v>
      </c>
      <c r="C169" s="1">
        <v>8418</v>
      </c>
      <c r="D169" s="1">
        <v>8253</v>
      </c>
      <c r="E169" s="1">
        <v>9371</v>
      </c>
      <c r="F169" s="1">
        <v>8603</v>
      </c>
      <c r="G169" s="1">
        <v>9741</v>
      </c>
      <c r="H169" s="1">
        <v>7744</v>
      </c>
      <c r="I169" s="1">
        <v>8054</v>
      </c>
      <c r="J169" s="1">
        <v>9303</v>
      </c>
      <c r="K169" s="1">
        <v>9475</v>
      </c>
      <c r="L169" s="1">
        <v>10208</v>
      </c>
      <c r="M169" s="1">
        <v>9930</v>
      </c>
      <c r="N169" s="1">
        <v>11088</v>
      </c>
      <c r="O169" s="1">
        <v>12408</v>
      </c>
      <c r="P169" s="1">
        <v>12255</v>
      </c>
      <c r="Q169" s="1">
        <v>12015</v>
      </c>
      <c r="R169" s="1">
        <v>11444</v>
      </c>
      <c r="S169" s="1">
        <v>12357</v>
      </c>
      <c r="T169" s="1">
        <v>11306</v>
      </c>
      <c r="U169" s="1">
        <v>11701</v>
      </c>
      <c r="V169" s="1">
        <v>11576</v>
      </c>
      <c r="W169" s="1">
        <v>9660</v>
      </c>
      <c r="X169" s="1">
        <v>10832</v>
      </c>
      <c r="Y169" s="1">
        <v>9797</v>
      </c>
      <c r="Z169" s="1">
        <v>11272</v>
      </c>
      <c r="AA169" s="1">
        <v>10425</v>
      </c>
      <c r="AB169" s="1">
        <v>9892</v>
      </c>
      <c r="AC169" s="1">
        <v>11151</v>
      </c>
      <c r="AD169" s="1">
        <v>9759</v>
      </c>
      <c r="AE169" s="1">
        <v>11554</v>
      </c>
      <c r="AF169" s="1">
        <v>10373</v>
      </c>
      <c r="AG169" s="1">
        <v>12366</v>
      </c>
      <c r="AH169" s="1">
        <v>11120</v>
      </c>
      <c r="AI169" s="1">
        <v>13073</v>
      </c>
      <c r="AJ169" s="1">
        <v>12397</v>
      </c>
      <c r="AK169" s="1">
        <v>12036</v>
      </c>
      <c r="AL169" s="1">
        <v>12199</v>
      </c>
      <c r="AM169" s="1">
        <v>11974</v>
      </c>
      <c r="AN169" s="1">
        <v>10795</v>
      </c>
      <c r="AO169" s="1">
        <v>11860</v>
      </c>
      <c r="AP169" s="1">
        <v>11487</v>
      </c>
      <c r="AQ169" s="1">
        <v>11979</v>
      </c>
      <c r="AR169" s="1">
        <v>11591</v>
      </c>
      <c r="AS169" s="1">
        <v>11996</v>
      </c>
      <c r="AT169" s="1">
        <v>12121</v>
      </c>
      <c r="AU169" s="1">
        <v>11744</v>
      </c>
      <c r="AV169" s="1">
        <v>12063</v>
      </c>
      <c r="AW169" s="1">
        <v>11658</v>
      </c>
      <c r="AX169" s="1">
        <v>12014</v>
      </c>
      <c r="AY169" s="1"/>
      <c r="BA169" s="21">
        <f>SUM(C169:N169)</f>
        <v>110188</v>
      </c>
      <c r="BB169" s="22">
        <f>+BA169/12</f>
        <v>9182.3333333333339</v>
      </c>
      <c r="BD169" s="7">
        <f>SUM(O169:Z169)</f>
        <v>136623</v>
      </c>
      <c r="BE169" s="7">
        <f>+BD169-BA169</f>
        <v>26435</v>
      </c>
      <c r="BF169" s="8">
        <f>(BD169/BA169)-1</f>
        <v>0.23990815696809098</v>
      </c>
      <c r="BG169" s="7">
        <f>BD169/12</f>
        <v>11385.25</v>
      </c>
      <c r="BI169" s="12">
        <f>+SUM(AA169:AL169)</f>
        <v>136345</v>
      </c>
      <c r="BJ169" s="12">
        <f>+BI169-BD169</f>
        <v>-278</v>
      </c>
      <c r="BK169" s="13">
        <f>(BI169/BD169)-1</f>
        <v>-2.0347964837545973E-3</v>
      </c>
      <c r="BL169" s="24">
        <f>SUM(AA169:AH169)/8</f>
        <v>10830</v>
      </c>
      <c r="BM169" s="24">
        <f>SUM(AI169:AL169)/4</f>
        <v>12426.25</v>
      </c>
      <c r="BO169" s="17">
        <f>+SUM(AM169:AX169)</f>
        <v>141282</v>
      </c>
      <c r="BP169" s="17">
        <f>+BO169-BI169</f>
        <v>4937</v>
      </c>
      <c r="BQ169" s="18">
        <f>(BO169/BI169)-1</f>
        <v>3.6209615314092947E-2</v>
      </c>
      <c r="BR169" s="25">
        <f>BO169/12</f>
        <v>11773.5</v>
      </c>
    </row>
    <row r="170" spans="1:70">
      <c r="A170" t="s">
        <v>11</v>
      </c>
      <c r="B170" t="s">
        <v>12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BA170" s="21"/>
      <c r="BB170" s="22"/>
      <c r="BD170" s="7"/>
      <c r="BE170" s="7"/>
      <c r="BF170" s="8"/>
      <c r="BG170" s="7"/>
      <c r="BI170" s="12"/>
      <c r="BJ170" s="12"/>
      <c r="BK170" s="13"/>
      <c r="BL170" s="24"/>
      <c r="BM170" s="24"/>
      <c r="BO170" s="17"/>
      <c r="BP170" s="17"/>
      <c r="BQ170" s="18"/>
      <c r="BR170" s="25"/>
    </row>
    <row r="171" spans="1:70">
      <c r="A171" t="s">
        <v>590</v>
      </c>
      <c r="C171" s="1">
        <v>721077</v>
      </c>
      <c r="D171" s="1">
        <v>671411</v>
      </c>
      <c r="E171" s="1">
        <v>746534</v>
      </c>
      <c r="F171" s="1">
        <v>721388</v>
      </c>
      <c r="G171" s="1">
        <v>788884</v>
      </c>
      <c r="H171" s="1">
        <v>775079</v>
      </c>
      <c r="I171" s="1">
        <v>812863</v>
      </c>
      <c r="J171" s="1">
        <v>843250</v>
      </c>
      <c r="K171" s="1">
        <v>823478</v>
      </c>
      <c r="L171" s="1">
        <v>869133</v>
      </c>
      <c r="M171" s="1">
        <v>866456</v>
      </c>
      <c r="N171" s="1">
        <v>908735</v>
      </c>
      <c r="O171" s="1">
        <v>911506</v>
      </c>
      <c r="P171" s="1">
        <v>852408</v>
      </c>
      <c r="Q171" s="1">
        <v>906255</v>
      </c>
      <c r="R171" s="1">
        <v>864446</v>
      </c>
      <c r="S171" s="1">
        <v>930928</v>
      </c>
      <c r="T171" s="1">
        <v>879563</v>
      </c>
      <c r="U171" s="1">
        <v>944787</v>
      </c>
      <c r="V171" s="1">
        <v>951634</v>
      </c>
      <c r="W171" s="1">
        <v>915288</v>
      </c>
      <c r="X171" s="1">
        <v>952634</v>
      </c>
      <c r="Y171" s="1">
        <v>875311</v>
      </c>
      <c r="Z171" s="1">
        <v>944790</v>
      </c>
      <c r="AA171" s="1">
        <v>904755</v>
      </c>
      <c r="AB171" s="1">
        <v>790719</v>
      </c>
      <c r="AC171" s="1">
        <v>877216</v>
      </c>
      <c r="AD171" s="1">
        <v>832798</v>
      </c>
      <c r="AE171" s="1">
        <v>885925</v>
      </c>
      <c r="AF171" s="1">
        <v>839998</v>
      </c>
      <c r="AG171" s="1">
        <v>910957</v>
      </c>
      <c r="AH171" s="1">
        <v>902474</v>
      </c>
      <c r="AI171" s="1">
        <v>1034269</v>
      </c>
      <c r="AJ171" s="1">
        <v>998080</v>
      </c>
      <c r="AK171" s="1">
        <v>966967</v>
      </c>
      <c r="AL171" s="1">
        <v>982787</v>
      </c>
      <c r="AM171" s="1">
        <v>966771</v>
      </c>
      <c r="AN171" s="1">
        <v>873133</v>
      </c>
      <c r="AO171" s="1">
        <v>958312</v>
      </c>
      <c r="AP171" s="1">
        <v>927339</v>
      </c>
      <c r="AQ171" s="1">
        <v>967067</v>
      </c>
      <c r="AR171" s="1">
        <v>934570</v>
      </c>
      <c r="AS171" s="1">
        <v>966062</v>
      </c>
      <c r="AT171" s="1">
        <v>976077</v>
      </c>
      <c r="AU171" s="1">
        <v>944492</v>
      </c>
      <c r="AV171" s="1">
        <v>968873</v>
      </c>
      <c r="AW171" s="1">
        <v>936371</v>
      </c>
      <c r="AX171" s="1">
        <v>964940</v>
      </c>
      <c r="AY171" s="1"/>
      <c r="BA171" s="21">
        <f>SUM(C171:N171)</f>
        <v>9548288</v>
      </c>
      <c r="BB171" s="22">
        <f>+BA171/12</f>
        <v>795690.66666666663</v>
      </c>
      <c r="BD171" s="7">
        <f>SUM(O171:Z171)</f>
        <v>10929550</v>
      </c>
      <c r="BE171" s="7">
        <f>+BD171-BA171</f>
        <v>1381262</v>
      </c>
      <c r="BF171" s="8">
        <f>(BD171/BA171)-1</f>
        <v>0.1446606972893989</v>
      </c>
      <c r="BG171" s="7">
        <f>BD171/12</f>
        <v>910795.83333333337</v>
      </c>
      <c r="BI171" s="12">
        <f>+SUM(AA171:AL171)</f>
        <v>10926945</v>
      </c>
      <c r="BJ171" s="12">
        <f>+BI171-BD171</f>
        <v>-2605</v>
      </c>
      <c r="BK171" s="13">
        <f>(BI171/BD171)-1</f>
        <v>-2.3834467109806745E-4</v>
      </c>
      <c r="BL171" s="24">
        <f>SUM(AA171:AH171)/8</f>
        <v>868105.25</v>
      </c>
      <c r="BM171" s="24">
        <f>SUM(AI171:AL171)/4</f>
        <v>995525.75</v>
      </c>
      <c r="BO171" s="17">
        <f>+SUM(AM171:AX171)</f>
        <v>11384007</v>
      </c>
      <c r="BP171" s="17">
        <f>+BO171-BI171</f>
        <v>457062</v>
      </c>
      <c r="BQ171" s="18">
        <f>(BO171/BI171)-1</f>
        <v>4.1828891789974287E-2</v>
      </c>
      <c r="BR171" s="25">
        <f>BO171/12</f>
        <v>948667.25</v>
      </c>
    </row>
    <row r="172" spans="1:70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70">
      <c r="A173" t="s">
        <v>240</v>
      </c>
      <c r="B173">
        <v>110650</v>
      </c>
      <c r="C173" s="1">
        <v>2024</v>
      </c>
      <c r="D173" s="1">
        <v>1777</v>
      </c>
      <c r="E173" s="1">
        <v>1917</v>
      </c>
      <c r="F173" s="1">
        <v>1978</v>
      </c>
      <c r="G173" s="1">
        <v>2004</v>
      </c>
      <c r="H173" s="1">
        <v>2137</v>
      </c>
      <c r="I173" s="1">
        <v>2109</v>
      </c>
      <c r="J173" s="1">
        <v>2040</v>
      </c>
      <c r="K173" s="1">
        <v>2478</v>
      </c>
      <c r="L173" s="1">
        <v>2491</v>
      </c>
      <c r="M173" s="1">
        <v>2322</v>
      </c>
      <c r="N173" s="1">
        <v>2433</v>
      </c>
      <c r="O173" s="1">
        <v>2427</v>
      </c>
      <c r="P173" s="1">
        <v>2200</v>
      </c>
      <c r="Q173" s="1">
        <v>2290</v>
      </c>
      <c r="R173" s="1">
        <v>2121</v>
      </c>
      <c r="S173" s="1">
        <v>2098</v>
      </c>
      <c r="T173" s="1">
        <v>1917</v>
      </c>
      <c r="U173" s="1">
        <v>1910</v>
      </c>
      <c r="V173" s="1">
        <v>1856</v>
      </c>
      <c r="W173" s="1">
        <v>1771</v>
      </c>
      <c r="X173" s="1">
        <v>1762</v>
      </c>
      <c r="Y173" s="1">
        <v>1654</v>
      </c>
      <c r="Z173" s="1">
        <v>1643</v>
      </c>
      <c r="AA173" s="1">
        <v>1551</v>
      </c>
      <c r="AB173" s="1">
        <v>1340</v>
      </c>
      <c r="AC173" s="1">
        <v>1428</v>
      </c>
      <c r="AD173" s="1">
        <v>1349</v>
      </c>
      <c r="AE173" s="1">
        <v>1569</v>
      </c>
      <c r="AF173" s="1">
        <v>1508</v>
      </c>
      <c r="AG173" s="1">
        <v>1735</v>
      </c>
      <c r="AH173" s="1">
        <v>1565</v>
      </c>
      <c r="AI173" s="1">
        <v>1432</v>
      </c>
      <c r="AJ173" s="1">
        <v>1487</v>
      </c>
      <c r="AK173" s="1">
        <v>1436</v>
      </c>
      <c r="AL173" s="1">
        <v>1487</v>
      </c>
      <c r="AM173" s="1">
        <v>1493</v>
      </c>
      <c r="AN173" s="1">
        <v>1346</v>
      </c>
      <c r="AO173" s="1">
        <v>1486</v>
      </c>
      <c r="AP173" s="1">
        <v>1439</v>
      </c>
      <c r="AQ173" s="1">
        <v>1519</v>
      </c>
      <c r="AR173" s="1">
        <v>1497</v>
      </c>
      <c r="AS173" s="1">
        <v>1541</v>
      </c>
      <c r="AT173" s="1">
        <v>1525</v>
      </c>
      <c r="AU173" s="1">
        <v>1508</v>
      </c>
      <c r="AV173" s="1">
        <v>1596</v>
      </c>
      <c r="AW173" s="1">
        <v>1522</v>
      </c>
      <c r="AX173" s="1">
        <v>1554</v>
      </c>
      <c r="AY173" s="1"/>
      <c r="BA173" s="21">
        <f>SUM(C173:N173)</f>
        <v>25710</v>
      </c>
      <c r="BB173" s="22">
        <f>+BA173/12</f>
        <v>2142.5</v>
      </c>
      <c r="BD173" s="7">
        <f>SUM(O173:Z173)</f>
        <v>23649</v>
      </c>
      <c r="BE173" s="7">
        <f>+BD173-BA173</f>
        <v>-2061</v>
      </c>
      <c r="BF173" s="8">
        <f>(BD173/BA173)-1</f>
        <v>-8.0163360560093322E-2</v>
      </c>
      <c r="BG173" s="7">
        <f>BD173/12</f>
        <v>1970.75</v>
      </c>
      <c r="BI173" s="12">
        <f>+SUM(AA173:AL173)</f>
        <v>17887</v>
      </c>
      <c r="BJ173" s="12">
        <f>+BI173-BD173</f>
        <v>-5762</v>
      </c>
      <c r="BK173" s="13">
        <f>(BI173/BD173)-1</f>
        <v>-0.24364666582096495</v>
      </c>
      <c r="BL173" s="24">
        <f>SUM(AA173:AH173)/8</f>
        <v>1505.625</v>
      </c>
      <c r="BM173" s="24">
        <f>SUM(AI173:AL173)/4</f>
        <v>1460.5</v>
      </c>
      <c r="BO173" s="17">
        <f>+SUM(AM173:AX173)</f>
        <v>18026</v>
      </c>
      <c r="BP173" s="17">
        <f>+BO173-BI173</f>
        <v>139</v>
      </c>
      <c r="BQ173" s="18">
        <f>(BO173/BI173)-1</f>
        <v>7.7710068765024509E-3</v>
      </c>
      <c r="BR173" s="25">
        <f>BO173/12</f>
        <v>1502.1666666666667</v>
      </c>
    </row>
    <row r="174" spans="1:70">
      <c r="A174" t="s">
        <v>241</v>
      </c>
      <c r="B174">
        <v>110655</v>
      </c>
      <c r="C174" s="1">
        <v>7027</v>
      </c>
      <c r="D174" s="1">
        <v>6393</v>
      </c>
      <c r="E174" s="1">
        <v>7625</v>
      </c>
      <c r="F174" s="1">
        <v>6714</v>
      </c>
      <c r="G174" s="1">
        <v>8273</v>
      </c>
      <c r="H174" s="1">
        <v>8102</v>
      </c>
      <c r="I174" s="1">
        <v>8242</v>
      </c>
      <c r="J174" s="1">
        <v>8126</v>
      </c>
      <c r="K174" s="1">
        <v>8011</v>
      </c>
      <c r="L174" s="1">
        <v>8468</v>
      </c>
      <c r="M174" s="1">
        <v>8540</v>
      </c>
      <c r="N174" s="1">
        <v>8756</v>
      </c>
      <c r="O174" s="1">
        <v>9092</v>
      </c>
      <c r="P174" s="1">
        <v>8962</v>
      </c>
      <c r="Q174" s="1">
        <v>9332</v>
      </c>
      <c r="R174" s="1">
        <v>8772</v>
      </c>
      <c r="S174" s="1">
        <v>8927</v>
      </c>
      <c r="T174" s="1">
        <v>8346</v>
      </c>
      <c r="U174" s="1">
        <v>7971</v>
      </c>
      <c r="V174" s="1">
        <v>8014</v>
      </c>
      <c r="W174" s="1">
        <v>7734</v>
      </c>
      <c r="X174" s="1">
        <v>7909</v>
      </c>
      <c r="Y174" s="1">
        <v>7485</v>
      </c>
      <c r="Z174" s="1">
        <v>7570</v>
      </c>
      <c r="AA174" s="1">
        <v>7459</v>
      </c>
      <c r="AB174" s="1">
        <v>6042</v>
      </c>
      <c r="AC174" s="1">
        <v>7454</v>
      </c>
      <c r="AD174" s="1">
        <v>8458</v>
      </c>
      <c r="AE174" s="1">
        <v>9684</v>
      </c>
      <c r="AF174" s="1">
        <v>9428</v>
      </c>
      <c r="AG174" s="1">
        <v>10288</v>
      </c>
      <c r="AH174" s="1">
        <v>11129</v>
      </c>
      <c r="AI174" s="1">
        <v>11348</v>
      </c>
      <c r="AJ174" s="1">
        <v>11861</v>
      </c>
      <c r="AK174" s="1">
        <v>11526</v>
      </c>
      <c r="AL174" s="1">
        <v>11951</v>
      </c>
      <c r="AM174" s="1">
        <v>11988</v>
      </c>
      <c r="AN174" s="1">
        <v>10806</v>
      </c>
      <c r="AO174" s="1">
        <v>11917</v>
      </c>
      <c r="AP174" s="1">
        <v>11537</v>
      </c>
      <c r="AQ174" s="1">
        <v>12160</v>
      </c>
      <c r="AR174" s="1">
        <v>11976</v>
      </c>
      <c r="AS174" s="1">
        <v>12328</v>
      </c>
      <c r="AT174" s="1">
        <v>12192</v>
      </c>
      <c r="AU174" s="1">
        <v>12037</v>
      </c>
      <c r="AV174" s="1">
        <v>12723</v>
      </c>
      <c r="AW174" s="1">
        <v>12123</v>
      </c>
      <c r="AX174" s="1">
        <v>12365</v>
      </c>
      <c r="AY174" s="1"/>
      <c r="BA174" s="21">
        <f>SUM(C174:N174)</f>
        <v>94277</v>
      </c>
      <c r="BB174" s="22">
        <f>+BA174/12</f>
        <v>7856.416666666667</v>
      </c>
      <c r="BD174" s="7">
        <f>SUM(O174:Z174)</f>
        <v>100114</v>
      </c>
      <c r="BE174" s="7">
        <f>+BD174-BA174</f>
        <v>5837</v>
      </c>
      <c r="BF174" s="8">
        <f>(BD174/BA174)-1</f>
        <v>6.1913298047243659E-2</v>
      </c>
      <c r="BG174" s="7">
        <f>BD174/12</f>
        <v>8342.8333333333339</v>
      </c>
      <c r="BI174" s="12">
        <f>+SUM(AA174:AL174)</f>
        <v>116628</v>
      </c>
      <c r="BJ174" s="12">
        <f>+BI174-BD174</f>
        <v>16514</v>
      </c>
      <c r="BK174" s="13">
        <f>(BI174/BD174)-1</f>
        <v>0.16495195477156033</v>
      </c>
      <c r="BL174" s="24">
        <f>SUM(AA174:AH174)/8</f>
        <v>8742.75</v>
      </c>
      <c r="BM174" s="24">
        <f>SUM(AI174:AL174)/4</f>
        <v>11671.5</v>
      </c>
      <c r="BO174" s="17">
        <f>+SUM(AM174:AX174)</f>
        <v>144152</v>
      </c>
      <c r="BP174" s="17">
        <f>+BO174-BI174</f>
        <v>27524</v>
      </c>
      <c r="BQ174" s="18">
        <f>(BO174/BI174)-1</f>
        <v>0.23599821655177133</v>
      </c>
      <c r="BR174" s="25">
        <f>BO174/12</f>
        <v>12012.666666666666</v>
      </c>
    </row>
    <row r="175" spans="1:70">
      <c r="A175" t="s">
        <v>11</v>
      </c>
      <c r="B175" t="s">
        <v>12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BA175" s="21"/>
      <c r="BB175" s="22"/>
      <c r="BD175" s="7"/>
      <c r="BE175" s="7"/>
      <c r="BF175" s="8"/>
      <c r="BG175" s="7"/>
      <c r="BI175" s="12"/>
      <c r="BJ175" s="12"/>
      <c r="BK175" s="13"/>
      <c r="BL175" s="24"/>
      <c r="BM175" s="24"/>
      <c r="BO175" s="17"/>
      <c r="BP175" s="17"/>
      <c r="BQ175" s="18"/>
      <c r="BR175" s="25"/>
    </row>
    <row r="176" spans="1:70">
      <c r="A176" t="s">
        <v>591</v>
      </c>
      <c r="C176" s="1">
        <v>9050</v>
      </c>
      <c r="D176" s="1">
        <v>8170</v>
      </c>
      <c r="E176" s="1">
        <v>9542</v>
      </c>
      <c r="F176" s="1">
        <v>8692</v>
      </c>
      <c r="G176" s="1">
        <v>10277</v>
      </c>
      <c r="H176" s="1">
        <v>10239</v>
      </c>
      <c r="I176" s="1">
        <v>10351</v>
      </c>
      <c r="J176" s="1">
        <v>10166</v>
      </c>
      <c r="K176" s="1">
        <v>10489</v>
      </c>
      <c r="L176" s="1">
        <v>10959</v>
      </c>
      <c r="M176" s="1">
        <v>10862</v>
      </c>
      <c r="N176" s="1">
        <v>11189</v>
      </c>
      <c r="O176" s="1">
        <v>11519</v>
      </c>
      <c r="P176" s="1">
        <v>11162</v>
      </c>
      <c r="Q176" s="1">
        <v>11622</v>
      </c>
      <c r="R176" s="1">
        <v>10893</v>
      </c>
      <c r="S176" s="1">
        <v>11025</v>
      </c>
      <c r="T176" s="1">
        <v>10263</v>
      </c>
      <c r="U176" s="1">
        <v>9881</v>
      </c>
      <c r="V176" s="1">
        <v>9870</v>
      </c>
      <c r="W176" s="1">
        <v>9505</v>
      </c>
      <c r="X176" s="1">
        <v>9672</v>
      </c>
      <c r="Y176" s="1">
        <v>9139</v>
      </c>
      <c r="Z176" s="1">
        <v>9213</v>
      </c>
      <c r="AA176" s="1">
        <v>9010</v>
      </c>
      <c r="AB176" s="1">
        <v>7382</v>
      </c>
      <c r="AC176" s="1">
        <v>8881</v>
      </c>
      <c r="AD176" s="1">
        <v>9807</v>
      </c>
      <c r="AE176" s="1">
        <v>11253</v>
      </c>
      <c r="AF176" s="1">
        <v>10935</v>
      </c>
      <c r="AG176" s="1">
        <v>12022</v>
      </c>
      <c r="AH176" s="1">
        <v>12694</v>
      </c>
      <c r="AI176" s="1">
        <v>12780</v>
      </c>
      <c r="AJ176" s="1">
        <v>13349</v>
      </c>
      <c r="AK176" s="1">
        <v>12962</v>
      </c>
      <c r="AL176" s="1">
        <v>13438</v>
      </c>
      <c r="AM176" s="1">
        <v>13481</v>
      </c>
      <c r="AN176" s="1">
        <v>12153</v>
      </c>
      <c r="AO176" s="1">
        <v>13403</v>
      </c>
      <c r="AP176" s="1">
        <v>12976</v>
      </c>
      <c r="AQ176" s="1">
        <v>13678</v>
      </c>
      <c r="AR176" s="1">
        <v>13473</v>
      </c>
      <c r="AS176" s="1">
        <v>13869</v>
      </c>
      <c r="AT176" s="1">
        <v>13718</v>
      </c>
      <c r="AU176" s="1">
        <v>13545</v>
      </c>
      <c r="AV176" s="1">
        <v>14319</v>
      </c>
      <c r="AW176" s="1">
        <v>13645</v>
      </c>
      <c r="AX176" s="1">
        <v>13919</v>
      </c>
      <c r="AY176" s="1"/>
      <c r="BA176" s="21">
        <f>SUM(C176:N176)</f>
        <v>119986</v>
      </c>
      <c r="BB176" s="22">
        <f>+BA176/12</f>
        <v>9998.8333333333339</v>
      </c>
      <c r="BD176" s="7">
        <f>SUM(O176:Z176)</f>
        <v>123764</v>
      </c>
      <c r="BE176" s="7">
        <f>+BD176-BA176</f>
        <v>3778</v>
      </c>
      <c r="BF176" s="8">
        <f>(BD176/BA176)-1</f>
        <v>3.1487006817461971E-2</v>
      </c>
      <c r="BG176" s="7">
        <f>BD176/12</f>
        <v>10313.666666666666</v>
      </c>
      <c r="BI176" s="12">
        <f>+SUM(AA176:AL176)</f>
        <v>134513</v>
      </c>
      <c r="BJ176" s="12">
        <f>+BI176-BD176</f>
        <v>10749</v>
      </c>
      <c r="BK176" s="13">
        <f>(BI176/BD176)-1</f>
        <v>8.6850780517759629E-2</v>
      </c>
      <c r="BL176" s="24">
        <f>SUM(AA176:AH176)/8</f>
        <v>10248</v>
      </c>
      <c r="BM176" s="24">
        <f>SUM(AI176:AL176)/4</f>
        <v>13132.25</v>
      </c>
      <c r="BO176" s="17">
        <f>+SUM(AM176:AX176)</f>
        <v>162179</v>
      </c>
      <c r="BP176" s="17">
        <f>+BO176-BI176</f>
        <v>27666</v>
      </c>
      <c r="BQ176" s="18">
        <f>(BO176/BI176)-1</f>
        <v>0.2056752878903898</v>
      </c>
      <c r="BR176" s="25">
        <f>BO176/12</f>
        <v>13514.916666666666</v>
      </c>
    </row>
    <row r="177" spans="1:70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BA177" s="21"/>
      <c r="BB177" s="22"/>
      <c r="BD177" s="7"/>
      <c r="BE177" s="7"/>
      <c r="BF177" s="8"/>
      <c r="BG177" s="7"/>
      <c r="BI177" s="12"/>
      <c r="BJ177" s="12"/>
      <c r="BK177" s="13"/>
      <c r="BL177" s="24"/>
      <c r="BM177" s="24"/>
      <c r="BO177" s="17"/>
      <c r="BP177" s="17"/>
      <c r="BQ177" s="18"/>
      <c r="BR177" s="25"/>
    </row>
    <row r="178" spans="1:70">
      <c r="A178" t="s">
        <v>244</v>
      </c>
      <c r="B178">
        <v>110705</v>
      </c>
      <c r="C178" s="1">
        <v>143319</v>
      </c>
      <c r="D178" s="1">
        <v>131712</v>
      </c>
      <c r="E178" s="1">
        <v>149801</v>
      </c>
      <c r="F178" s="1">
        <v>149642</v>
      </c>
      <c r="G178" s="1">
        <v>163238</v>
      </c>
      <c r="H178" s="1">
        <v>162617</v>
      </c>
      <c r="I178" s="1">
        <v>174424</v>
      </c>
      <c r="J178" s="1">
        <v>188231</v>
      </c>
      <c r="K178" s="1">
        <v>191102</v>
      </c>
      <c r="L178" s="1">
        <v>205336</v>
      </c>
      <c r="M178" s="1">
        <v>206062</v>
      </c>
      <c r="N178" s="1">
        <v>218676</v>
      </c>
      <c r="O178" s="1">
        <v>221048</v>
      </c>
      <c r="P178" s="1">
        <v>211213</v>
      </c>
      <c r="Q178" s="1">
        <v>233290</v>
      </c>
      <c r="R178" s="1">
        <v>231116</v>
      </c>
      <c r="S178" s="1">
        <v>253029</v>
      </c>
      <c r="T178" s="1">
        <v>254412</v>
      </c>
      <c r="U178" s="1">
        <v>267867</v>
      </c>
      <c r="V178" s="1">
        <v>278173</v>
      </c>
      <c r="W178" s="1">
        <v>278502</v>
      </c>
      <c r="X178" s="1">
        <v>296141</v>
      </c>
      <c r="Y178" s="1">
        <v>295390</v>
      </c>
      <c r="Z178" s="1">
        <v>314758</v>
      </c>
      <c r="AA178" s="1">
        <v>318208</v>
      </c>
      <c r="AB178" s="1">
        <v>291377</v>
      </c>
      <c r="AC178" s="1">
        <v>330745</v>
      </c>
      <c r="AD178" s="1">
        <v>330941</v>
      </c>
      <c r="AE178" s="1">
        <v>352730</v>
      </c>
      <c r="AF178" s="1">
        <v>343315</v>
      </c>
      <c r="AG178" s="1">
        <v>362505</v>
      </c>
      <c r="AH178" s="1">
        <v>367219</v>
      </c>
      <c r="AI178" s="1">
        <v>364385</v>
      </c>
      <c r="AJ178" s="1">
        <v>396054</v>
      </c>
      <c r="AK178" s="1">
        <v>400254</v>
      </c>
      <c r="AL178" s="1">
        <v>411258</v>
      </c>
      <c r="AM178" s="1">
        <v>409545</v>
      </c>
      <c r="AN178" s="1">
        <v>368395</v>
      </c>
      <c r="AO178" s="1">
        <v>406690</v>
      </c>
      <c r="AP178" s="1">
        <v>393653</v>
      </c>
      <c r="AQ178" s="1">
        <v>406979</v>
      </c>
      <c r="AR178" s="1">
        <v>394313</v>
      </c>
      <c r="AS178" s="1">
        <v>408384</v>
      </c>
      <c r="AT178" s="1">
        <v>409386</v>
      </c>
      <c r="AU178" s="1">
        <v>397466</v>
      </c>
      <c r="AV178" s="1">
        <v>411182</v>
      </c>
      <c r="AW178" s="1">
        <v>397676</v>
      </c>
      <c r="AX178" s="1">
        <v>410454</v>
      </c>
      <c r="AY178" s="1"/>
      <c r="BA178" s="21">
        <f>SUM(C178:N178)</f>
        <v>2084160</v>
      </c>
      <c r="BB178" s="22">
        <f>+BA178/12</f>
        <v>173680</v>
      </c>
      <c r="BD178" s="7">
        <f>SUM(O178:Z178)</f>
        <v>3134939</v>
      </c>
      <c r="BE178" s="7">
        <f>+BD178-BA178</f>
        <v>1050779</v>
      </c>
      <c r="BF178" s="8">
        <f>(BD178/BA178)-1</f>
        <v>0.50417386381083995</v>
      </c>
      <c r="BG178" s="7">
        <f>BD178/12</f>
        <v>261244.91666666666</v>
      </c>
      <c r="BI178" s="12">
        <f>+SUM(AA178:AL178)</f>
        <v>4268991</v>
      </c>
      <c r="BJ178" s="12">
        <f>+BI178-BD178</f>
        <v>1134052</v>
      </c>
      <c r="BK178" s="13">
        <f>(BI178/BD178)-1</f>
        <v>0.36174611372023513</v>
      </c>
      <c r="BL178" s="24">
        <f>SUM(AA178:AH178)/8</f>
        <v>337130</v>
      </c>
      <c r="BM178" s="24">
        <f>SUM(AI178:AL178)/4</f>
        <v>392987.75</v>
      </c>
      <c r="BO178" s="17">
        <f>+SUM(AM178:AX178)</f>
        <v>4814123</v>
      </c>
      <c r="BP178" s="17">
        <f>+BO178-BI178</f>
        <v>545132</v>
      </c>
      <c r="BQ178" s="18">
        <f>(BO178/BI178)-1</f>
        <v>0.12769574824589691</v>
      </c>
      <c r="BR178" s="25">
        <f>BO178/12</f>
        <v>401176.91666666669</v>
      </c>
    </row>
    <row r="179" spans="1:70">
      <c r="A179" t="s">
        <v>245</v>
      </c>
      <c r="B179">
        <v>110710</v>
      </c>
      <c r="C179" s="1">
        <v>2812</v>
      </c>
      <c r="D179" s="1">
        <v>2436</v>
      </c>
      <c r="E179" s="1">
        <v>2594</v>
      </c>
      <c r="F179" s="1">
        <v>2526</v>
      </c>
      <c r="G179" s="1">
        <v>2716</v>
      </c>
      <c r="H179" s="1">
        <v>2612</v>
      </c>
      <c r="I179" s="1">
        <v>2781</v>
      </c>
      <c r="J179" s="1">
        <v>2838</v>
      </c>
      <c r="K179" s="1">
        <v>2788</v>
      </c>
      <c r="L179" s="1">
        <v>2922</v>
      </c>
      <c r="M179" s="1">
        <v>2819</v>
      </c>
      <c r="N179" s="1">
        <v>3018</v>
      </c>
      <c r="O179" s="1">
        <v>2886</v>
      </c>
      <c r="P179" s="1">
        <v>2713</v>
      </c>
      <c r="Q179" s="1">
        <v>2752</v>
      </c>
      <c r="R179" s="1">
        <v>2759</v>
      </c>
      <c r="S179" s="1">
        <v>2778</v>
      </c>
      <c r="T179" s="1">
        <v>2686</v>
      </c>
      <c r="U179" s="1">
        <v>2871</v>
      </c>
      <c r="V179" s="1">
        <v>2780</v>
      </c>
      <c r="W179" s="1">
        <v>2589</v>
      </c>
      <c r="X179" s="1">
        <v>2771</v>
      </c>
      <c r="Y179" s="1">
        <v>2706</v>
      </c>
      <c r="Z179" s="1">
        <v>2810</v>
      </c>
      <c r="AA179" s="1">
        <v>2804</v>
      </c>
      <c r="AB179" s="1">
        <v>2469</v>
      </c>
      <c r="AC179" s="1">
        <v>2733</v>
      </c>
      <c r="AD179" s="1">
        <v>2624</v>
      </c>
      <c r="AE179" s="1">
        <v>2733</v>
      </c>
      <c r="AF179" s="1">
        <v>2624</v>
      </c>
      <c r="AG179" s="1">
        <v>2758</v>
      </c>
      <c r="AH179" s="1">
        <v>2782</v>
      </c>
      <c r="AI179" s="1">
        <v>2501</v>
      </c>
      <c r="AJ179" s="1">
        <v>2722</v>
      </c>
      <c r="AK179" s="1">
        <v>2886</v>
      </c>
      <c r="AL179" s="1">
        <v>3006</v>
      </c>
      <c r="AM179" s="1">
        <v>3007</v>
      </c>
      <c r="AN179" s="1">
        <v>2718</v>
      </c>
      <c r="AO179" s="1">
        <v>3014</v>
      </c>
      <c r="AP179" s="1">
        <v>2933</v>
      </c>
      <c r="AQ179" s="1">
        <v>3049</v>
      </c>
      <c r="AR179" s="1">
        <v>2969</v>
      </c>
      <c r="AS179" s="1">
        <v>3091</v>
      </c>
      <c r="AT179" s="1">
        <v>3115</v>
      </c>
      <c r="AU179" s="1">
        <v>3040</v>
      </c>
      <c r="AV179" s="1">
        <v>3161</v>
      </c>
      <c r="AW179" s="1">
        <v>3072</v>
      </c>
      <c r="AX179" s="1">
        <v>3186</v>
      </c>
      <c r="AY179" s="1"/>
      <c r="BA179" s="21">
        <f>SUM(C179:N179)</f>
        <v>32862</v>
      </c>
      <c r="BB179" s="22">
        <f>+BA179/12</f>
        <v>2738.5</v>
      </c>
      <c r="BD179" s="7">
        <f>SUM(O179:Z179)</f>
        <v>33101</v>
      </c>
      <c r="BE179" s="7">
        <f>+BD179-BA179</f>
        <v>239</v>
      </c>
      <c r="BF179" s="8">
        <f>(BD179/BA179)-1</f>
        <v>7.2728379283062417E-3</v>
      </c>
      <c r="BG179" s="7">
        <f>BD179/12</f>
        <v>2758.4166666666665</v>
      </c>
      <c r="BI179" s="12">
        <f>+SUM(AA179:AL179)</f>
        <v>32642</v>
      </c>
      <c r="BJ179" s="12">
        <f>+BI179-BD179</f>
        <v>-459</v>
      </c>
      <c r="BK179" s="13">
        <f>(BI179/BD179)-1</f>
        <v>-1.3866650554363869E-2</v>
      </c>
      <c r="BL179" s="24">
        <f>SUM(AA179:AH179)/8</f>
        <v>2690.875</v>
      </c>
      <c r="BM179" s="24">
        <f>SUM(AI179:AL179)/4</f>
        <v>2778.75</v>
      </c>
      <c r="BO179" s="17">
        <f>+SUM(AM179:AX179)</f>
        <v>36355</v>
      </c>
      <c r="BP179" s="17">
        <f>+BO179-BI179</f>
        <v>3713</v>
      </c>
      <c r="BQ179" s="18">
        <f>(BO179/BI179)-1</f>
        <v>0.11374915752711234</v>
      </c>
      <c r="BR179" s="25">
        <f>BO179/12</f>
        <v>3029.5833333333335</v>
      </c>
    </row>
    <row r="180" spans="1:70">
      <c r="A180" t="s">
        <v>246</v>
      </c>
      <c r="B180">
        <v>110715</v>
      </c>
      <c r="C180" s="1">
        <v>11969</v>
      </c>
      <c r="D180" s="1">
        <v>12051</v>
      </c>
      <c r="E180" s="1">
        <v>12861</v>
      </c>
      <c r="F180" s="1">
        <v>13766</v>
      </c>
      <c r="G180" s="1">
        <v>15048</v>
      </c>
      <c r="H180" s="1">
        <v>14800</v>
      </c>
      <c r="I180" s="1">
        <v>15899</v>
      </c>
      <c r="J180" s="1">
        <v>16463</v>
      </c>
      <c r="K180" s="1">
        <v>16122</v>
      </c>
      <c r="L180" s="1">
        <v>17966</v>
      </c>
      <c r="M180" s="1">
        <v>17738</v>
      </c>
      <c r="N180" s="1">
        <v>19069</v>
      </c>
      <c r="O180" s="1">
        <v>18745</v>
      </c>
      <c r="P180" s="1">
        <v>17574</v>
      </c>
      <c r="Q180" s="1">
        <v>19222</v>
      </c>
      <c r="R180" s="1">
        <v>19178</v>
      </c>
      <c r="S180" s="1">
        <v>19218</v>
      </c>
      <c r="T180" s="1">
        <v>19971</v>
      </c>
      <c r="U180" s="1">
        <v>20141</v>
      </c>
      <c r="V180" s="1">
        <v>20713</v>
      </c>
      <c r="W180" s="1">
        <v>19916</v>
      </c>
      <c r="X180" s="1">
        <v>20008</v>
      </c>
      <c r="Y180" s="1">
        <v>19743</v>
      </c>
      <c r="Z180" s="1">
        <v>21126</v>
      </c>
      <c r="AA180" s="1">
        <v>20256</v>
      </c>
      <c r="AB180" s="1">
        <v>18248</v>
      </c>
      <c r="AC180" s="1">
        <v>20283</v>
      </c>
      <c r="AD180" s="1">
        <v>18442</v>
      </c>
      <c r="AE180" s="1">
        <v>20334</v>
      </c>
      <c r="AF180" s="1">
        <v>20250</v>
      </c>
      <c r="AG180" s="1">
        <v>21572</v>
      </c>
      <c r="AH180" s="1">
        <v>22408</v>
      </c>
      <c r="AI180" s="1">
        <v>21859</v>
      </c>
      <c r="AJ180" s="1">
        <v>23731</v>
      </c>
      <c r="AK180" s="1">
        <v>24672</v>
      </c>
      <c r="AL180" s="1">
        <v>25923</v>
      </c>
      <c r="AM180" s="1">
        <v>25661</v>
      </c>
      <c r="AN180" s="1">
        <v>22989</v>
      </c>
      <c r="AO180" s="1">
        <v>25596</v>
      </c>
      <c r="AP180" s="1">
        <v>24989</v>
      </c>
      <c r="AQ180" s="1">
        <v>26131</v>
      </c>
      <c r="AR180" s="1">
        <v>25415</v>
      </c>
      <c r="AS180" s="1">
        <v>26252</v>
      </c>
      <c r="AT180" s="1">
        <v>26406</v>
      </c>
      <c r="AU180" s="1">
        <v>25656</v>
      </c>
      <c r="AV180" s="1">
        <v>26408</v>
      </c>
      <c r="AW180" s="1">
        <v>25588</v>
      </c>
      <c r="AX180" s="1">
        <v>26579</v>
      </c>
      <c r="AY180" s="1"/>
      <c r="BA180" s="21">
        <f>SUM(C180:N180)</f>
        <v>183752</v>
      </c>
      <c r="BB180" s="22">
        <f>+BA180/12</f>
        <v>15312.666666666666</v>
      </c>
      <c r="BD180" s="7">
        <f>SUM(O180:Z180)</f>
        <v>235555</v>
      </c>
      <c r="BE180" s="7">
        <f>+BD180-BA180</f>
        <v>51803</v>
      </c>
      <c r="BF180" s="8">
        <f>(BD180/BA180)-1</f>
        <v>0.28191801993991894</v>
      </c>
      <c r="BG180" s="7">
        <f>BD180/12</f>
        <v>19629.583333333332</v>
      </c>
      <c r="BI180" s="12">
        <f>+SUM(AA180:AL180)</f>
        <v>257978</v>
      </c>
      <c r="BJ180" s="12">
        <f>+BI180-BD180</f>
        <v>22423</v>
      </c>
      <c r="BK180" s="13">
        <f>(BI180/BD180)-1</f>
        <v>9.5192205641994487E-2</v>
      </c>
      <c r="BL180" s="24">
        <f>SUM(AA180:AH180)/8</f>
        <v>20224.125</v>
      </c>
      <c r="BM180" s="24">
        <f>SUM(AI180:AL180)/4</f>
        <v>24046.25</v>
      </c>
      <c r="BO180" s="17">
        <f>+SUM(AM180:AX180)</f>
        <v>307670</v>
      </c>
      <c r="BP180" s="17">
        <f>+BO180-BI180</f>
        <v>49692</v>
      </c>
      <c r="BQ180" s="18">
        <f>(BO180/BI180)-1</f>
        <v>0.19262107621580138</v>
      </c>
      <c r="BR180" s="25">
        <f>BO180/12</f>
        <v>25639.166666666668</v>
      </c>
    </row>
    <row r="181" spans="1:70">
      <c r="A181" t="s">
        <v>11</v>
      </c>
      <c r="B181" t="s">
        <v>12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BA181" s="21"/>
      <c r="BB181" s="22"/>
      <c r="BD181" s="7"/>
      <c r="BE181" s="7"/>
      <c r="BF181" s="8"/>
      <c r="BG181" s="7"/>
      <c r="BI181" s="12"/>
      <c r="BJ181" s="12"/>
      <c r="BK181" s="13"/>
      <c r="BL181" s="24"/>
      <c r="BM181" s="24"/>
      <c r="BO181" s="17"/>
      <c r="BP181" s="17"/>
      <c r="BQ181" s="18"/>
      <c r="BR181" s="25"/>
    </row>
    <row r="182" spans="1:70">
      <c r="A182" t="s">
        <v>592</v>
      </c>
      <c r="C182" s="1">
        <v>158100</v>
      </c>
      <c r="D182" s="1">
        <v>146199</v>
      </c>
      <c r="E182" s="1">
        <v>165256</v>
      </c>
      <c r="F182" s="1">
        <v>165934</v>
      </c>
      <c r="G182" s="1">
        <v>181002</v>
      </c>
      <c r="H182" s="1">
        <v>180029</v>
      </c>
      <c r="I182" s="1">
        <v>193103</v>
      </c>
      <c r="J182" s="1">
        <v>207532</v>
      </c>
      <c r="K182" s="1">
        <v>210012</v>
      </c>
      <c r="L182" s="1">
        <v>226224</v>
      </c>
      <c r="M182" s="1">
        <v>226619</v>
      </c>
      <c r="N182" s="1">
        <v>240763</v>
      </c>
      <c r="O182" s="1">
        <v>242679</v>
      </c>
      <c r="P182" s="1">
        <v>231499</v>
      </c>
      <c r="Q182" s="1">
        <v>255264</v>
      </c>
      <c r="R182" s="1">
        <v>253054</v>
      </c>
      <c r="S182" s="1">
        <v>275025</v>
      </c>
      <c r="T182" s="1">
        <v>277069</v>
      </c>
      <c r="U182" s="1">
        <v>290879</v>
      </c>
      <c r="V182" s="1">
        <v>301666</v>
      </c>
      <c r="W182" s="1">
        <v>301007</v>
      </c>
      <c r="X182" s="1">
        <v>318921</v>
      </c>
      <c r="Y182" s="1">
        <v>317839</v>
      </c>
      <c r="Z182" s="1">
        <v>338694</v>
      </c>
      <c r="AA182" s="1">
        <v>341269</v>
      </c>
      <c r="AB182" s="1">
        <v>312095</v>
      </c>
      <c r="AC182" s="1">
        <v>353761</v>
      </c>
      <c r="AD182" s="1">
        <v>352006</v>
      </c>
      <c r="AE182" s="1">
        <v>375797</v>
      </c>
      <c r="AF182" s="1">
        <v>366188</v>
      </c>
      <c r="AG182" s="1">
        <v>386835</v>
      </c>
      <c r="AH182" s="1">
        <v>392410</v>
      </c>
      <c r="AI182" s="1">
        <v>388746</v>
      </c>
      <c r="AJ182" s="1">
        <v>422507</v>
      </c>
      <c r="AK182" s="1">
        <v>427812</v>
      </c>
      <c r="AL182" s="1">
        <v>440188</v>
      </c>
      <c r="AM182" s="1">
        <v>438213</v>
      </c>
      <c r="AN182" s="1">
        <v>394102</v>
      </c>
      <c r="AO182" s="1">
        <v>435300</v>
      </c>
      <c r="AP182" s="1">
        <v>421576</v>
      </c>
      <c r="AQ182" s="1">
        <v>436159</v>
      </c>
      <c r="AR182" s="1">
        <v>422697</v>
      </c>
      <c r="AS182" s="1">
        <v>437727</v>
      </c>
      <c r="AT182" s="1">
        <v>438907</v>
      </c>
      <c r="AU182" s="1">
        <v>426162</v>
      </c>
      <c r="AV182" s="1">
        <v>440751</v>
      </c>
      <c r="AW182" s="1">
        <v>426337</v>
      </c>
      <c r="AX182" s="1">
        <v>440218</v>
      </c>
      <c r="AY182" s="1"/>
      <c r="BA182" s="21">
        <f>SUM(C182:N182)</f>
        <v>2300773</v>
      </c>
      <c r="BB182" s="22">
        <f>+BA182/12</f>
        <v>191731.08333333334</v>
      </c>
      <c r="BD182" s="7">
        <f>SUM(O182:Z182)</f>
        <v>3403596</v>
      </c>
      <c r="BE182" s="7">
        <f>+BD182-BA182</f>
        <v>1102823</v>
      </c>
      <c r="BF182" s="8">
        <f>(BD182/BA182)-1</f>
        <v>0.47932716526141439</v>
      </c>
      <c r="BG182" s="7">
        <f>BD182/12</f>
        <v>283633</v>
      </c>
      <c r="BI182" s="12">
        <f>+SUM(AA182:AL182)</f>
        <v>4559614</v>
      </c>
      <c r="BJ182" s="12">
        <f>+BI182-BD182</f>
        <v>1156018</v>
      </c>
      <c r="BK182" s="13">
        <f>(BI182/BD182)-1</f>
        <v>0.33964606845230749</v>
      </c>
      <c r="BL182" s="24">
        <f>SUM(AA182:AH182)/8</f>
        <v>360045.125</v>
      </c>
      <c r="BM182" s="24">
        <f>SUM(AI182:AL182)/4</f>
        <v>419813.25</v>
      </c>
      <c r="BO182" s="17">
        <f>+SUM(AM182:AX182)</f>
        <v>5158149</v>
      </c>
      <c r="BP182" s="17">
        <f>+BO182-BI182</f>
        <v>598535</v>
      </c>
      <c r="BQ182" s="18">
        <f>(BO182/BI182)-1</f>
        <v>0.13126878722628721</v>
      </c>
      <c r="BR182" s="25">
        <f>BO182/12</f>
        <v>429845.75</v>
      </c>
    </row>
    <row r="183" spans="1:70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70">
      <c r="A184" t="s">
        <v>248</v>
      </c>
      <c r="B184">
        <v>110805</v>
      </c>
      <c r="C184" s="1">
        <v>0</v>
      </c>
      <c r="D184" s="1">
        <v>76</v>
      </c>
      <c r="E184" s="1">
        <v>107</v>
      </c>
      <c r="F184" s="1">
        <v>99</v>
      </c>
      <c r="G184" s="1">
        <v>101</v>
      </c>
      <c r="H184" s="1">
        <v>143</v>
      </c>
      <c r="I184" s="1">
        <v>146</v>
      </c>
      <c r="J184" s="1">
        <v>149</v>
      </c>
      <c r="K184" s="1">
        <v>279</v>
      </c>
      <c r="L184" s="1">
        <v>279</v>
      </c>
      <c r="M184" s="1">
        <v>258</v>
      </c>
      <c r="N184" s="1">
        <v>354</v>
      </c>
      <c r="O184" s="1">
        <v>193</v>
      </c>
      <c r="P184" s="1">
        <v>174</v>
      </c>
      <c r="Q184" s="1">
        <v>182</v>
      </c>
      <c r="R184" s="1">
        <v>174</v>
      </c>
      <c r="S184" s="1">
        <v>177</v>
      </c>
      <c r="T184" s="1">
        <v>165</v>
      </c>
      <c r="U184" s="1">
        <v>216</v>
      </c>
      <c r="V184" s="1">
        <v>212</v>
      </c>
      <c r="W184" s="1">
        <v>204</v>
      </c>
      <c r="X184" s="1">
        <v>205</v>
      </c>
      <c r="Y184" s="1">
        <v>190</v>
      </c>
      <c r="Z184" s="1">
        <v>191</v>
      </c>
      <c r="AA184" s="1">
        <v>196</v>
      </c>
      <c r="AB184" s="1">
        <v>332</v>
      </c>
      <c r="AC184" s="1">
        <v>413</v>
      </c>
      <c r="AD184" s="1">
        <v>389</v>
      </c>
      <c r="AE184" s="1">
        <v>393</v>
      </c>
      <c r="AF184" s="1">
        <v>374</v>
      </c>
      <c r="AG184" s="1">
        <v>450</v>
      </c>
      <c r="AH184" s="1">
        <v>291</v>
      </c>
      <c r="AI184" s="1">
        <v>270</v>
      </c>
      <c r="AJ184" s="1">
        <v>282</v>
      </c>
      <c r="AK184" s="1">
        <v>287</v>
      </c>
      <c r="AL184" s="1">
        <v>308</v>
      </c>
      <c r="AM184" s="1">
        <v>320</v>
      </c>
      <c r="AN184" s="1">
        <v>299</v>
      </c>
      <c r="AO184" s="1">
        <v>336</v>
      </c>
      <c r="AP184" s="1">
        <v>329</v>
      </c>
      <c r="AQ184" s="1">
        <v>350</v>
      </c>
      <c r="AR184" s="1">
        <v>347</v>
      </c>
      <c r="AS184" s="1">
        <v>366</v>
      </c>
      <c r="AT184" s="1">
        <v>373</v>
      </c>
      <c r="AU184" s="1">
        <v>367</v>
      </c>
      <c r="AV184" s="1">
        <v>386</v>
      </c>
      <c r="AW184" s="1">
        <v>379</v>
      </c>
      <c r="AX184" s="1">
        <v>396</v>
      </c>
      <c r="AY184" s="1"/>
      <c r="BA184" s="21">
        <f>SUM(C184:N184)</f>
        <v>1991</v>
      </c>
      <c r="BB184" s="22">
        <f t="shared" ref="BB184:BB185" si="168">+BA184/12</f>
        <v>165.91666666666666</v>
      </c>
      <c r="BD184" s="7">
        <f>SUM(O184:Z184)</f>
        <v>2283</v>
      </c>
      <c r="BE184" s="7">
        <f t="shared" ref="BE184:BE185" si="169">+BD184-BA184</f>
        <v>292</v>
      </c>
      <c r="BF184" s="8">
        <f t="shared" ref="BF184:BF185" si="170">(BD184/BA184)-1</f>
        <v>0.14665996986438978</v>
      </c>
      <c r="BG184" s="7">
        <f t="shared" ref="BG184:BG185" si="171">BD184/12</f>
        <v>190.25</v>
      </c>
      <c r="BI184" s="12">
        <f>+SUM(AA184:AL184)</f>
        <v>3985</v>
      </c>
      <c r="BJ184" s="12">
        <f t="shared" ref="BJ184:BJ185" si="172">+BI184-BD184</f>
        <v>1702</v>
      </c>
      <c r="BK184" s="13">
        <f t="shared" ref="BK184:BK185" si="173">(BI184/BD184)-1</f>
        <v>0.74551029347349984</v>
      </c>
      <c r="BL184" s="24">
        <f>SUM(AA184:AH184)/8</f>
        <v>354.75</v>
      </c>
      <c r="BM184" s="24">
        <f>SUM(AI184:AL184)/4</f>
        <v>286.75</v>
      </c>
      <c r="BO184" s="17">
        <f>+SUM(AM184:AX184)</f>
        <v>4248</v>
      </c>
      <c r="BP184" s="17">
        <f t="shared" ref="BP184:BP185" si="174">+BO184-BI184</f>
        <v>263</v>
      </c>
      <c r="BQ184" s="18">
        <f t="shared" ref="BQ184:BQ185" si="175">(BO184/BI184)-1</f>
        <v>6.5997490589711383E-2</v>
      </c>
      <c r="BR184" s="25">
        <f t="shared" ref="BR184:BR185" si="176">BO184/12</f>
        <v>354</v>
      </c>
    </row>
    <row r="185" spans="1:70">
      <c r="A185" t="s">
        <v>250</v>
      </c>
      <c r="B185">
        <v>110810</v>
      </c>
      <c r="C185" s="1">
        <v>4567</v>
      </c>
      <c r="D185" s="1">
        <v>4044</v>
      </c>
      <c r="E185" s="1">
        <v>4608</v>
      </c>
      <c r="F185" s="1">
        <v>4543</v>
      </c>
      <c r="G185" s="1">
        <v>4883</v>
      </c>
      <c r="H185" s="1">
        <v>4673</v>
      </c>
      <c r="I185" s="1">
        <v>5082</v>
      </c>
      <c r="J185" s="1">
        <v>5625</v>
      </c>
      <c r="K185" s="1">
        <v>5737</v>
      </c>
      <c r="L185" s="1">
        <v>6486</v>
      </c>
      <c r="M185" s="1">
        <v>6011</v>
      </c>
      <c r="N185" s="1">
        <v>6421</v>
      </c>
      <c r="O185" s="1">
        <v>6029</v>
      </c>
      <c r="P185" s="1">
        <v>5466</v>
      </c>
      <c r="Q185" s="1">
        <v>5886</v>
      </c>
      <c r="R185" s="1">
        <v>5632</v>
      </c>
      <c r="S185" s="1">
        <v>5892</v>
      </c>
      <c r="T185" s="1">
        <v>5584</v>
      </c>
      <c r="U185" s="1">
        <v>5473</v>
      </c>
      <c r="V185" s="1">
        <v>5660</v>
      </c>
      <c r="W185" s="1">
        <v>5638</v>
      </c>
      <c r="X185" s="1">
        <v>5426</v>
      </c>
      <c r="Y185" s="1">
        <v>5314</v>
      </c>
      <c r="Z185" s="1">
        <v>6095</v>
      </c>
      <c r="AA185" s="1">
        <v>6024</v>
      </c>
      <c r="AB185" s="1">
        <v>5179</v>
      </c>
      <c r="AC185" s="1">
        <v>5033</v>
      </c>
      <c r="AD185" s="1">
        <v>4804</v>
      </c>
      <c r="AE185" s="1">
        <v>4920</v>
      </c>
      <c r="AF185" s="1">
        <v>4878</v>
      </c>
      <c r="AG185" s="1">
        <v>4895</v>
      </c>
      <c r="AH185" s="1">
        <v>4906</v>
      </c>
      <c r="AI185" s="1">
        <v>4789</v>
      </c>
      <c r="AJ185" s="1">
        <v>4938</v>
      </c>
      <c r="AK185" s="1">
        <v>4767</v>
      </c>
      <c r="AL185" s="1">
        <v>4915</v>
      </c>
      <c r="AM185" s="1">
        <v>4909</v>
      </c>
      <c r="AN185" s="1">
        <v>4440</v>
      </c>
      <c r="AO185" s="1">
        <v>4925</v>
      </c>
      <c r="AP185" s="1">
        <v>4780</v>
      </c>
      <c r="AQ185" s="1">
        <v>4956</v>
      </c>
      <c r="AR185" s="1">
        <v>4820</v>
      </c>
      <c r="AS185" s="1">
        <v>5005</v>
      </c>
      <c r="AT185" s="1">
        <v>5033</v>
      </c>
      <c r="AU185" s="1">
        <v>4906</v>
      </c>
      <c r="AV185" s="1">
        <v>5108</v>
      </c>
      <c r="AW185" s="1">
        <v>4982</v>
      </c>
      <c r="AX185" s="1">
        <v>5190</v>
      </c>
      <c r="AY185" s="1"/>
      <c r="BA185" s="21">
        <f>SUM(C185:N185)</f>
        <v>62680</v>
      </c>
      <c r="BB185" s="22">
        <f t="shared" si="168"/>
        <v>5223.333333333333</v>
      </c>
      <c r="BD185" s="7">
        <f>SUM(O185:Z185)</f>
        <v>68095</v>
      </c>
      <c r="BE185" s="7">
        <f t="shared" si="169"/>
        <v>5415</v>
      </c>
      <c r="BF185" s="8">
        <f t="shared" si="170"/>
        <v>8.6391193363114294E-2</v>
      </c>
      <c r="BG185" s="7">
        <f t="shared" si="171"/>
        <v>5674.583333333333</v>
      </c>
      <c r="BI185" s="12">
        <f>+SUM(AA185:AL185)</f>
        <v>60048</v>
      </c>
      <c r="BJ185" s="12">
        <f t="shared" si="172"/>
        <v>-8047</v>
      </c>
      <c r="BK185" s="13">
        <f t="shared" si="173"/>
        <v>-0.11817314046552607</v>
      </c>
      <c r="BL185" s="24">
        <f>SUM(AA185:AH185)/8</f>
        <v>5079.875</v>
      </c>
      <c r="BM185" s="24">
        <f>SUM(AI185:AL185)/4</f>
        <v>4852.25</v>
      </c>
      <c r="BO185" s="17">
        <f>+SUM(AM185:AX185)</f>
        <v>59054</v>
      </c>
      <c r="BP185" s="17">
        <f t="shared" si="174"/>
        <v>-994</v>
      </c>
      <c r="BQ185" s="18">
        <f t="shared" si="175"/>
        <v>-1.655342392752468E-2</v>
      </c>
      <c r="BR185" s="25">
        <f t="shared" si="176"/>
        <v>4921.166666666667</v>
      </c>
    </row>
    <row r="186" spans="1:70">
      <c r="A186" t="s">
        <v>11</v>
      </c>
      <c r="B186" t="s">
        <v>12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BA186" s="21"/>
      <c r="BB186" s="22"/>
      <c r="BD186" s="7"/>
      <c r="BE186" s="7"/>
      <c r="BF186" s="8"/>
      <c r="BG186" s="7"/>
      <c r="BI186" s="12"/>
      <c r="BJ186" s="12"/>
      <c r="BK186" s="13"/>
      <c r="BL186" s="24"/>
      <c r="BM186" s="24"/>
      <c r="BO186" s="17"/>
      <c r="BP186" s="17"/>
      <c r="BQ186" s="18"/>
      <c r="BR186" s="25"/>
    </row>
    <row r="187" spans="1:70">
      <c r="A187" t="s">
        <v>593</v>
      </c>
      <c r="C187" s="1">
        <v>4567</v>
      </c>
      <c r="D187" s="1">
        <v>4121</v>
      </c>
      <c r="E187" s="1">
        <v>4715</v>
      </c>
      <c r="F187" s="1">
        <v>4641</v>
      </c>
      <c r="G187" s="1">
        <v>4984</v>
      </c>
      <c r="H187" s="1">
        <v>4817</v>
      </c>
      <c r="I187" s="1">
        <v>5228</v>
      </c>
      <c r="J187" s="1">
        <v>5774</v>
      </c>
      <c r="K187" s="1">
        <v>6016</v>
      </c>
      <c r="L187" s="1">
        <v>6765</v>
      </c>
      <c r="M187" s="1">
        <v>6269</v>
      </c>
      <c r="N187" s="1">
        <v>6775</v>
      </c>
      <c r="O187" s="1">
        <v>6222</v>
      </c>
      <c r="P187" s="1">
        <v>5639</v>
      </c>
      <c r="Q187" s="1">
        <v>6068</v>
      </c>
      <c r="R187" s="1">
        <v>5806</v>
      </c>
      <c r="S187" s="1">
        <v>6069</v>
      </c>
      <c r="T187" s="1">
        <v>5748</v>
      </c>
      <c r="U187" s="1">
        <v>5690</v>
      </c>
      <c r="V187" s="1">
        <v>5872</v>
      </c>
      <c r="W187" s="1">
        <v>5843</v>
      </c>
      <c r="X187" s="1">
        <v>5631</v>
      </c>
      <c r="Y187" s="1">
        <v>5504</v>
      </c>
      <c r="Z187" s="1">
        <v>6286</v>
      </c>
      <c r="AA187" s="1">
        <v>6220</v>
      </c>
      <c r="AB187" s="1">
        <v>5511</v>
      </c>
      <c r="AC187" s="1">
        <v>5446</v>
      </c>
      <c r="AD187" s="1">
        <v>5193</v>
      </c>
      <c r="AE187" s="1">
        <v>5313</v>
      </c>
      <c r="AF187" s="1">
        <v>5252</v>
      </c>
      <c r="AG187" s="1">
        <v>5345</v>
      </c>
      <c r="AH187" s="1">
        <v>5196</v>
      </c>
      <c r="AI187" s="1">
        <v>5059</v>
      </c>
      <c r="AJ187" s="1">
        <v>5220</v>
      </c>
      <c r="AK187" s="1">
        <v>5054</v>
      </c>
      <c r="AL187" s="1">
        <v>5223</v>
      </c>
      <c r="AM187" s="1">
        <v>5229</v>
      </c>
      <c r="AN187" s="1">
        <v>4738</v>
      </c>
      <c r="AO187" s="1">
        <v>5261</v>
      </c>
      <c r="AP187" s="1">
        <v>5109</v>
      </c>
      <c r="AQ187" s="1">
        <v>5306</v>
      </c>
      <c r="AR187" s="1">
        <v>5167</v>
      </c>
      <c r="AS187" s="1">
        <v>5372</v>
      </c>
      <c r="AT187" s="1">
        <v>5406</v>
      </c>
      <c r="AU187" s="1">
        <v>5273</v>
      </c>
      <c r="AV187" s="1">
        <v>5494</v>
      </c>
      <c r="AW187" s="1">
        <v>5360</v>
      </c>
      <c r="AX187" s="1">
        <v>5586</v>
      </c>
      <c r="AY187" s="1"/>
      <c r="BA187" s="21">
        <f>SUM(C187:N187)</f>
        <v>64672</v>
      </c>
      <c r="BB187" s="22">
        <f>+BA187/12</f>
        <v>5389.333333333333</v>
      </c>
      <c r="BD187" s="7">
        <f>SUM(O187:Z187)</f>
        <v>70378</v>
      </c>
      <c r="BE187" s="7">
        <f>+BD187-BA187</f>
        <v>5706</v>
      </c>
      <c r="BF187" s="8">
        <f>(BD187/BA187)-1</f>
        <v>8.82298367144978E-2</v>
      </c>
      <c r="BG187" s="7">
        <f>BD187/12</f>
        <v>5864.833333333333</v>
      </c>
      <c r="BI187" s="12">
        <f>+SUM(AA187:AL187)</f>
        <v>64032</v>
      </c>
      <c r="BJ187" s="12">
        <f>+BI187-BD187</f>
        <v>-6346</v>
      </c>
      <c r="BK187" s="13">
        <f>(BI187/BD187)-1</f>
        <v>-9.0170223649435943E-2</v>
      </c>
      <c r="BL187" s="24">
        <f>SUM(AA187:AH187)/8</f>
        <v>5434.5</v>
      </c>
      <c r="BM187" s="24">
        <f>SUM(AI187:AL187)/4</f>
        <v>5139</v>
      </c>
      <c r="BO187" s="17">
        <f>+SUM(AM187:AX187)</f>
        <v>63301</v>
      </c>
      <c r="BP187" s="17">
        <f>+BO187-BI187</f>
        <v>-731</v>
      </c>
      <c r="BQ187" s="18">
        <f>(BO187/BI187)-1</f>
        <v>-1.1416166916541681E-2</v>
      </c>
      <c r="BR187" s="25">
        <f>BO187/12</f>
        <v>5275.083333333333</v>
      </c>
    </row>
    <row r="188" spans="1:70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BA188" s="21"/>
      <c r="BB188" s="22"/>
      <c r="BD188" s="7"/>
      <c r="BE188" s="7"/>
      <c r="BF188" s="8"/>
      <c r="BG188" s="7"/>
      <c r="BI188" s="12"/>
      <c r="BJ188" s="12"/>
      <c r="BK188" s="13"/>
      <c r="BL188" s="24"/>
      <c r="BM188" s="24"/>
      <c r="BO188" s="17"/>
      <c r="BP188" s="17"/>
      <c r="BQ188" s="18"/>
      <c r="BR188" s="25"/>
    </row>
    <row r="189" spans="1:70">
      <c r="A189" t="s">
        <v>594</v>
      </c>
      <c r="B189">
        <v>110391</v>
      </c>
      <c r="C189" s="1">
        <v>109</v>
      </c>
      <c r="D189" s="1">
        <v>0</v>
      </c>
      <c r="E189" s="1">
        <v>0</v>
      </c>
      <c r="F189" s="1">
        <v>0</v>
      </c>
      <c r="G189" s="1">
        <v>283</v>
      </c>
      <c r="H189" s="1">
        <v>0</v>
      </c>
      <c r="I189" s="1">
        <v>0</v>
      </c>
      <c r="J189" s="1">
        <v>635</v>
      </c>
      <c r="K189" s="1">
        <v>217</v>
      </c>
      <c r="L189" s="1">
        <v>237</v>
      </c>
      <c r="M189" s="1">
        <v>0</v>
      </c>
      <c r="N189" s="1">
        <v>0</v>
      </c>
      <c r="O189" s="1">
        <v>0</v>
      </c>
      <c r="P189" s="1">
        <v>12</v>
      </c>
      <c r="Q189" s="1">
        <v>299</v>
      </c>
      <c r="R189" s="1">
        <v>0</v>
      </c>
      <c r="S189" s="1">
        <v>0</v>
      </c>
      <c r="T189" s="1">
        <v>345</v>
      </c>
      <c r="U189" s="1">
        <v>270</v>
      </c>
      <c r="V189" s="1">
        <v>100</v>
      </c>
      <c r="W189" s="1">
        <v>0</v>
      </c>
      <c r="X189" s="1">
        <v>0</v>
      </c>
      <c r="Y189" s="1">
        <v>219</v>
      </c>
      <c r="Z189" s="1">
        <v>204</v>
      </c>
      <c r="AA189" s="1">
        <v>566</v>
      </c>
      <c r="AB189" s="1">
        <v>66</v>
      </c>
      <c r="AC189" s="1">
        <v>0</v>
      </c>
      <c r="AD189" s="1">
        <v>79</v>
      </c>
      <c r="AE189" s="1">
        <v>385</v>
      </c>
      <c r="AF189" s="1">
        <v>431</v>
      </c>
      <c r="AG189" s="1">
        <v>2135</v>
      </c>
      <c r="AH189" s="1">
        <v>-1100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/>
      <c r="BA189" s="21">
        <f>SUM(C189:N189)</f>
        <v>1481</v>
      </c>
      <c r="BB189" s="22">
        <f>+BA189/12</f>
        <v>123.41666666666667</v>
      </c>
      <c r="BD189" s="7">
        <f>SUM(O189:Z189)</f>
        <v>1449</v>
      </c>
      <c r="BE189" s="7">
        <f>+BD189-BA189</f>
        <v>-32</v>
      </c>
      <c r="BF189" s="8">
        <f>(BD189/BA189)-1</f>
        <v>-2.1607022282241761E-2</v>
      </c>
      <c r="BG189" s="7">
        <f>BD189/12</f>
        <v>120.75</v>
      </c>
      <c r="BI189" s="12">
        <f>+SUM(AA189:AL189)</f>
        <v>2562</v>
      </c>
      <c r="BJ189" s="12">
        <f>+BI189-BD189</f>
        <v>1113</v>
      </c>
      <c r="BK189" s="13">
        <f>(BI189/BD189)-1</f>
        <v>0.76811594202898559</v>
      </c>
      <c r="BL189" s="24">
        <f>SUM(AA189:AH189)/8</f>
        <v>320.25</v>
      </c>
      <c r="BM189" s="24">
        <f>SUM(AI189:AL189)/4</f>
        <v>0</v>
      </c>
      <c r="BO189" s="17">
        <f>+SUM(AM189:AX189)</f>
        <v>0</v>
      </c>
      <c r="BP189" s="17">
        <f>+BO189-BI189</f>
        <v>-2562</v>
      </c>
      <c r="BQ189" s="18">
        <f>(BO189/BI189)-1</f>
        <v>-1</v>
      </c>
      <c r="BR189" s="25">
        <f>BO189/12</f>
        <v>0</v>
      </c>
    </row>
    <row r="190" spans="1:70">
      <c r="A190" t="s">
        <v>11</v>
      </c>
      <c r="B190" t="s">
        <v>12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BA190" s="21"/>
      <c r="BB190" s="22"/>
      <c r="BD190" s="7"/>
      <c r="BE190" s="7"/>
      <c r="BF190" s="8"/>
      <c r="BG190" s="7"/>
      <c r="BI190" s="12"/>
      <c r="BJ190" s="12"/>
      <c r="BK190" s="13"/>
      <c r="BL190" s="24"/>
      <c r="BM190" s="24"/>
      <c r="BO190" s="17"/>
      <c r="BP190" s="17"/>
      <c r="BQ190" s="18"/>
      <c r="BR190" s="25"/>
    </row>
    <row r="191" spans="1:70">
      <c r="A191" t="s">
        <v>595</v>
      </c>
      <c r="C191" s="1">
        <v>109</v>
      </c>
      <c r="D191" s="1">
        <v>0</v>
      </c>
      <c r="E191" s="1">
        <v>0</v>
      </c>
      <c r="F191" s="1">
        <v>0</v>
      </c>
      <c r="G191" s="1">
        <v>283</v>
      </c>
      <c r="H191" s="1">
        <v>0</v>
      </c>
      <c r="I191" s="1">
        <v>0</v>
      </c>
      <c r="J191" s="1">
        <v>635</v>
      </c>
      <c r="K191" s="1">
        <v>217</v>
      </c>
      <c r="L191" s="1">
        <v>237</v>
      </c>
      <c r="M191" s="1">
        <v>0</v>
      </c>
      <c r="N191" s="1">
        <v>0</v>
      </c>
      <c r="O191" s="1">
        <v>0</v>
      </c>
      <c r="P191" s="1">
        <v>12</v>
      </c>
      <c r="Q191" s="1">
        <v>299</v>
      </c>
      <c r="R191" s="1">
        <v>0</v>
      </c>
      <c r="S191" s="1">
        <v>0</v>
      </c>
      <c r="T191" s="1">
        <v>345</v>
      </c>
      <c r="U191" s="1">
        <v>270</v>
      </c>
      <c r="V191" s="1">
        <v>100</v>
      </c>
      <c r="W191" s="1">
        <v>0</v>
      </c>
      <c r="X191" s="1">
        <v>0</v>
      </c>
      <c r="Y191" s="1">
        <v>219</v>
      </c>
      <c r="Z191" s="1">
        <v>204</v>
      </c>
      <c r="AA191" s="1">
        <v>566</v>
      </c>
      <c r="AB191" s="1">
        <v>66</v>
      </c>
      <c r="AC191" s="1">
        <v>0</v>
      </c>
      <c r="AD191" s="1">
        <v>79</v>
      </c>
      <c r="AE191" s="1">
        <v>385</v>
      </c>
      <c r="AF191" s="1">
        <v>431</v>
      </c>
      <c r="AG191" s="1">
        <v>2135</v>
      </c>
      <c r="AH191" s="1">
        <v>-1100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/>
      <c r="BA191" s="21">
        <f>SUM(C191:N191)</f>
        <v>1481</v>
      </c>
      <c r="BB191" s="22">
        <f>+BA191/12</f>
        <v>123.41666666666667</v>
      </c>
      <c r="BD191" s="7">
        <f>SUM(O191:Z191)</f>
        <v>1449</v>
      </c>
      <c r="BE191" s="7">
        <f>+BD191-BA191</f>
        <v>-32</v>
      </c>
      <c r="BF191" s="8">
        <f>(BD191/BA191)-1</f>
        <v>-2.1607022282241761E-2</v>
      </c>
      <c r="BG191" s="7">
        <f>BD191/12</f>
        <v>120.75</v>
      </c>
      <c r="BI191" s="12">
        <f>+SUM(AA191:AL191)</f>
        <v>2562</v>
      </c>
      <c r="BJ191" s="12">
        <f>+BI191-BD191</f>
        <v>1113</v>
      </c>
      <c r="BK191" s="13">
        <f>(BI191/BD191)-1</f>
        <v>0.76811594202898559</v>
      </c>
      <c r="BL191" s="24">
        <f>SUM(AA191:AH191)/8</f>
        <v>320.25</v>
      </c>
      <c r="BM191" s="24">
        <f>SUM(AI191:AL191)/4</f>
        <v>0</v>
      </c>
      <c r="BO191" s="17">
        <f>+SUM(AM191:AX191)</f>
        <v>0</v>
      </c>
      <c r="BP191" s="17">
        <f>+BO191-BI191</f>
        <v>-2562</v>
      </c>
      <c r="BQ191" s="18">
        <f>(BO191/BI191)-1</f>
        <v>-1</v>
      </c>
      <c r="BR191" s="25">
        <f>BO191/12</f>
        <v>0</v>
      </c>
    </row>
    <row r="192" spans="1:70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BA192" s="21"/>
      <c r="BB192" s="22"/>
      <c r="BD192" s="7"/>
      <c r="BE192" s="7"/>
      <c r="BF192" s="8"/>
      <c r="BG192" s="7"/>
      <c r="BI192" s="12"/>
      <c r="BJ192" s="12"/>
      <c r="BK192" s="13"/>
      <c r="BL192" s="24"/>
      <c r="BM192" s="24"/>
      <c r="BO192" s="17"/>
      <c r="BP192" s="17"/>
      <c r="BQ192" s="18"/>
      <c r="BR192" s="25"/>
    </row>
    <row r="193" spans="1:70">
      <c r="A193" t="s">
        <v>596</v>
      </c>
      <c r="C193" s="1">
        <v>7350052</v>
      </c>
      <c r="D193" s="1">
        <v>6833924</v>
      </c>
      <c r="E193" s="1">
        <v>7644681</v>
      </c>
      <c r="F193" s="1">
        <v>7713673</v>
      </c>
      <c r="G193" s="1">
        <v>8251065</v>
      </c>
      <c r="H193" s="1">
        <v>8386653</v>
      </c>
      <c r="I193" s="1">
        <v>8819906</v>
      </c>
      <c r="J193" s="1">
        <v>9153984</v>
      </c>
      <c r="K193" s="1">
        <v>9006923</v>
      </c>
      <c r="L193" s="1">
        <v>9438769</v>
      </c>
      <c r="M193" s="1">
        <v>9341577</v>
      </c>
      <c r="N193" s="1">
        <v>9756919</v>
      </c>
      <c r="O193" s="1">
        <v>9797190</v>
      </c>
      <c r="P193" s="1">
        <v>9262151</v>
      </c>
      <c r="Q193" s="1">
        <v>9787237</v>
      </c>
      <c r="R193" s="1">
        <v>9483253</v>
      </c>
      <c r="S193" s="1">
        <v>9964306</v>
      </c>
      <c r="T193" s="1">
        <v>9602677</v>
      </c>
      <c r="U193" s="1">
        <v>9997599</v>
      </c>
      <c r="V193" s="1">
        <v>10222129</v>
      </c>
      <c r="W193" s="1">
        <v>9894310</v>
      </c>
      <c r="X193" s="1">
        <v>10140652</v>
      </c>
      <c r="Y193" s="1">
        <v>9935244</v>
      </c>
      <c r="Z193" s="1">
        <v>10294079</v>
      </c>
      <c r="AA193" s="1">
        <v>10171141</v>
      </c>
      <c r="AB193" s="1">
        <v>9349283</v>
      </c>
      <c r="AC193" s="1">
        <v>10409621</v>
      </c>
      <c r="AD193" s="1">
        <v>10174466</v>
      </c>
      <c r="AE193" s="1">
        <v>10526903</v>
      </c>
      <c r="AF193" s="1">
        <v>10321123</v>
      </c>
      <c r="AG193" s="1">
        <v>10735769</v>
      </c>
      <c r="AH193" s="1">
        <v>10757487</v>
      </c>
      <c r="AI193" s="1">
        <v>10598430</v>
      </c>
      <c r="AJ193" s="1">
        <v>11045510</v>
      </c>
      <c r="AK193" s="1">
        <v>11022756</v>
      </c>
      <c r="AL193" s="1">
        <v>11354025</v>
      </c>
      <c r="AM193" s="1">
        <v>11380930</v>
      </c>
      <c r="AN193" s="1">
        <v>10515144</v>
      </c>
      <c r="AO193" s="1">
        <v>11506031</v>
      </c>
      <c r="AP193" s="1">
        <v>11280308</v>
      </c>
      <c r="AQ193" s="1">
        <v>11709562</v>
      </c>
      <c r="AR193" s="1">
        <v>11493165</v>
      </c>
      <c r="AS193" s="1">
        <v>11934526</v>
      </c>
      <c r="AT193" s="1">
        <v>12063200</v>
      </c>
      <c r="AU193" s="1">
        <v>11829892</v>
      </c>
      <c r="AV193" s="1">
        <v>12239105</v>
      </c>
      <c r="AW193" s="1">
        <v>11970373</v>
      </c>
      <c r="AX193" s="1">
        <v>12365882</v>
      </c>
      <c r="AY193" s="1"/>
      <c r="BA193" s="21">
        <f>SUM(C193:N193)</f>
        <v>101698126</v>
      </c>
      <c r="BB193" s="22">
        <f>+BA193/12</f>
        <v>8474843.833333334</v>
      </c>
      <c r="BD193" s="7">
        <f>SUM(O193:Z193)</f>
        <v>118380827</v>
      </c>
      <c r="BE193" s="7">
        <f>+BD193-BA193</f>
        <v>16682701</v>
      </c>
      <c r="BF193" s="8">
        <f>(BD193/BA193)-1</f>
        <v>0.1640413806641825</v>
      </c>
      <c r="BG193" s="7">
        <f>BD193/12</f>
        <v>9865068.916666666</v>
      </c>
      <c r="BI193" s="12">
        <f>+SUM(AA193:AL193)</f>
        <v>126466514</v>
      </c>
      <c r="BJ193" s="12">
        <f>+BI193-BD193</f>
        <v>8085687</v>
      </c>
      <c r="BK193" s="13">
        <f>(BI193/BD193)-1</f>
        <v>6.8302335816593063E-2</v>
      </c>
      <c r="BL193" s="24">
        <f>SUM(AA193:AH193)/8</f>
        <v>10305724.125</v>
      </c>
      <c r="BM193" s="24">
        <f>SUM(AI193:AL193)/4</f>
        <v>11005180.25</v>
      </c>
      <c r="BO193" s="17">
        <f>+SUM(AM193:AX193)</f>
        <v>140288118</v>
      </c>
      <c r="BP193" s="17">
        <f>+BO193-BI193</f>
        <v>13821604</v>
      </c>
      <c r="BQ193" s="18">
        <f>(BO193/BI193)-1</f>
        <v>0.10929062218003405</v>
      </c>
      <c r="BR193" s="25">
        <f>BO193/12</f>
        <v>11690676.5</v>
      </c>
    </row>
    <row r="194" spans="1:70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BA194" s="21"/>
      <c r="BB194" s="22"/>
      <c r="BD194" s="7"/>
      <c r="BE194" s="7"/>
      <c r="BF194" s="8"/>
      <c r="BG194" s="7"/>
      <c r="BI194" s="12"/>
      <c r="BJ194" s="12"/>
      <c r="BK194" s="13"/>
      <c r="BL194" s="24"/>
      <c r="BM194" s="24"/>
      <c r="BO194" s="17"/>
      <c r="BP194" s="17"/>
      <c r="BQ194" s="18"/>
      <c r="BR194" s="25"/>
    </row>
    <row r="195" spans="1:70">
      <c r="A195" t="s">
        <v>597</v>
      </c>
      <c r="C195" s="1">
        <v>8173095</v>
      </c>
      <c r="D195" s="1">
        <v>7675689</v>
      </c>
      <c r="E195" s="1">
        <v>8414156</v>
      </c>
      <c r="F195" s="1">
        <v>8563466</v>
      </c>
      <c r="G195" s="1">
        <v>9131779</v>
      </c>
      <c r="H195" s="1">
        <v>9131492</v>
      </c>
      <c r="I195" s="1">
        <v>9594368</v>
      </c>
      <c r="J195" s="1">
        <v>10033356</v>
      </c>
      <c r="K195" s="1">
        <v>9825109</v>
      </c>
      <c r="L195" s="1">
        <v>10162498</v>
      </c>
      <c r="M195" s="1">
        <v>10231514</v>
      </c>
      <c r="N195" s="1">
        <v>10686547</v>
      </c>
      <c r="O195" s="1">
        <v>10631050</v>
      </c>
      <c r="P195" s="1">
        <v>10142916</v>
      </c>
      <c r="Q195" s="1">
        <v>10732765</v>
      </c>
      <c r="R195" s="1">
        <v>10349201</v>
      </c>
      <c r="S195" s="1">
        <v>10920800</v>
      </c>
      <c r="T195" s="1">
        <v>10524807</v>
      </c>
      <c r="U195" s="1">
        <v>10862535</v>
      </c>
      <c r="V195" s="1">
        <v>11127411</v>
      </c>
      <c r="W195" s="1">
        <v>10782722</v>
      </c>
      <c r="X195" s="1">
        <v>10958968</v>
      </c>
      <c r="Y195" s="1">
        <v>10760313</v>
      </c>
      <c r="Z195" s="1">
        <v>11208301</v>
      </c>
      <c r="AA195" s="1">
        <v>11021519</v>
      </c>
      <c r="AB195" s="1">
        <v>10175683</v>
      </c>
      <c r="AC195" s="1">
        <v>11325718</v>
      </c>
      <c r="AD195" s="1">
        <v>10975081</v>
      </c>
      <c r="AE195" s="1">
        <v>11813281</v>
      </c>
      <c r="AF195" s="1">
        <v>12149899</v>
      </c>
      <c r="AG195" s="1">
        <v>12617874</v>
      </c>
      <c r="AH195" s="1">
        <v>12432624</v>
      </c>
      <c r="AI195" s="1">
        <v>12175086</v>
      </c>
      <c r="AJ195" s="1">
        <v>13103415</v>
      </c>
      <c r="AK195" s="1">
        <v>12037013</v>
      </c>
      <c r="AL195" s="1">
        <v>12352132</v>
      </c>
      <c r="AM195" s="50">
        <v>12400017</v>
      </c>
      <c r="AN195" s="1">
        <v>11484453</v>
      </c>
      <c r="AO195" s="1">
        <v>12482722</v>
      </c>
      <c r="AP195" s="1">
        <v>12230948</v>
      </c>
      <c r="AQ195" s="1">
        <v>12654636</v>
      </c>
      <c r="AR195" s="1">
        <v>12387691</v>
      </c>
      <c r="AS195" s="1">
        <v>12824477</v>
      </c>
      <c r="AT195" s="1">
        <v>12945216</v>
      </c>
      <c r="AU195" s="1">
        <v>12677930</v>
      </c>
      <c r="AV195" s="1">
        <v>13099430</v>
      </c>
      <c r="AW195" s="1">
        <v>12831672</v>
      </c>
      <c r="AX195" s="1">
        <v>13224722</v>
      </c>
      <c r="AY195" s="1"/>
      <c r="BA195" s="21">
        <f>SUM(C195:N195)</f>
        <v>111623069</v>
      </c>
      <c r="BB195" s="22">
        <f>+BA195/12</f>
        <v>9301922.416666666</v>
      </c>
      <c r="BD195" s="7">
        <f>SUM(O195:Z195)</f>
        <v>129001789</v>
      </c>
      <c r="BE195" s="7">
        <f>+BD195-BA195</f>
        <v>17378720</v>
      </c>
      <c r="BF195" s="8">
        <f>(BD195/BA195)-1</f>
        <v>0.15569111435199834</v>
      </c>
      <c r="BG195" s="7">
        <f>BD195/12</f>
        <v>10750149.083333334</v>
      </c>
      <c r="BI195" s="12">
        <f>+SUM(AA195:AL195)</f>
        <v>142179325</v>
      </c>
      <c r="BJ195" s="12">
        <f>+BI195-BD195</f>
        <v>13177536</v>
      </c>
      <c r="BK195" s="13">
        <f>(BI195/BD195)-1</f>
        <v>0.10215002522174332</v>
      </c>
      <c r="BL195" s="24">
        <f>SUM(AA195:AH195)/8</f>
        <v>11563959.875</v>
      </c>
      <c r="BM195" s="24">
        <f>SUM(AI195:AL195)/4</f>
        <v>12416911.5</v>
      </c>
      <c r="BO195" s="17">
        <f>+SUM(AM195:AX195)</f>
        <v>151243914</v>
      </c>
      <c r="BP195" s="17">
        <f>+BO195-BI195</f>
        <v>9064589</v>
      </c>
      <c r="BQ195" s="18">
        <f>(BO195/BI195)-1</f>
        <v>6.375462114481123E-2</v>
      </c>
      <c r="BR195" s="25">
        <f>BO195/12</f>
        <v>12603659.5</v>
      </c>
    </row>
    <row r="196" spans="1:70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70">
      <c r="A197" t="s">
        <v>335</v>
      </c>
      <c r="B197">
        <v>220005</v>
      </c>
      <c r="C197" s="1">
        <v>12822</v>
      </c>
      <c r="D197" s="1">
        <v>11418</v>
      </c>
      <c r="E197" s="1">
        <v>12539</v>
      </c>
      <c r="F197" s="1">
        <v>11903</v>
      </c>
      <c r="G197" s="1">
        <v>12087</v>
      </c>
      <c r="H197" s="1">
        <v>11459</v>
      </c>
      <c r="I197" s="1">
        <v>11508</v>
      </c>
      <c r="J197" s="1">
        <v>11414</v>
      </c>
      <c r="K197" s="1">
        <v>10828</v>
      </c>
      <c r="L197" s="1">
        <v>10941</v>
      </c>
      <c r="M197" s="1">
        <v>10404</v>
      </c>
      <c r="N197" s="1">
        <v>10584</v>
      </c>
      <c r="O197" s="1">
        <v>10450</v>
      </c>
      <c r="P197" s="1">
        <v>9771</v>
      </c>
      <c r="Q197" s="1">
        <v>10412</v>
      </c>
      <c r="R197" s="1">
        <v>9836</v>
      </c>
      <c r="S197" s="1">
        <v>9947</v>
      </c>
      <c r="T197" s="1">
        <v>9510</v>
      </c>
      <c r="U197" s="1">
        <v>9691</v>
      </c>
      <c r="V197" s="1">
        <v>9795</v>
      </c>
      <c r="W197" s="1">
        <v>9181</v>
      </c>
      <c r="X197" s="1">
        <v>9358</v>
      </c>
      <c r="Y197" s="1">
        <v>8960</v>
      </c>
      <c r="Z197" s="1">
        <v>9199</v>
      </c>
      <c r="AA197" s="1">
        <v>9232</v>
      </c>
      <c r="AB197" s="1">
        <v>8337</v>
      </c>
      <c r="AC197" s="1">
        <v>9340</v>
      </c>
      <c r="AD197" s="1">
        <v>8969</v>
      </c>
      <c r="AE197" s="1">
        <v>9101</v>
      </c>
      <c r="AF197" s="1">
        <v>8773</v>
      </c>
      <c r="AG197" s="1">
        <v>8833</v>
      </c>
      <c r="AH197" s="1">
        <v>8780</v>
      </c>
      <c r="AI197" s="1">
        <v>8512</v>
      </c>
      <c r="AJ197" s="1">
        <v>8719</v>
      </c>
      <c r="AK197" s="1">
        <v>8376</v>
      </c>
      <c r="AL197" s="1">
        <v>8589</v>
      </c>
      <c r="AM197" s="1">
        <v>8514</v>
      </c>
      <c r="AN197" s="1">
        <v>7614</v>
      </c>
      <c r="AO197" s="1">
        <v>8341</v>
      </c>
      <c r="AP197" s="1">
        <v>7987</v>
      </c>
      <c r="AQ197" s="1">
        <v>8176</v>
      </c>
      <c r="AR197" s="1">
        <v>7849</v>
      </c>
      <c r="AS197" s="1">
        <v>8061</v>
      </c>
      <c r="AT197" s="1">
        <v>8023</v>
      </c>
      <c r="AU197" s="1">
        <v>7731</v>
      </c>
      <c r="AV197" s="1">
        <v>7955</v>
      </c>
      <c r="AW197" s="1">
        <v>7664</v>
      </c>
      <c r="AX197" s="1">
        <v>7886</v>
      </c>
      <c r="AY197" s="1"/>
      <c r="BA197" s="21">
        <f>SUM(C197:N197)</f>
        <v>137907</v>
      </c>
      <c r="BB197" s="22">
        <f>+BA197/12</f>
        <v>11492.25</v>
      </c>
      <c r="BD197" s="7">
        <f>SUM(O197:Z197)</f>
        <v>116110</v>
      </c>
      <c r="BE197" s="7">
        <f>+BD197-BA197</f>
        <v>-21797</v>
      </c>
      <c r="BF197" s="8">
        <f>(BD197/BA197)-1</f>
        <v>-0.15805579122162039</v>
      </c>
      <c r="BG197" s="7">
        <f>BD197/12</f>
        <v>9675.8333333333339</v>
      </c>
      <c r="BI197" s="12">
        <f>+SUM(AA197:AL197)</f>
        <v>105561</v>
      </c>
      <c r="BJ197" s="12">
        <f>+BI197-BD197</f>
        <v>-10549</v>
      </c>
      <c r="BK197" s="13">
        <f>(BI197/BD197)-1</f>
        <v>-9.0853500990440095E-2</v>
      </c>
      <c r="BL197" s="24">
        <f>SUM(AA197:AH197)/8</f>
        <v>8920.625</v>
      </c>
      <c r="BM197" s="24">
        <f>SUM(AI197:AL197)/4</f>
        <v>8549</v>
      </c>
      <c r="BO197" s="17">
        <f>+SUM(AM197:AX197)</f>
        <v>95801</v>
      </c>
      <c r="BP197" s="17">
        <f>+BO197-BI197</f>
        <v>-9760</v>
      </c>
      <c r="BQ197" s="18">
        <f>(BO197/BI197)-1</f>
        <v>-9.2458388988357454E-2</v>
      </c>
      <c r="BR197" s="25">
        <f>BO197/12</f>
        <v>7983.416666666667</v>
      </c>
    </row>
    <row r="198" spans="1:70">
      <c r="A198" t="s">
        <v>336</v>
      </c>
      <c r="B198">
        <v>220010</v>
      </c>
      <c r="C198" s="1">
        <v>336</v>
      </c>
      <c r="D198" s="1">
        <v>295</v>
      </c>
      <c r="E198" s="1">
        <v>338</v>
      </c>
      <c r="F198" s="1">
        <v>319</v>
      </c>
      <c r="G198" s="1">
        <v>325</v>
      </c>
      <c r="H198" s="1">
        <v>314</v>
      </c>
      <c r="I198" s="1">
        <v>328</v>
      </c>
      <c r="J198" s="1">
        <v>335</v>
      </c>
      <c r="K198" s="1">
        <v>323</v>
      </c>
      <c r="L198" s="1">
        <v>343</v>
      </c>
      <c r="M198" s="1">
        <v>343</v>
      </c>
      <c r="N198" s="1">
        <v>333</v>
      </c>
      <c r="O198" s="1">
        <v>343</v>
      </c>
      <c r="P198" s="1">
        <v>311</v>
      </c>
      <c r="Q198" s="1">
        <v>327</v>
      </c>
      <c r="R198" s="1">
        <v>298</v>
      </c>
      <c r="S198" s="1">
        <v>286</v>
      </c>
      <c r="T198" s="1">
        <v>281</v>
      </c>
      <c r="U198" s="1">
        <v>274</v>
      </c>
      <c r="V198" s="1">
        <v>287</v>
      </c>
      <c r="W198" s="1">
        <v>283</v>
      </c>
      <c r="X198" s="1">
        <v>326</v>
      </c>
      <c r="Y198" s="1">
        <v>279</v>
      </c>
      <c r="Z198" s="1">
        <v>285</v>
      </c>
      <c r="AA198" s="1">
        <v>277</v>
      </c>
      <c r="AB198" s="1">
        <v>263</v>
      </c>
      <c r="AC198" s="1">
        <v>297</v>
      </c>
      <c r="AD198" s="1">
        <v>272</v>
      </c>
      <c r="AE198" s="1">
        <v>283</v>
      </c>
      <c r="AF198" s="1">
        <v>284</v>
      </c>
      <c r="AG198" s="1">
        <v>285</v>
      </c>
      <c r="AH198" s="1">
        <v>293</v>
      </c>
      <c r="AI198" s="1">
        <v>289</v>
      </c>
      <c r="AJ198" s="1">
        <v>294</v>
      </c>
      <c r="AK198" s="1">
        <v>279</v>
      </c>
      <c r="AL198" s="1">
        <v>283</v>
      </c>
      <c r="AM198" s="1">
        <v>279</v>
      </c>
      <c r="AN198" s="1">
        <v>249</v>
      </c>
      <c r="AO198" s="1">
        <v>273</v>
      </c>
      <c r="AP198" s="1">
        <v>262</v>
      </c>
      <c r="AQ198" s="1">
        <v>268</v>
      </c>
      <c r="AR198" s="1">
        <v>257</v>
      </c>
      <c r="AS198" s="1">
        <v>264</v>
      </c>
      <c r="AT198" s="1">
        <v>263</v>
      </c>
      <c r="AU198" s="1">
        <v>253</v>
      </c>
      <c r="AV198" s="1">
        <v>261</v>
      </c>
      <c r="AW198" s="1">
        <v>251</v>
      </c>
      <c r="AX198" s="1">
        <v>258</v>
      </c>
      <c r="AY198" s="1"/>
      <c r="BA198" s="21">
        <f>SUM(C198:N198)</f>
        <v>3932</v>
      </c>
      <c r="BB198" s="22">
        <f>+BA198/12</f>
        <v>327.66666666666669</v>
      </c>
      <c r="BD198" s="7">
        <f>SUM(O198:Z198)</f>
        <v>3580</v>
      </c>
      <c r="BE198" s="7">
        <f>+BD198-BA198</f>
        <v>-352</v>
      </c>
      <c r="BF198" s="8">
        <f>(BD198/BA198)-1</f>
        <v>-8.9521871820956278E-2</v>
      </c>
      <c r="BG198" s="7">
        <f>BD198/12</f>
        <v>298.33333333333331</v>
      </c>
      <c r="BI198" s="12">
        <f>+SUM(AA198:AL198)</f>
        <v>3399</v>
      </c>
      <c r="BJ198" s="12">
        <f>+BI198-BD198</f>
        <v>-181</v>
      </c>
      <c r="BK198" s="13">
        <f>(BI198/BD198)-1</f>
        <v>-5.0558659217877056E-2</v>
      </c>
      <c r="BL198" s="24">
        <f>SUM(AA198:AH198)/8</f>
        <v>281.75</v>
      </c>
      <c r="BM198" s="24">
        <f>SUM(AI198:AL198)/4</f>
        <v>286.25</v>
      </c>
      <c r="BO198" s="17">
        <f>+SUM(AM198:AX198)</f>
        <v>3138</v>
      </c>
      <c r="BP198" s="17">
        <f>+BO198-BI198</f>
        <v>-261</v>
      </c>
      <c r="BQ198" s="18">
        <f>(BO198/BI198)-1</f>
        <v>-7.6787290379523365E-2</v>
      </c>
      <c r="BR198" s="25">
        <f>BO198/12</f>
        <v>261.5</v>
      </c>
    </row>
    <row r="199" spans="1:70">
      <c r="A199" t="s">
        <v>11</v>
      </c>
      <c r="B199" t="s">
        <v>12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BA199" s="21"/>
      <c r="BB199" s="22"/>
      <c r="BD199" s="7"/>
      <c r="BE199" s="7"/>
      <c r="BF199" s="8"/>
      <c r="BG199" s="7"/>
      <c r="BI199" s="12"/>
      <c r="BJ199" s="12"/>
      <c r="BK199" s="13"/>
      <c r="BL199" s="24"/>
      <c r="BM199" s="24"/>
      <c r="BO199" s="17"/>
      <c r="BP199" s="17"/>
      <c r="BQ199" s="18"/>
      <c r="BR199" s="25"/>
    </row>
    <row r="200" spans="1:70">
      <c r="A200" t="s">
        <v>598</v>
      </c>
      <c r="C200" s="1">
        <v>13158</v>
      </c>
      <c r="D200" s="1">
        <v>11713</v>
      </c>
      <c r="E200" s="1">
        <v>12877</v>
      </c>
      <c r="F200" s="1">
        <v>12222</v>
      </c>
      <c r="G200" s="1">
        <v>12412</v>
      </c>
      <c r="H200" s="1">
        <v>11773</v>
      </c>
      <c r="I200" s="1">
        <v>11836</v>
      </c>
      <c r="J200" s="1">
        <v>11749</v>
      </c>
      <c r="K200" s="1">
        <v>11151</v>
      </c>
      <c r="L200" s="1">
        <v>11284</v>
      </c>
      <c r="M200" s="1">
        <v>10746</v>
      </c>
      <c r="N200" s="1">
        <v>10917</v>
      </c>
      <c r="O200" s="1">
        <v>10793</v>
      </c>
      <c r="P200" s="1">
        <v>10082</v>
      </c>
      <c r="Q200" s="1">
        <v>10739</v>
      </c>
      <c r="R200" s="1">
        <v>10134</v>
      </c>
      <c r="S200" s="1">
        <v>10233</v>
      </c>
      <c r="T200" s="1">
        <v>9791</v>
      </c>
      <c r="U200" s="1">
        <v>9965</v>
      </c>
      <c r="V200" s="1">
        <v>10082</v>
      </c>
      <c r="W200" s="1">
        <v>9464</v>
      </c>
      <c r="X200" s="1">
        <v>9684</v>
      </c>
      <c r="Y200" s="1">
        <v>9239</v>
      </c>
      <c r="Z200" s="1">
        <v>9484</v>
      </c>
      <c r="AA200" s="1">
        <v>9509</v>
      </c>
      <c r="AB200" s="1">
        <v>8600</v>
      </c>
      <c r="AC200" s="1">
        <v>9636</v>
      </c>
      <c r="AD200" s="1">
        <v>9241</v>
      </c>
      <c r="AE200" s="1">
        <v>9384</v>
      </c>
      <c r="AF200" s="1">
        <v>9058</v>
      </c>
      <c r="AG200" s="1">
        <v>9119</v>
      </c>
      <c r="AH200" s="1">
        <v>9073</v>
      </c>
      <c r="AI200" s="1">
        <v>8801</v>
      </c>
      <c r="AJ200" s="1">
        <v>9012</v>
      </c>
      <c r="AK200" s="1">
        <v>8654</v>
      </c>
      <c r="AL200" s="1">
        <v>8872</v>
      </c>
      <c r="AM200" s="1">
        <v>8793</v>
      </c>
      <c r="AN200" s="1">
        <v>7863</v>
      </c>
      <c r="AO200" s="1">
        <v>8615</v>
      </c>
      <c r="AP200" s="1">
        <v>8249</v>
      </c>
      <c r="AQ200" s="1">
        <v>8444</v>
      </c>
      <c r="AR200" s="1">
        <v>8106</v>
      </c>
      <c r="AS200" s="1">
        <v>8325</v>
      </c>
      <c r="AT200" s="1">
        <v>8286</v>
      </c>
      <c r="AU200" s="1">
        <v>7984</v>
      </c>
      <c r="AV200" s="1">
        <v>8215</v>
      </c>
      <c r="AW200" s="1">
        <v>7915</v>
      </c>
      <c r="AX200" s="1">
        <v>8144</v>
      </c>
      <c r="AY200" s="1"/>
      <c r="BA200" s="21">
        <f>SUM(C200:N200)</f>
        <v>141838</v>
      </c>
      <c r="BB200" s="22">
        <f>+BA200/12</f>
        <v>11819.833333333334</v>
      </c>
      <c r="BD200" s="7">
        <f>SUM(O200:Z200)</f>
        <v>119690</v>
      </c>
      <c r="BE200" s="7">
        <f>+BD200-BA200</f>
        <v>-22148</v>
      </c>
      <c r="BF200" s="8">
        <f>(BD200/BA200)-1</f>
        <v>-0.15614997391390173</v>
      </c>
      <c r="BG200" s="7">
        <f>BD200/12</f>
        <v>9974.1666666666661</v>
      </c>
      <c r="BI200" s="12">
        <f>+SUM(AA200:AL200)</f>
        <v>108959</v>
      </c>
      <c r="BJ200" s="12">
        <f>+BI200-BD200</f>
        <v>-10731</v>
      </c>
      <c r="BK200" s="13">
        <f>(BI200/BD200)-1</f>
        <v>-8.9656612916701461E-2</v>
      </c>
      <c r="BL200" s="24">
        <f>SUM(AA200:AH200)/8</f>
        <v>9202.5</v>
      </c>
      <c r="BM200" s="24">
        <f>SUM(AI200:AL200)/4</f>
        <v>8834.75</v>
      </c>
      <c r="BO200" s="17">
        <f>+SUM(AM200:AX200)</f>
        <v>98939</v>
      </c>
      <c r="BP200" s="17">
        <f>+BO200-BI200</f>
        <v>-10020</v>
      </c>
      <c r="BQ200" s="18">
        <f>(BO200/BI200)-1</f>
        <v>-9.1961196413329782E-2</v>
      </c>
      <c r="BR200" s="25">
        <f>BO200/12</f>
        <v>8244.9166666666661</v>
      </c>
    </row>
    <row r="201" spans="1:70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70">
      <c r="A202" t="s">
        <v>339</v>
      </c>
      <c r="B202">
        <v>220110</v>
      </c>
      <c r="C202" s="1">
        <v>208706</v>
      </c>
      <c r="D202" s="1">
        <v>188547</v>
      </c>
      <c r="E202" s="1">
        <v>222567</v>
      </c>
      <c r="F202" s="1">
        <v>217619</v>
      </c>
      <c r="G202" s="1">
        <v>222708</v>
      </c>
      <c r="H202" s="1">
        <v>211795</v>
      </c>
      <c r="I202" s="1">
        <v>221626</v>
      </c>
      <c r="J202" s="1">
        <v>219536</v>
      </c>
      <c r="K202" s="1">
        <v>165027</v>
      </c>
      <c r="L202" s="1">
        <v>214867</v>
      </c>
      <c r="M202" s="1">
        <v>203672</v>
      </c>
      <c r="N202" s="1">
        <v>216158</v>
      </c>
      <c r="O202" s="1">
        <v>206261</v>
      </c>
      <c r="P202" s="1">
        <v>196486</v>
      </c>
      <c r="Q202" s="1">
        <v>226325</v>
      </c>
      <c r="R202" s="1">
        <v>218968</v>
      </c>
      <c r="S202" s="1">
        <v>224298</v>
      </c>
      <c r="T202" s="1">
        <v>212267</v>
      </c>
      <c r="U202" s="1">
        <v>218026</v>
      </c>
      <c r="V202" s="1">
        <v>222673</v>
      </c>
      <c r="W202" s="1">
        <v>212015</v>
      </c>
      <c r="X202" s="1">
        <v>220952</v>
      </c>
      <c r="Y202" s="1">
        <v>212921</v>
      </c>
      <c r="Z202" s="1">
        <v>225043</v>
      </c>
      <c r="AA202" s="1">
        <v>206533</v>
      </c>
      <c r="AB202" s="1">
        <v>182376</v>
      </c>
      <c r="AC202" s="1">
        <v>217985</v>
      </c>
      <c r="AD202" s="1">
        <v>240057</v>
      </c>
      <c r="AE202" s="1">
        <v>228944</v>
      </c>
      <c r="AF202" s="1">
        <v>233199</v>
      </c>
      <c r="AG202" s="1">
        <v>243801</v>
      </c>
      <c r="AH202" s="1">
        <v>246824</v>
      </c>
      <c r="AI202" s="1">
        <v>253588</v>
      </c>
      <c r="AJ202" s="1">
        <v>266375</v>
      </c>
      <c r="AK202" s="1">
        <v>262535</v>
      </c>
      <c r="AL202" s="1">
        <v>276082</v>
      </c>
      <c r="AM202" s="1">
        <v>280819</v>
      </c>
      <c r="AN202" s="1">
        <v>257825</v>
      </c>
      <c r="AO202" s="1">
        <v>289961</v>
      </c>
      <c r="AP202" s="1">
        <v>284964</v>
      </c>
      <c r="AQ202" s="1">
        <v>299530</v>
      </c>
      <c r="AR202" s="1">
        <v>295700</v>
      </c>
      <c r="AS202" s="1">
        <v>312572</v>
      </c>
      <c r="AT202" s="1">
        <v>320325</v>
      </c>
      <c r="AU202" s="1">
        <v>317933</v>
      </c>
      <c r="AV202" s="1">
        <v>337091</v>
      </c>
      <c r="AW202" s="1">
        <v>334796</v>
      </c>
      <c r="AX202" s="1">
        <v>355317</v>
      </c>
      <c r="AY202" s="1"/>
      <c r="BA202" s="21">
        <f>SUM(C202:N202)</f>
        <v>2512828</v>
      </c>
      <c r="BB202" s="22">
        <f>+BA202/12</f>
        <v>209402.33333333334</v>
      </c>
      <c r="BD202" s="7">
        <f>SUM(O202:Z202)</f>
        <v>2596235</v>
      </c>
      <c r="BE202" s="7">
        <f>+BD202-BA202</f>
        <v>83407</v>
      </c>
      <c r="BF202" s="8">
        <f>(BD202/BA202)-1</f>
        <v>3.3192482732602446E-2</v>
      </c>
      <c r="BG202" s="7">
        <f>BD202/12</f>
        <v>216352.91666666666</v>
      </c>
      <c r="BI202" s="12">
        <f>+SUM(AA202:AL202)</f>
        <v>2858299</v>
      </c>
      <c r="BJ202" s="12">
        <f>+BI202-BD202</f>
        <v>262064</v>
      </c>
      <c r="BK202" s="13">
        <f>(BI202/BD202)-1</f>
        <v>0.10094001506026995</v>
      </c>
      <c r="BL202" s="24">
        <f>SUM(AA202:AH202)/8</f>
        <v>224964.875</v>
      </c>
      <c r="BM202" s="24">
        <f>SUM(AI202:AL202)/4</f>
        <v>264645</v>
      </c>
      <c r="BO202" s="17">
        <f>+SUM(AM202:AX202)</f>
        <v>3686833</v>
      </c>
      <c r="BP202" s="17">
        <f>+BO202-BI202</f>
        <v>828534</v>
      </c>
      <c r="BQ202" s="18">
        <f>(BO202/BI202)-1</f>
        <v>0.28986960426463426</v>
      </c>
      <c r="BR202" s="25">
        <f>BO202/12</f>
        <v>307236.08333333331</v>
      </c>
    </row>
    <row r="203" spans="1:70">
      <c r="A203" t="s">
        <v>340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1666</v>
      </c>
      <c r="K203" s="1">
        <v>46907</v>
      </c>
      <c r="L203" s="1">
        <v>6223</v>
      </c>
      <c r="M203" s="1">
        <v>5783</v>
      </c>
      <c r="N203" s="1">
        <v>6231</v>
      </c>
      <c r="O203" s="1">
        <v>6091</v>
      </c>
      <c r="P203" s="1">
        <v>5569</v>
      </c>
      <c r="Q203" s="1">
        <v>6376</v>
      </c>
      <c r="R203" s="1">
        <v>6247</v>
      </c>
      <c r="S203" s="1">
        <v>6215</v>
      </c>
      <c r="T203" s="1">
        <v>5846</v>
      </c>
      <c r="U203" s="1">
        <v>6171</v>
      </c>
      <c r="V203" s="1">
        <v>6186</v>
      </c>
      <c r="W203" s="1">
        <v>5836</v>
      </c>
      <c r="X203" s="1">
        <v>5982</v>
      </c>
      <c r="Y203" s="1">
        <v>5703</v>
      </c>
      <c r="Z203" s="1">
        <v>6156</v>
      </c>
      <c r="AA203" s="1">
        <v>20057</v>
      </c>
      <c r="AB203" s="1">
        <v>17204</v>
      </c>
      <c r="AC203" s="1">
        <v>21403</v>
      </c>
      <c r="AD203" s="1">
        <v>6765</v>
      </c>
      <c r="AE203" s="1">
        <v>22807</v>
      </c>
      <c r="AF203" s="1">
        <v>6566</v>
      </c>
      <c r="AG203" s="1">
        <v>6633</v>
      </c>
      <c r="AH203" s="1">
        <v>6583</v>
      </c>
      <c r="AI203" s="1">
        <v>20827</v>
      </c>
      <c r="AJ203" s="1">
        <v>34162</v>
      </c>
      <c r="AK203" s="1">
        <v>32693</v>
      </c>
      <c r="AL203" s="1">
        <v>33353</v>
      </c>
      <c r="AM203" s="1">
        <v>32880</v>
      </c>
      <c r="AN203" s="1">
        <v>29229</v>
      </c>
      <c r="AO203" s="1">
        <v>31793</v>
      </c>
      <c r="AP203" s="1">
        <v>30185</v>
      </c>
      <c r="AQ203" s="1">
        <v>30612</v>
      </c>
      <c r="AR203" s="1">
        <v>29120</v>
      </c>
      <c r="AS203" s="1">
        <v>29618</v>
      </c>
      <c r="AT203" s="1">
        <v>29160</v>
      </c>
      <c r="AU203" s="1">
        <v>27759</v>
      </c>
      <c r="AV203" s="1">
        <v>28177</v>
      </c>
      <c r="AW203" s="1">
        <v>26740</v>
      </c>
      <c r="AX203" s="1">
        <v>27056</v>
      </c>
      <c r="AY203" s="1"/>
      <c r="BA203" s="21">
        <f>SUM(C203:N203)</f>
        <v>66810</v>
      </c>
      <c r="BB203" s="22">
        <f>+BA203/12</f>
        <v>5567.5</v>
      </c>
      <c r="BD203" s="7">
        <f>SUM(O203:Z203)</f>
        <v>72378</v>
      </c>
      <c r="BE203" s="7">
        <f>+BD203-BA203</f>
        <v>5568</v>
      </c>
      <c r="BF203" s="8">
        <f>(BD203/BA203)-1</f>
        <v>8.3340817242927745E-2</v>
      </c>
      <c r="BG203" s="7">
        <f>BD203/12</f>
        <v>6031.5</v>
      </c>
      <c r="BI203" s="12">
        <f>+SUM(AA203:AL203)</f>
        <v>229053</v>
      </c>
      <c r="BJ203" s="12">
        <f>+BI203-BD203</f>
        <v>156675</v>
      </c>
      <c r="BK203" s="13">
        <f>(BI203/BD203)-1</f>
        <v>2.1646771118295614</v>
      </c>
      <c r="BL203" s="24">
        <f>SUM(AA203:AH203)/8</f>
        <v>13502.25</v>
      </c>
      <c r="BM203" s="24">
        <f>SUM(AI203:AL203)/4</f>
        <v>30258.75</v>
      </c>
      <c r="BO203" s="17">
        <f>+SUM(AM203:AX203)</f>
        <v>352329</v>
      </c>
      <c r="BP203" s="17">
        <f>+BO203-BI203</f>
        <v>123276</v>
      </c>
      <c r="BQ203" s="18">
        <f>(BO203/BI203)-1</f>
        <v>0.53819858286073519</v>
      </c>
      <c r="BR203" s="25">
        <f>BO203/12</f>
        <v>29360.75</v>
      </c>
    </row>
    <row r="204" spans="1:70">
      <c r="A204" t="s">
        <v>11</v>
      </c>
      <c r="B204" t="s">
        <v>12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BA204" s="21"/>
      <c r="BB204" s="22"/>
      <c r="BD204" s="7"/>
      <c r="BE204" s="7"/>
      <c r="BF204" s="8"/>
      <c r="BG204" s="7"/>
      <c r="BI204" s="12"/>
      <c r="BJ204" s="12"/>
      <c r="BK204" s="13"/>
      <c r="BL204" s="24"/>
      <c r="BM204" s="24"/>
      <c r="BO204" s="17"/>
      <c r="BP204" s="17"/>
      <c r="BQ204" s="18"/>
      <c r="BR204" s="25"/>
    </row>
    <row r="205" spans="1:70">
      <c r="A205" t="s">
        <v>599</v>
      </c>
      <c r="C205" s="1">
        <v>208706</v>
      </c>
      <c r="D205" s="1">
        <v>188547</v>
      </c>
      <c r="E205" s="1">
        <v>222567</v>
      </c>
      <c r="F205" s="1">
        <v>217619</v>
      </c>
      <c r="G205" s="1">
        <v>222708</v>
      </c>
      <c r="H205" s="1">
        <v>211795</v>
      </c>
      <c r="I205" s="1">
        <v>221626</v>
      </c>
      <c r="J205" s="1">
        <v>221202</v>
      </c>
      <c r="K205" s="1">
        <v>211934</v>
      </c>
      <c r="L205" s="1">
        <v>221089</v>
      </c>
      <c r="M205" s="1">
        <v>209455</v>
      </c>
      <c r="N205" s="1">
        <v>222390</v>
      </c>
      <c r="O205" s="1">
        <v>212353</v>
      </c>
      <c r="P205" s="1">
        <v>202056</v>
      </c>
      <c r="Q205" s="1">
        <v>232701</v>
      </c>
      <c r="R205" s="1">
        <v>225215</v>
      </c>
      <c r="S205" s="1">
        <v>230513</v>
      </c>
      <c r="T205" s="1">
        <v>218114</v>
      </c>
      <c r="U205" s="1">
        <v>224197</v>
      </c>
      <c r="V205" s="1">
        <v>228859</v>
      </c>
      <c r="W205" s="1">
        <v>217851</v>
      </c>
      <c r="X205" s="1">
        <v>226934</v>
      </c>
      <c r="Y205" s="1">
        <v>218624</v>
      </c>
      <c r="Z205" s="1">
        <v>231199</v>
      </c>
      <c r="AA205" s="1">
        <v>226590</v>
      </c>
      <c r="AB205" s="1">
        <v>199580</v>
      </c>
      <c r="AC205" s="1">
        <v>239388</v>
      </c>
      <c r="AD205" s="1">
        <v>246822</v>
      </c>
      <c r="AE205" s="1">
        <v>251751</v>
      </c>
      <c r="AF205" s="1">
        <v>239765</v>
      </c>
      <c r="AG205" s="1">
        <v>250435</v>
      </c>
      <c r="AH205" s="1">
        <v>253407</v>
      </c>
      <c r="AI205" s="1">
        <v>274415</v>
      </c>
      <c r="AJ205" s="1">
        <v>300537</v>
      </c>
      <c r="AK205" s="1">
        <v>295228</v>
      </c>
      <c r="AL205" s="1">
        <v>309435</v>
      </c>
      <c r="AM205" s="1">
        <v>313699</v>
      </c>
      <c r="AN205" s="1">
        <v>287054</v>
      </c>
      <c r="AO205" s="1">
        <v>321755</v>
      </c>
      <c r="AP205" s="1">
        <v>315149</v>
      </c>
      <c r="AQ205" s="1">
        <v>330142</v>
      </c>
      <c r="AR205" s="1">
        <v>324820</v>
      </c>
      <c r="AS205" s="1">
        <v>342190</v>
      </c>
      <c r="AT205" s="1">
        <v>349485</v>
      </c>
      <c r="AU205" s="1">
        <v>345692</v>
      </c>
      <c r="AV205" s="1">
        <v>365268</v>
      </c>
      <c r="AW205" s="1">
        <v>361535</v>
      </c>
      <c r="AX205" s="1">
        <v>382373</v>
      </c>
      <c r="AY205" s="1"/>
      <c r="BA205" s="21">
        <f>SUM(C205:N205)</f>
        <v>2579638</v>
      </c>
      <c r="BB205" s="22">
        <f>+BA205/12</f>
        <v>214969.83333333334</v>
      </c>
      <c r="BD205" s="7">
        <f>SUM(O205:Z205)</f>
        <v>2668616</v>
      </c>
      <c r="BE205" s="7">
        <f>+BD205-BA205</f>
        <v>88978</v>
      </c>
      <c r="BF205" s="8">
        <f>(BD205/BA205)-1</f>
        <v>3.4492436535668913E-2</v>
      </c>
      <c r="BG205" s="7">
        <f>BD205/12</f>
        <v>222384.66666666666</v>
      </c>
      <c r="BI205" s="12">
        <f>+SUM(AA205:AL205)</f>
        <v>3087353</v>
      </c>
      <c r="BJ205" s="12">
        <f>+BI205-BD205</f>
        <v>418737</v>
      </c>
      <c r="BK205" s="13">
        <f>(BI205/BD205)-1</f>
        <v>0.15691167256735317</v>
      </c>
      <c r="BL205" s="24">
        <f>SUM(AA205:AH205)/8</f>
        <v>238467.25</v>
      </c>
      <c r="BM205" s="24">
        <f>SUM(AI205:AL205)/4</f>
        <v>294903.75</v>
      </c>
      <c r="BO205" s="17">
        <f>+SUM(AM205:AX205)</f>
        <v>4039162</v>
      </c>
      <c r="BP205" s="17">
        <f>+BO205-BI205</f>
        <v>951809</v>
      </c>
      <c r="BQ205" s="18">
        <f>(BO205/BI205)-1</f>
        <v>0.30829289686019057</v>
      </c>
      <c r="BR205" s="25">
        <f>BO205/12</f>
        <v>336596.83333333331</v>
      </c>
    </row>
    <row r="206" spans="1:70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BA206" s="21"/>
      <c r="BB206" s="22"/>
      <c r="BD206" s="7"/>
      <c r="BE206" s="7"/>
      <c r="BF206" s="8"/>
      <c r="BG206" s="7"/>
      <c r="BI206" s="12"/>
      <c r="BJ206" s="12"/>
      <c r="BK206" s="13"/>
      <c r="BL206" s="24"/>
      <c r="BM206" s="24"/>
      <c r="BO206" s="17"/>
      <c r="BP206" s="17"/>
      <c r="BQ206" s="18"/>
      <c r="BR206" s="25"/>
    </row>
    <row r="207" spans="1:70">
      <c r="A207" t="s">
        <v>344</v>
      </c>
      <c r="B207">
        <v>220116</v>
      </c>
      <c r="C207" s="1">
        <v>3146</v>
      </c>
      <c r="D207" s="1">
        <v>2776</v>
      </c>
      <c r="E207" s="1">
        <v>3055</v>
      </c>
      <c r="F207" s="1">
        <v>2933</v>
      </c>
      <c r="G207" s="1">
        <v>2766</v>
      </c>
      <c r="H207" s="1">
        <v>2831</v>
      </c>
      <c r="I207" s="1">
        <v>2709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178</v>
      </c>
      <c r="R207" s="1">
        <v>0</v>
      </c>
      <c r="S207" s="1">
        <v>0</v>
      </c>
      <c r="T207" s="1">
        <v>4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84</v>
      </c>
      <c r="AB207" s="1">
        <v>77</v>
      </c>
      <c r="AC207" s="1">
        <v>0</v>
      </c>
      <c r="AD207" s="1">
        <v>0</v>
      </c>
      <c r="AE207" s="1">
        <v>0</v>
      </c>
      <c r="AF207" s="1">
        <v>0</v>
      </c>
      <c r="AG207" s="1">
        <v>24</v>
      </c>
      <c r="AH207" s="1">
        <v>0</v>
      </c>
      <c r="AI207" s="1">
        <v>5</v>
      </c>
      <c r="AJ207" s="1">
        <v>6</v>
      </c>
      <c r="AK207" s="1">
        <v>6</v>
      </c>
      <c r="AL207" s="1">
        <v>7</v>
      </c>
      <c r="AM207" s="1">
        <v>8</v>
      </c>
      <c r="AN207" s="1">
        <v>8</v>
      </c>
      <c r="AO207" s="1">
        <v>10</v>
      </c>
      <c r="AP207" s="1">
        <v>11</v>
      </c>
      <c r="AQ207" s="1">
        <v>12</v>
      </c>
      <c r="AR207" s="1">
        <v>14</v>
      </c>
      <c r="AS207" s="1">
        <v>16</v>
      </c>
      <c r="AT207" s="1">
        <v>18</v>
      </c>
      <c r="AU207" s="1">
        <v>20</v>
      </c>
      <c r="AV207" s="1">
        <v>23</v>
      </c>
      <c r="AW207" s="1">
        <v>25</v>
      </c>
      <c r="AX207" s="1">
        <v>30</v>
      </c>
      <c r="AY207" s="1"/>
      <c r="BA207" s="21">
        <f>SUM(C207:N207)</f>
        <v>20216</v>
      </c>
      <c r="BB207" s="22">
        <f t="shared" ref="BB207:BB211" si="177">+BA207/12</f>
        <v>1684.6666666666667</v>
      </c>
      <c r="BD207" s="7">
        <f>SUM(O207:Z207)</f>
        <v>182</v>
      </c>
      <c r="BE207" s="7">
        <f t="shared" ref="BE207:BE211" si="178">+BD207-BA207</f>
        <v>-20034</v>
      </c>
      <c r="BF207" s="8">
        <f t="shared" ref="BF207:BF211" si="179">(BD207/BA207)-1</f>
        <v>-0.99099722991689754</v>
      </c>
      <c r="BG207" s="7">
        <f t="shared" ref="BG207:BG211" si="180">BD207/12</f>
        <v>15.166666666666666</v>
      </c>
      <c r="BI207" s="12">
        <f>+SUM(AA207:AL207)</f>
        <v>209</v>
      </c>
      <c r="BJ207" s="12">
        <f t="shared" ref="BJ207:BJ211" si="181">+BI207-BD207</f>
        <v>27</v>
      </c>
      <c r="BK207" s="13">
        <f t="shared" ref="BK207:BK211" si="182">(BI207/BD207)-1</f>
        <v>0.14835164835164827</v>
      </c>
      <c r="BL207" s="24">
        <f>SUM(AA207:AH207)/8</f>
        <v>23.125</v>
      </c>
      <c r="BM207" s="24">
        <f>SUM(AI207:AL207)/4</f>
        <v>6</v>
      </c>
      <c r="BO207" s="17">
        <f>+SUM(AM207:AX207)</f>
        <v>195</v>
      </c>
      <c r="BP207" s="17">
        <f t="shared" ref="BP207:BP211" si="183">+BO207-BI207</f>
        <v>-14</v>
      </c>
      <c r="BQ207" s="18">
        <f t="shared" ref="BQ207:BQ211" si="184">(BO207/BI207)-1</f>
        <v>-6.6985645933014371E-2</v>
      </c>
      <c r="BR207" s="25">
        <f t="shared" ref="BR207:BR211" si="185">BO207/12</f>
        <v>16.25</v>
      </c>
    </row>
    <row r="208" spans="1:70">
      <c r="A208" t="s">
        <v>345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31</v>
      </c>
      <c r="K208" s="1">
        <v>31</v>
      </c>
      <c r="L208" s="1">
        <v>35</v>
      </c>
      <c r="M208" s="1">
        <v>35</v>
      </c>
      <c r="N208" s="1">
        <v>38</v>
      </c>
      <c r="O208" s="1">
        <v>37</v>
      </c>
      <c r="P208" s="1">
        <v>31</v>
      </c>
      <c r="Q208" s="1">
        <v>32</v>
      </c>
      <c r="R208" s="1">
        <v>32</v>
      </c>
      <c r="S208" s="1">
        <v>38</v>
      </c>
      <c r="T208" s="1">
        <v>28</v>
      </c>
      <c r="U208" s="1">
        <v>27</v>
      </c>
      <c r="V208" s="1">
        <v>30</v>
      </c>
      <c r="W208" s="1">
        <v>28</v>
      </c>
      <c r="X208" s="1">
        <v>31</v>
      </c>
      <c r="Y208" s="1">
        <v>30</v>
      </c>
      <c r="Z208" s="1">
        <v>29</v>
      </c>
      <c r="AA208" s="1">
        <v>31</v>
      </c>
      <c r="AB208" s="1">
        <v>27</v>
      </c>
      <c r="AC208" s="1">
        <v>29</v>
      </c>
      <c r="AD208" s="1">
        <v>28</v>
      </c>
      <c r="AE208" s="1">
        <v>28</v>
      </c>
      <c r="AF208" s="1">
        <v>27</v>
      </c>
      <c r="AG208" s="1">
        <v>29</v>
      </c>
      <c r="AH208" s="1">
        <v>31</v>
      </c>
      <c r="AI208" s="1">
        <v>46</v>
      </c>
      <c r="AJ208" s="1">
        <v>66</v>
      </c>
      <c r="AK208" s="1">
        <v>69</v>
      </c>
      <c r="AL208" s="1">
        <v>77</v>
      </c>
      <c r="AM208" s="1">
        <v>83</v>
      </c>
      <c r="AN208" s="1">
        <v>82</v>
      </c>
      <c r="AO208" s="1">
        <v>98</v>
      </c>
      <c r="AP208" s="1">
        <v>104</v>
      </c>
      <c r="AQ208" s="1">
        <v>117</v>
      </c>
      <c r="AR208" s="1">
        <v>124</v>
      </c>
      <c r="AS208" s="1">
        <v>139</v>
      </c>
      <c r="AT208" s="1">
        <v>152</v>
      </c>
      <c r="AU208" s="1">
        <v>159</v>
      </c>
      <c r="AV208" s="1">
        <v>178</v>
      </c>
      <c r="AW208" s="1">
        <v>185</v>
      </c>
      <c r="AX208" s="1">
        <v>208</v>
      </c>
      <c r="AY208" s="1"/>
      <c r="BA208" s="21">
        <f>SUM(C208:N208)</f>
        <v>170</v>
      </c>
      <c r="BB208" s="22">
        <f t="shared" si="177"/>
        <v>14.166666666666666</v>
      </c>
      <c r="BD208" s="7">
        <f>SUM(O208:Z208)</f>
        <v>373</v>
      </c>
      <c r="BE208" s="7">
        <f t="shared" si="178"/>
        <v>203</v>
      </c>
      <c r="BF208" s="8">
        <f t="shared" si="179"/>
        <v>1.1941176470588237</v>
      </c>
      <c r="BG208" s="7">
        <f t="shared" si="180"/>
        <v>31.083333333333332</v>
      </c>
      <c r="BI208" s="12">
        <f>+SUM(AA208:AL208)</f>
        <v>488</v>
      </c>
      <c r="BJ208" s="12">
        <f t="shared" si="181"/>
        <v>115</v>
      </c>
      <c r="BK208" s="13">
        <f t="shared" si="182"/>
        <v>0.30831099195710454</v>
      </c>
      <c r="BL208" s="24">
        <f>SUM(AA208:AH208)/8</f>
        <v>28.75</v>
      </c>
      <c r="BM208" s="24">
        <f>SUM(AI208:AL208)/4</f>
        <v>64.5</v>
      </c>
      <c r="BO208" s="17">
        <f>+SUM(AM208:AX208)</f>
        <v>1629</v>
      </c>
      <c r="BP208" s="17">
        <f t="shared" si="183"/>
        <v>1141</v>
      </c>
      <c r="BQ208" s="18">
        <f t="shared" si="184"/>
        <v>2.3381147540983607</v>
      </c>
      <c r="BR208" s="25">
        <f t="shared" si="185"/>
        <v>135.75</v>
      </c>
    </row>
    <row r="209" spans="1:70">
      <c r="A209" t="s">
        <v>346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103</v>
      </c>
      <c r="K209" s="1">
        <v>108</v>
      </c>
      <c r="L209" s="1">
        <v>113</v>
      </c>
      <c r="M209" s="1">
        <v>96</v>
      </c>
      <c r="N209" s="1">
        <v>112</v>
      </c>
      <c r="O209" s="1">
        <v>123</v>
      </c>
      <c r="P209" s="1">
        <v>104</v>
      </c>
      <c r="Q209" s="1">
        <v>94</v>
      </c>
      <c r="R209" s="1">
        <v>98</v>
      </c>
      <c r="S209" s="1">
        <v>120</v>
      </c>
      <c r="T209" s="1">
        <v>114</v>
      </c>
      <c r="U209" s="1">
        <v>116</v>
      </c>
      <c r="V209" s="1">
        <v>100</v>
      </c>
      <c r="W209" s="1">
        <v>94</v>
      </c>
      <c r="X209" s="1">
        <v>108</v>
      </c>
      <c r="Y209" s="1">
        <v>106</v>
      </c>
      <c r="Z209" s="1">
        <v>101</v>
      </c>
      <c r="AA209" s="1">
        <v>98</v>
      </c>
      <c r="AB209" s="1">
        <v>93</v>
      </c>
      <c r="AC209" s="1">
        <v>106</v>
      </c>
      <c r="AD209" s="1">
        <v>111</v>
      </c>
      <c r="AE209" s="1">
        <v>120</v>
      </c>
      <c r="AF209" s="1">
        <v>106</v>
      </c>
      <c r="AG209" s="1">
        <v>100</v>
      </c>
      <c r="AH209" s="1">
        <v>102</v>
      </c>
      <c r="AI209" s="1">
        <v>210</v>
      </c>
      <c r="AJ209" s="1">
        <v>341</v>
      </c>
      <c r="AK209" s="1">
        <v>356</v>
      </c>
      <c r="AL209" s="1">
        <v>395</v>
      </c>
      <c r="AM209" s="1">
        <v>427</v>
      </c>
      <c r="AN209" s="1">
        <v>420</v>
      </c>
      <c r="AO209" s="1">
        <v>505</v>
      </c>
      <c r="AP209" s="1">
        <v>533</v>
      </c>
      <c r="AQ209" s="1">
        <v>602</v>
      </c>
      <c r="AR209" s="1">
        <v>636</v>
      </c>
      <c r="AS209" s="1">
        <v>715</v>
      </c>
      <c r="AT209" s="1">
        <v>779</v>
      </c>
      <c r="AU209" s="1">
        <v>818</v>
      </c>
      <c r="AV209" s="1">
        <v>914</v>
      </c>
      <c r="AW209" s="1">
        <v>952</v>
      </c>
      <c r="AX209" s="1">
        <v>1070</v>
      </c>
      <c r="AY209" s="1"/>
      <c r="BA209" s="21">
        <f>SUM(C209:N209)</f>
        <v>532</v>
      </c>
      <c r="BB209" s="22">
        <f t="shared" si="177"/>
        <v>44.333333333333336</v>
      </c>
      <c r="BD209" s="7">
        <f>SUM(O209:Z209)</f>
        <v>1278</v>
      </c>
      <c r="BE209" s="7">
        <f t="shared" si="178"/>
        <v>746</v>
      </c>
      <c r="BF209" s="8">
        <f t="shared" si="179"/>
        <v>1.4022556390977443</v>
      </c>
      <c r="BG209" s="7">
        <f t="shared" si="180"/>
        <v>106.5</v>
      </c>
      <c r="BI209" s="12">
        <f>+SUM(AA209:AL209)</f>
        <v>2138</v>
      </c>
      <c r="BJ209" s="12">
        <f t="shared" si="181"/>
        <v>860</v>
      </c>
      <c r="BK209" s="13">
        <f t="shared" si="182"/>
        <v>0.67292644757433484</v>
      </c>
      <c r="BL209" s="24">
        <f>SUM(AA209:AH209)/8</f>
        <v>104.5</v>
      </c>
      <c r="BM209" s="24">
        <f>SUM(AI209:AL209)/4</f>
        <v>325.5</v>
      </c>
      <c r="BO209" s="17">
        <f>+SUM(AM209:AX209)</f>
        <v>8371</v>
      </c>
      <c r="BP209" s="17">
        <f t="shared" si="183"/>
        <v>6233</v>
      </c>
      <c r="BQ209" s="18">
        <f t="shared" si="184"/>
        <v>2.9153414405986902</v>
      </c>
      <c r="BR209" s="25">
        <f t="shared" si="185"/>
        <v>697.58333333333337</v>
      </c>
    </row>
    <row r="210" spans="1:70">
      <c r="A210" t="s">
        <v>347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708</v>
      </c>
      <c r="K210" s="1">
        <v>634</v>
      </c>
      <c r="L210" s="1">
        <v>654</v>
      </c>
      <c r="M210" s="1">
        <v>608</v>
      </c>
      <c r="N210" s="1">
        <v>608</v>
      </c>
      <c r="O210" s="1">
        <v>620</v>
      </c>
      <c r="P210" s="1">
        <v>555</v>
      </c>
      <c r="Q210" s="1">
        <v>534</v>
      </c>
      <c r="R210" s="1">
        <v>534</v>
      </c>
      <c r="S210" s="1">
        <v>630</v>
      </c>
      <c r="T210" s="1">
        <v>596</v>
      </c>
      <c r="U210" s="1">
        <v>633</v>
      </c>
      <c r="V210" s="1">
        <v>644</v>
      </c>
      <c r="W210" s="1">
        <v>635</v>
      </c>
      <c r="X210" s="1">
        <v>615</v>
      </c>
      <c r="Y210" s="1">
        <v>623</v>
      </c>
      <c r="Z210" s="1">
        <v>654</v>
      </c>
      <c r="AA210" s="1">
        <v>588</v>
      </c>
      <c r="AB210" s="1">
        <v>504</v>
      </c>
      <c r="AC210" s="1">
        <v>622</v>
      </c>
      <c r="AD210" s="1">
        <v>660</v>
      </c>
      <c r="AE210" s="1">
        <v>660</v>
      </c>
      <c r="AF210" s="1">
        <v>616</v>
      </c>
      <c r="AG210" s="1">
        <v>619</v>
      </c>
      <c r="AH210" s="1">
        <v>644</v>
      </c>
      <c r="AI210" s="1">
        <v>1208</v>
      </c>
      <c r="AJ210" s="1">
        <v>1891</v>
      </c>
      <c r="AK210" s="1">
        <v>1971</v>
      </c>
      <c r="AL210" s="1">
        <v>2188</v>
      </c>
      <c r="AM210" s="1">
        <v>2368</v>
      </c>
      <c r="AN210" s="1">
        <v>2330</v>
      </c>
      <c r="AO210" s="1">
        <v>2802</v>
      </c>
      <c r="AP210" s="1">
        <v>2956</v>
      </c>
      <c r="AQ210" s="1">
        <v>3339</v>
      </c>
      <c r="AR210" s="1">
        <v>3523</v>
      </c>
      <c r="AS210" s="1">
        <v>3966</v>
      </c>
      <c r="AT210" s="1">
        <v>4317</v>
      </c>
      <c r="AU210" s="1">
        <v>4536</v>
      </c>
      <c r="AV210" s="1">
        <v>5069</v>
      </c>
      <c r="AW210" s="1">
        <v>5279</v>
      </c>
      <c r="AX210" s="1">
        <v>5933</v>
      </c>
      <c r="AY210" s="1"/>
      <c r="BA210" s="21">
        <f>SUM(C210:N210)</f>
        <v>3212</v>
      </c>
      <c r="BB210" s="22">
        <f t="shared" si="177"/>
        <v>267.66666666666669</v>
      </c>
      <c r="BD210" s="7">
        <f>SUM(O210:Z210)</f>
        <v>7273</v>
      </c>
      <c r="BE210" s="7">
        <f t="shared" si="178"/>
        <v>4061</v>
      </c>
      <c r="BF210" s="8">
        <f t="shared" si="179"/>
        <v>1.2643212951432128</v>
      </c>
      <c r="BG210" s="7">
        <f t="shared" si="180"/>
        <v>606.08333333333337</v>
      </c>
      <c r="BI210" s="12">
        <f>+SUM(AA210:AL210)</f>
        <v>12171</v>
      </c>
      <c r="BJ210" s="12">
        <f t="shared" si="181"/>
        <v>4898</v>
      </c>
      <c r="BK210" s="13">
        <f t="shared" si="182"/>
        <v>0.67344974563453874</v>
      </c>
      <c r="BL210" s="24">
        <f>SUM(AA210:AH210)/8</f>
        <v>614.125</v>
      </c>
      <c r="BM210" s="24">
        <f>SUM(AI210:AL210)/4</f>
        <v>1814.5</v>
      </c>
      <c r="BO210" s="17">
        <f>+SUM(AM210:AX210)</f>
        <v>46418</v>
      </c>
      <c r="BP210" s="17">
        <f t="shared" si="183"/>
        <v>34247</v>
      </c>
      <c r="BQ210" s="18">
        <f t="shared" si="184"/>
        <v>2.8138197354366938</v>
      </c>
      <c r="BR210" s="25">
        <f t="shared" si="185"/>
        <v>3868.1666666666665</v>
      </c>
    </row>
    <row r="211" spans="1:70">
      <c r="A211" t="s">
        <v>348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1821</v>
      </c>
      <c r="K211" s="1">
        <v>1735</v>
      </c>
      <c r="L211" s="1">
        <v>1957</v>
      </c>
      <c r="M211" s="1">
        <v>1880</v>
      </c>
      <c r="N211" s="1">
        <v>1861</v>
      </c>
      <c r="O211" s="1">
        <v>1880</v>
      </c>
      <c r="P211" s="1">
        <v>1678</v>
      </c>
      <c r="Q211" s="1">
        <v>1757</v>
      </c>
      <c r="R211" s="1">
        <v>1885</v>
      </c>
      <c r="S211" s="1">
        <v>2165</v>
      </c>
      <c r="T211" s="1">
        <v>1677</v>
      </c>
      <c r="U211" s="1">
        <v>1494</v>
      </c>
      <c r="V211" s="1">
        <v>1453</v>
      </c>
      <c r="W211" s="1">
        <v>1351</v>
      </c>
      <c r="X211" s="1">
        <v>1416</v>
      </c>
      <c r="Y211" s="1">
        <v>1338</v>
      </c>
      <c r="Z211" s="1">
        <v>1332</v>
      </c>
      <c r="AA211" s="1">
        <v>1235</v>
      </c>
      <c r="AB211" s="1">
        <v>1098</v>
      </c>
      <c r="AC211" s="1">
        <v>1420</v>
      </c>
      <c r="AD211" s="1">
        <v>1629</v>
      </c>
      <c r="AE211" s="1">
        <v>1652</v>
      </c>
      <c r="AF211" s="1">
        <v>1644</v>
      </c>
      <c r="AG211" s="1">
        <v>1560</v>
      </c>
      <c r="AH211" s="1">
        <v>1428</v>
      </c>
      <c r="AI211" s="1">
        <v>1314</v>
      </c>
      <c r="AJ211" s="1">
        <v>1318</v>
      </c>
      <c r="AK211" s="1">
        <v>1374</v>
      </c>
      <c r="AL211" s="1">
        <v>1526</v>
      </c>
      <c r="AM211" s="1">
        <v>1651</v>
      </c>
      <c r="AN211" s="1">
        <v>1624</v>
      </c>
      <c r="AO211" s="1">
        <v>1954</v>
      </c>
      <c r="AP211" s="1">
        <v>2061</v>
      </c>
      <c r="AQ211" s="1">
        <v>2328</v>
      </c>
      <c r="AR211" s="1">
        <v>2456</v>
      </c>
      <c r="AS211" s="1">
        <v>2765</v>
      </c>
      <c r="AT211" s="1">
        <v>3010</v>
      </c>
      <c r="AU211" s="1">
        <v>3163</v>
      </c>
      <c r="AV211" s="1">
        <v>3535</v>
      </c>
      <c r="AW211" s="1">
        <v>3681</v>
      </c>
      <c r="AX211" s="1">
        <v>4137</v>
      </c>
      <c r="AY211" s="1"/>
      <c r="BA211" s="21">
        <f>SUM(C211:N211)</f>
        <v>9254</v>
      </c>
      <c r="BB211" s="22">
        <f t="shared" si="177"/>
        <v>771.16666666666663</v>
      </c>
      <c r="BD211" s="7">
        <f>SUM(O211:Z211)</f>
        <v>19426</v>
      </c>
      <c r="BE211" s="7">
        <f t="shared" si="178"/>
        <v>10172</v>
      </c>
      <c r="BF211" s="8">
        <f t="shared" si="179"/>
        <v>1.0992003457964126</v>
      </c>
      <c r="BG211" s="7">
        <f t="shared" si="180"/>
        <v>1618.8333333333333</v>
      </c>
      <c r="BI211" s="12">
        <f>+SUM(AA211:AL211)</f>
        <v>17198</v>
      </c>
      <c r="BJ211" s="12">
        <f t="shared" si="181"/>
        <v>-2228</v>
      </c>
      <c r="BK211" s="13">
        <f t="shared" si="182"/>
        <v>-0.11469165036548956</v>
      </c>
      <c r="BL211" s="24">
        <f>SUM(AA211:AH211)/8</f>
        <v>1458.25</v>
      </c>
      <c r="BM211" s="24">
        <f>SUM(AI211:AL211)/4</f>
        <v>1383</v>
      </c>
      <c r="BO211" s="17">
        <f>+SUM(AM211:AX211)</f>
        <v>32365</v>
      </c>
      <c r="BP211" s="17">
        <f t="shared" si="183"/>
        <v>15167</v>
      </c>
      <c r="BQ211" s="18">
        <f t="shared" si="184"/>
        <v>0.88190487265961148</v>
      </c>
      <c r="BR211" s="25">
        <f t="shared" si="185"/>
        <v>2697.0833333333335</v>
      </c>
    </row>
    <row r="212" spans="1:70">
      <c r="A212" t="s">
        <v>11</v>
      </c>
      <c r="B212" t="s">
        <v>12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BA212" s="21"/>
      <c r="BB212" s="22"/>
      <c r="BD212" s="7"/>
      <c r="BE212" s="7"/>
      <c r="BF212" s="8"/>
      <c r="BG212" s="7"/>
      <c r="BI212" s="12"/>
      <c r="BJ212" s="12"/>
      <c r="BK212" s="13"/>
      <c r="BL212" s="24"/>
      <c r="BM212" s="24"/>
      <c r="BO212" s="17"/>
      <c r="BP212" s="17"/>
      <c r="BQ212" s="18"/>
      <c r="BR212" s="25"/>
    </row>
    <row r="213" spans="1:70">
      <c r="A213" t="s">
        <v>349</v>
      </c>
      <c r="C213" s="1">
        <v>3146</v>
      </c>
      <c r="D213" s="1">
        <v>2776</v>
      </c>
      <c r="E213" s="1">
        <v>3055</v>
      </c>
      <c r="F213" s="1">
        <v>2933</v>
      </c>
      <c r="G213" s="1">
        <v>2766</v>
      </c>
      <c r="H213" s="1">
        <v>2831</v>
      </c>
      <c r="I213" s="1">
        <v>2709</v>
      </c>
      <c r="J213" s="1">
        <v>2664</v>
      </c>
      <c r="K213" s="1">
        <v>2507</v>
      </c>
      <c r="L213" s="1">
        <v>2758</v>
      </c>
      <c r="M213" s="1">
        <v>2618</v>
      </c>
      <c r="N213" s="1">
        <v>2619</v>
      </c>
      <c r="O213" s="1">
        <v>2659</v>
      </c>
      <c r="P213" s="1">
        <v>2368</v>
      </c>
      <c r="Q213" s="1">
        <v>2596</v>
      </c>
      <c r="R213" s="1">
        <v>2548</v>
      </c>
      <c r="S213" s="1">
        <v>2953</v>
      </c>
      <c r="T213" s="1">
        <v>2418</v>
      </c>
      <c r="U213" s="1">
        <v>2270</v>
      </c>
      <c r="V213" s="1">
        <v>2227</v>
      </c>
      <c r="W213" s="1">
        <v>2108</v>
      </c>
      <c r="X213" s="1">
        <v>2170</v>
      </c>
      <c r="Y213" s="1">
        <v>2097</v>
      </c>
      <c r="Z213" s="1">
        <v>2116</v>
      </c>
      <c r="AA213" s="1">
        <v>2035</v>
      </c>
      <c r="AB213" s="1">
        <v>1798</v>
      </c>
      <c r="AC213" s="1">
        <v>2177</v>
      </c>
      <c r="AD213" s="1">
        <v>2427</v>
      </c>
      <c r="AE213" s="1">
        <v>2461</v>
      </c>
      <c r="AF213" s="1">
        <v>2393</v>
      </c>
      <c r="AG213" s="1">
        <v>2332</v>
      </c>
      <c r="AH213" s="1">
        <v>2205</v>
      </c>
      <c r="AI213" s="1">
        <v>2783</v>
      </c>
      <c r="AJ213" s="1">
        <v>3622</v>
      </c>
      <c r="AK213" s="1">
        <v>3776</v>
      </c>
      <c r="AL213" s="1">
        <v>4192</v>
      </c>
      <c r="AM213" s="1">
        <v>4537</v>
      </c>
      <c r="AN213" s="1">
        <v>4464</v>
      </c>
      <c r="AO213" s="1">
        <v>5369</v>
      </c>
      <c r="AP213" s="1">
        <v>5665</v>
      </c>
      <c r="AQ213" s="1">
        <v>6399</v>
      </c>
      <c r="AR213" s="1">
        <v>6752</v>
      </c>
      <c r="AS213" s="1">
        <v>7602</v>
      </c>
      <c r="AT213" s="1">
        <v>8275</v>
      </c>
      <c r="AU213" s="1">
        <v>8695</v>
      </c>
      <c r="AV213" s="1">
        <v>9719</v>
      </c>
      <c r="AW213" s="1">
        <v>10123</v>
      </c>
      <c r="AX213" s="1">
        <v>11379</v>
      </c>
      <c r="AY213" s="1"/>
      <c r="BA213" s="21">
        <f>SUM(C213:N213)</f>
        <v>33382</v>
      </c>
      <c r="BB213" s="22">
        <f>+BA213/12</f>
        <v>2781.8333333333335</v>
      </c>
      <c r="BD213" s="7">
        <f>SUM(O213:Z213)</f>
        <v>28530</v>
      </c>
      <c r="BE213" s="7">
        <f>+BD213-BA213</f>
        <v>-4852</v>
      </c>
      <c r="BF213" s="8">
        <f>(BD213/BA213)-1</f>
        <v>-0.14534779222335392</v>
      </c>
      <c r="BG213" s="7">
        <f>BD213/12</f>
        <v>2377.5</v>
      </c>
      <c r="BI213" s="12">
        <f>+SUM(AA213:AL213)</f>
        <v>32201</v>
      </c>
      <c r="BJ213" s="12">
        <f>+BI213-BD213</f>
        <v>3671</v>
      </c>
      <c r="BK213" s="13">
        <f>(BI213/BD213)-1</f>
        <v>0.12867157378198391</v>
      </c>
      <c r="BL213" s="24">
        <f>SUM(AA213:AH213)/8</f>
        <v>2228.5</v>
      </c>
      <c r="BM213" s="24">
        <f>SUM(AI213:AL213)/4</f>
        <v>3593.25</v>
      </c>
      <c r="BO213" s="17">
        <f>+SUM(AM213:AX213)</f>
        <v>88979</v>
      </c>
      <c r="BP213" s="17">
        <f>+BO213-BI213</f>
        <v>56778</v>
      </c>
      <c r="BQ213" s="18">
        <f>(BO213/BI213)-1</f>
        <v>1.7632371665476225</v>
      </c>
      <c r="BR213" s="25">
        <f>BO213/12</f>
        <v>7414.916666666667</v>
      </c>
    </row>
    <row r="214" spans="1:70">
      <c r="A214" t="s">
        <v>600</v>
      </c>
      <c r="C214" s="1">
        <v>211851</v>
      </c>
      <c r="D214" s="1">
        <v>191323</v>
      </c>
      <c r="E214" s="1">
        <v>225622</v>
      </c>
      <c r="F214" s="1">
        <v>220553</v>
      </c>
      <c r="G214" s="1">
        <v>225474</v>
      </c>
      <c r="H214" s="1">
        <v>214626</v>
      </c>
      <c r="I214" s="1">
        <v>224336</v>
      </c>
      <c r="J214" s="1">
        <v>223866</v>
      </c>
      <c r="K214" s="1">
        <v>214441</v>
      </c>
      <c r="L214" s="1">
        <v>223848</v>
      </c>
      <c r="M214" s="1">
        <v>212072</v>
      </c>
      <c r="N214" s="1">
        <v>225009</v>
      </c>
      <c r="O214" s="1">
        <v>215012</v>
      </c>
      <c r="P214" s="1">
        <v>204424</v>
      </c>
      <c r="Q214" s="1">
        <v>235297</v>
      </c>
      <c r="R214" s="1">
        <v>227764</v>
      </c>
      <c r="S214" s="1">
        <v>233467</v>
      </c>
      <c r="T214" s="1">
        <v>220532</v>
      </c>
      <c r="U214" s="1">
        <v>226467</v>
      </c>
      <c r="V214" s="1">
        <v>231086</v>
      </c>
      <c r="W214" s="1">
        <v>219959</v>
      </c>
      <c r="X214" s="1">
        <v>229104</v>
      </c>
      <c r="Y214" s="1">
        <v>220721</v>
      </c>
      <c r="Z214" s="1">
        <v>233316</v>
      </c>
      <c r="AA214" s="1">
        <v>228624</v>
      </c>
      <c r="AB214" s="1">
        <v>201379</v>
      </c>
      <c r="AC214" s="1">
        <v>241565</v>
      </c>
      <c r="AD214" s="1">
        <v>249250</v>
      </c>
      <c r="AE214" s="1">
        <v>254212</v>
      </c>
      <c r="AF214" s="1">
        <v>242159</v>
      </c>
      <c r="AG214" s="1">
        <v>252767</v>
      </c>
      <c r="AH214" s="1">
        <v>255613</v>
      </c>
      <c r="AI214" s="1">
        <v>277198</v>
      </c>
      <c r="AJ214" s="1">
        <v>304159</v>
      </c>
      <c r="AK214" s="1">
        <v>299004</v>
      </c>
      <c r="AL214" s="1">
        <v>313628</v>
      </c>
      <c r="AM214" s="1">
        <v>318237</v>
      </c>
      <c r="AN214" s="1">
        <v>291517</v>
      </c>
      <c r="AO214" s="1">
        <v>327124</v>
      </c>
      <c r="AP214" s="1">
        <v>320813</v>
      </c>
      <c r="AQ214" s="1">
        <v>336542</v>
      </c>
      <c r="AR214" s="1">
        <v>331572</v>
      </c>
      <c r="AS214" s="1">
        <v>349791</v>
      </c>
      <c r="AT214" s="1">
        <v>357760</v>
      </c>
      <c r="AU214" s="1">
        <v>354387</v>
      </c>
      <c r="AV214" s="1">
        <v>374987</v>
      </c>
      <c r="AW214" s="1">
        <v>371658</v>
      </c>
      <c r="AX214" s="1">
        <v>393752</v>
      </c>
      <c r="AY214" s="1"/>
      <c r="BA214" s="21">
        <f>SUM(C214:N214)</f>
        <v>2613021</v>
      </c>
      <c r="BB214" s="22">
        <f>+BA214/12</f>
        <v>217751.75</v>
      </c>
      <c r="BD214" s="7">
        <f>SUM(O214:Z214)</f>
        <v>2697149</v>
      </c>
      <c r="BE214" s="7">
        <f>+BD214-BA214</f>
        <v>84128</v>
      </c>
      <c r="BF214" s="8">
        <f>(BD214/BA214)-1</f>
        <v>3.2195684611796116E-2</v>
      </c>
      <c r="BG214" s="7">
        <f>BD214/12</f>
        <v>224762.41666666666</v>
      </c>
      <c r="BI214" s="12">
        <f>+SUM(AA214:AL214)</f>
        <v>3119558</v>
      </c>
      <c r="BJ214" s="12">
        <f>+BI214-BD214</f>
        <v>422409</v>
      </c>
      <c r="BK214" s="13">
        <f>(BI214/BD214)-1</f>
        <v>0.15661314966284778</v>
      </c>
      <c r="BL214" s="24">
        <f>SUM(AA214:AH214)/8</f>
        <v>240696.125</v>
      </c>
      <c r="BM214" s="24">
        <f>SUM(AI214:AL214)/4</f>
        <v>298497.25</v>
      </c>
      <c r="BO214" s="17">
        <f>+SUM(AM214:AX214)</f>
        <v>4128140</v>
      </c>
      <c r="BP214" s="17">
        <f>+BO214-BI214</f>
        <v>1008582</v>
      </c>
      <c r="BQ214" s="18">
        <f>(BO214/BI214)-1</f>
        <v>0.32330926368415014</v>
      </c>
      <c r="BR214" s="25">
        <f>BO214/12</f>
        <v>344011.66666666669</v>
      </c>
    </row>
    <row r="215" spans="1:70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70">
      <c r="A216" t="s">
        <v>365</v>
      </c>
      <c r="B216">
        <v>220305</v>
      </c>
      <c r="C216" s="1">
        <v>12297</v>
      </c>
      <c r="D216" s="1">
        <v>10504</v>
      </c>
      <c r="E216" s="1">
        <v>11212</v>
      </c>
      <c r="F216" s="1">
        <v>10652</v>
      </c>
      <c r="G216" s="1">
        <v>10547</v>
      </c>
      <c r="H216" s="1">
        <v>10026</v>
      </c>
      <c r="I216" s="1">
        <v>10015</v>
      </c>
      <c r="J216" s="1">
        <v>9679</v>
      </c>
      <c r="K216" s="1">
        <v>9285</v>
      </c>
      <c r="L216" s="1">
        <v>9460</v>
      </c>
      <c r="M216" s="1">
        <v>9030</v>
      </c>
      <c r="N216" s="1">
        <v>9182</v>
      </c>
      <c r="O216" s="1">
        <v>8938</v>
      </c>
      <c r="P216" s="1">
        <v>8307</v>
      </c>
      <c r="Q216" s="1">
        <v>8696</v>
      </c>
      <c r="R216" s="1">
        <v>8336</v>
      </c>
      <c r="S216" s="1">
        <v>8467</v>
      </c>
      <c r="T216" s="1">
        <v>8071</v>
      </c>
      <c r="U216" s="1">
        <v>8243</v>
      </c>
      <c r="V216" s="1">
        <v>8168</v>
      </c>
      <c r="W216" s="1">
        <v>7682</v>
      </c>
      <c r="X216" s="1">
        <v>7788</v>
      </c>
      <c r="Y216" s="1">
        <v>7503</v>
      </c>
      <c r="Z216" s="1">
        <v>7676</v>
      </c>
      <c r="AA216" s="1">
        <v>7557</v>
      </c>
      <c r="AB216" s="1">
        <v>6898</v>
      </c>
      <c r="AC216" s="1">
        <v>7808</v>
      </c>
      <c r="AD216" s="1">
        <v>7625</v>
      </c>
      <c r="AE216" s="1">
        <v>7776</v>
      </c>
      <c r="AF216" s="1">
        <v>7454</v>
      </c>
      <c r="AG216" s="1">
        <v>7544</v>
      </c>
      <c r="AH216" s="1">
        <v>7367</v>
      </c>
      <c r="AI216" s="1">
        <v>142</v>
      </c>
      <c r="AJ216" s="1">
        <v>147</v>
      </c>
      <c r="AK216" s="1">
        <v>141</v>
      </c>
      <c r="AL216" s="1">
        <v>144</v>
      </c>
      <c r="AM216" s="1">
        <v>143</v>
      </c>
      <c r="AN216" s="1">
        <v>128</v>
      </c>
      <c r="AO216" s="1">
        <v>140</v>
      </c>
      <c r="AP216" s="1">
        <v>134</v>
      </c>
      <c r="AQ216" s="1">
        <v>137</v>
      </c>
      <c r="AR216" s="1">
        <v>132</v>
      </c>
      <c r="AS216" s="1">
        <v>135</v>
      </c>
      <c r="AT216" s="1">
        <v>135</v>
      </c>
      <c r="AU216" s="1">
        <v>130</v>
      </c>
      <c r="AV216" s="1">
        <v>134</v>
      </c>
      <c r="AW216" s="1">
        <v>129</v>
      </c>
      <c r="AX216" s="1">
        <v>132</v>
      </c>
      <c r="AY216" s="1"/>
      <c r="BA216" s="21">
        <f>SUM(C216:N216)</f>
        <v>121889</v>
      </c>
      <c r="BB216" s="22">
        <f>+BA216/12</f>
        <v>10157.416666666666</v>
      </c>
      <c r="BD216" s="7">
        <f>SUM(O216:Z216)</f>
        <v>97875</v>
      </c>
      <c r="BE216" s="7">
        <f>+BD216-BA216</f>
        <v>-24014</v>
      </c>
      <c r="BF216" s="8">
        <f>(BD216/BA216)-1</f>
        <v>-0.197015317214843</v>
      </c>
      <c r="BG216" s="7">
        <f>BD216/12</f>
        <v>8156.25</v>
      </c>
      <c r="BI216" s="12">
        <f>+SUM(AA216:AL216)</f>
        <v>60603</v>
      </c>
      <c r="BJ216" s="12">
        <f>+BI216-BD216</f>
        <v>-37272</v>
      </c>
      <c r="BK216" s="13">
        <f>(BI216/BD216)-1</f>
        <v>-0.38081226053639849</v>
      </c>
      <c r="BL216" s="24">
        <f>SUM(AA216:AH216)/8</f>
        <v>7503.625</v>
      </c>
      <c r="BM216" s="24">
        <f>SUM(AI216:AL216)/4</f>
        <v>143.5</v>
      </c>
      <c r="BO216" s="17">
        <f>+SUM(AM216:AX216)</f>
        <v>1609</v>
      </c>
      <c r="BP216" s="17">
        <f>+BO216-BI216</f>
        <v>-58994</v>
      </c>
      <c r="BQ216" s="18">
        <f>(BO216/BI216)-1</f>
        <v>-0.97345015923304123</v>
      </c>
      <c r="BR216" s="25">
        <f>BO216/12</f>
        <v>134.08333333333334</v>
      </c>
    </row>
    <row r="217" spans="1:70">
      <c r="A217" t="s">
        <v>11</v>
      </c>
      <c r="B217" t="s">
        <v>12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70">
      <c r="A218" t="s">
        <v>601</v>
      </c>
      <c r="C218" s="1">
        <v>12297</v>
      </c>
      <c r="D218" s="1">
        <v>10504</v>
      </c>
      <c r="E218" s="1">
        <v>11212</v>
      </c>
      <c r="F218" s="1">
        <v>10652</v>
      </c>
      <c r="G218" s="1">
        <v>10547</v>
      </c>
      <c r="H218" s="1">
        <v>10026</v>
      </c>
      <c r="I218" s="1">
        <v>10015</v>
      </c>
      <c r="J218" s="1">
        <v>9679</v>
      </c>
      <c r="K218" s="1">
        <v>9285</v>
      </c>
      <c r="L218" s="1">
        <v>9460</v>
      </c>
      <c r="M218" s="1">
        <v>9030</v>
      </c>
      <c r="N218" s="1">
        <v>9182</v>
      </c>
      <c r="O218" s="1">
        <v>8938</v>
      </c>
      <c r="P218" s="1">
        <v>8307</v>
      </c>
      <c r="Q218" s="1">
        <v>8696</v>
      </c>
      <c r="R218" s="1">
        <v>8336</v>
      </c>
      <c r="S218" s="1">
        <v>8467</v>
      </c>
      <c r="T218" s="1">
        <v>8071</v>
      </c>
      <c r="U218" s="1">
        <v>8243</v>
      </c>
      <c r="V218" s="1">
        <v>8168</v>
      </c>
      <c r="W218" s="1">
        <v>7682</v>
      </c>
      <c r="X218" s="1">
        <v>7788</v>
      </c>
      <c r="Y218" s="1">
        <v>7503</v>
      </c>
      <c r="Z218" s="1">
        <v>7676</v>
      </c>
      <c r="AA218" s="1">
        <v>7557</v>
      </c>
      <c r="AB218" s="1">
        <v>6898</v>
      </c>
      <c r="AC218" s="1">
        <v>7808</v>
      </c>
      <c r="AD218" s="1">
        <v>7625</v>
      </c>
      <c r="AE218" s="1">
        <v>7776</v>
      </c>
      <c r="AF218" s="1">
        <v>7454</v>
      </c>
      <c r="AG218" s="1">
        <v>7544</v>
      </c>
      <c r="AH218" s="1">
        <v>7367</v>
      </c>
      <c r="AI218" s="1">
        <v>142</v>
      </c>
      <c r="AJ218" s="1">
        <v>147</v>
      </c>
      <c r="AK218" s="1">
        <v>141</v>
      </c>
      <c r="AL218" s="1">
        <v>144</v>
      </c>
      <c r="AM218" s="1">
        <v>143</v>
      </c>
      <c r="AN218" s="1">
        <v>128</v>
      </c>
      <c r="AO218" s="1">
        <v>140</v>
      </c>
      <c r="AP218" s="1">
        <v>134</v>
      </c>
      <c r="AQ218" s="1">
        <v>137</v>
      </c>
      <c r="AR218" s="1">
        <v>132</v>
      </c>
      <c r="AS218" s="1">
        <v>135</v>
      </c>
      <c r="AT218" s="1">
        <v>135</v>
      </c>
      <c r="AU218" s="1">
        <v>130</v>
      </c>
      <c r="AV218" s="1">
        <v>134</v>
      </c>
      <c r="AW218" s="1">
        <v>129</v>
      </c>
      <c r="AX218" s="1">
        <v>132</v>
      </c>
      <c r="AY218" s="1"/>
      <c r="BA218" s="21">
        <f>SUM(C218:N218)</f>
        <v>121889</v>
      </c>
      <c r="BB218" s="22">
        <f>+BA218/12</f>
        <v>10157.416666666666</v>
      </c>
      <c r="BD218" s="7">
        <f>SUM(O218:Z218)</f>
        <v>97875</v>
      </c>
      <c r="BE218" s="7">
        <f>+BD218-BA218</f>
        <v>-24014</v>
      </c>
      <c r="BF218" s="8">
        <f>(BD218/BA218)-1</f>
        <v>-0.197015317214843</v>
      </c>
      <c r="BG218" s="7">
        <f>BD218/12</f>
        <v>8156.25</v>
      </c>
      <c r="BI218" s="12">
        <f>+SUM(AA218:AL218)</f>
        <v>60603</v>
      </c>
      <c r="BJ218" s="12">
        <f>+BI218-BD218</f>
        <v>-37272</v>
      </c>
      <c r="BK218" s="13">
        <f>(BI218/BD218)-1</f>
        <v>-0.38081226053639849</v>
      </c>
      <c r="BL218" s="24">
        <f>SUM(AA218:AH218)/8</f>
        <v>7503.625</v>
      </c>
      <c r="BM218" s="24">
        <f>SUM(AI218:AL218)/4</f>
        <v>143.5</v>
      </c>
      <c r="BO218" s="17">
        <f>+SUM(AM218:AX218)</f>
        <v>1609</v>
      </c>
      <c r="BP218" s="17">
        <f>+BO218-BI218</f>
        <v>-58994</v>
      </c>
      <c r="BQ218" s="18">
        <f>(BO218/BI218)-1</f>
        <v>-0.97345015923304123</v>
      </c>
      <c r="BR218" s="25">
        <f>BO218/12</f>
        <v>134.08333333333334</v>
      </c>
    </row>
    <row r="219" spans="1:70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BA219" s="21"/>
      <c r="BB219" s="22"/>
      <c r="BD219" s="7"/>
      <c r="BE219" s="7"/>
      <c r="BF219" s="8"/>
      <c r="BG219" s="7"/>
      <c r="BI219" s="12"/>
      <c r="BJ219" s="12"/>
      <c r="BK219" s="13"/>
      <c r="BL219" s="24"/>
      <c r="BM219" s="24"/>
      <c r="BO219" s="17"/>
      <c r="BP219" s="17"/>
      <c r="BQ219" s="18"/>
      <c r="BR219" s="25"/>
    </row>
    <row r="220" spans="1:70">
      <c r="A220" t="s">
        <v>367</v>
      </c>
      <c r="B220">
        <v>220400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9058</v>
      </c>
      <c r="I220" s="1">
        <v>65107</v>
      </c>
      <c r="J220" s="1">
        <v>96382</v>
      </c>
      <c r="K220" s="1">
        <v>86422</v>
      </c>
      <c r="L220" s="1">
        <v>46817</v>
      </c>
      <c r="M220" s="1">
        <v>21102</v>
      </c>
      <c r="N220" s="1">
        <v>19135</v>
      </c>
      <c r="O220" s="1">
        <v>13038</v>
      </c>
      <c r="P220" s="1">
        <v>11106</v>
      </c>
      <c r="Q220" s="1">
        <v>11851</v>
      </c>
      <c r="R220" s="1">
        <v>9783</v>
      </c>
      <c r="S220" s="1">
        <v>8402</v>
      </c>
      <c r="T220" s="1">
        <v>7732</v>
      </c>
      <c r="U220" s="1">
        <v>7657</v>
      </c>
      <c r="V220" s="1">
        <v>7390</v>
      </c>
      <c r="W220" s="1">
        <v>6969</v>
      </c>
      <c r="X220" s="1">
        <v>7944</v>
      </c>
      <c r="Y220" s="1">
        <v>7065</v>
      </c>
      <c r="Z220" s="1">
        <v>7145</v>
      </c>
      <c r="AA220" s="1">
        <v>7049</v>
      </c>
      <c r="AB220" s="1">
        <v>6024</v>
      </c>
      <c r="AC220" s="1">
        <v>5904</v>
      </c>
      <c r="AD220" s="1">
        <v>5808</v>
      </c>
      <c r="AE220" s="1">
        <v>5821</v>
      </c>
      <c r="AF220" s="1">
        <v>5387</v>
      </c>
      <c r="AG220" s="1">
        <v>5006</v>
      </c>
      <c r="AH220" s="1">
        <v>4787</v>
      </c>
      <c r="AI220" s="1">
        <v>3478</v>
      </c>
      <c r="AJ220" s="1">
        <v>1537</v>
      </c>
      <c r="AK220" s="1">
        <v>496</v>
      </c>
      <c r="AL220" s="1">
        <v>92</v>
      </c>
      <c r="AM220" s="1">
        <v>85</v>
      </c>
      <c r="AN220" s="1">
        <v>76</v>
      </c>
      <c r="AO220" s="1">
        <v>84</v>
      </c>
      <c r="AP220" s="1">
        <v>82</v>
      </c>
      <c r="AQ220" s="1">
        <v>85</v>
      </c>
      <c r="AR220" s="1">
        <v>71</v>
      </c>
      <c r="AS220" s="1">
        <v>62</v>
      </c>
      <c r="AT220" s="1">
        <v>62</v>
      </c>
      <c r="AU220" s="1">
        <v>61</v>
      </c>
      <c r="AV220" s="1">
        <v>63</v>
      </c>
      <c r="AW220" s="1">
        <v>62</v>
      </c>
      <c r="AX220" s="1">
        <v>64</v>
      </c>
      <c r="AY220" s="1"/>
      <c r="BA220" s="21">
        <f t="shared" ref="BA220:BA263" si="186">SUM(C220:N220)</f>
        <v>344023</v>
      </c>
      <c r="BB220" s="22">
        <f t="shared" ref="BB220:BB263" si="187">+BA220/12</f>
        <v>28668.583333333332</v>
      </c>
      <c r="BD220" s="7">
        <f t="shared" ref="BD220:BD263" si="188">SUM(O220:Z220)</f>
        <v>106082</v>
      </c>
      <c r="BE220" s="7">
        <f t="shared" ref="BE220:BE263" si="189">+BD220-BA220</f>
        <v>-237941</v>
      </c>
      <c r="BF220" s="8">
        <f t="shared" ref="BF220:BF263" si="190">(BD220/BA220)-1</f>
        <v>-0.69164270993509147</v>
      </c>
      <c r="BG220" s="7">
        <f t="shared" ref="BG220:BG263" si="191">BD220/12</f>
        <v>8840.1666666666661</v>
      </c>
      <c r="BI220" s="12">
        <f t="shared" ref="BI220:BI263" si="192">+SUM(AA220:AL220)</f>
        <v>51389</v>
      </c>
      <c r="BJ220" s="12">
        <f t="shared" ref="BJ220:BJ263" si="193">+BI220-BD220</f>
        <v>-54693</v>
      </c>
      <c r="BK220" s="13">
        <f t="shared" ref="BK220:BK263" si="194">(BI220/BD220)-1</f>
        <v>-0.51557285873192438</v>
      </c>
      <c r="BL220" s="24">
        <f t="shared" ref="BL220:BL263" si="195">SUM(AA220:AH220)/8</f>
        <v>5723.25</v>
      </c>
      <c r="BM220" s="24">
        <f t="shared" ref="BM220:BM263" si="196">SUM(AI220:AL220)/4</f>
        <v>1400.75</v>
      </c>
      <c r="BO220" s="17">
        <f t="shared" ref="BO220:BO263" si="197">+SUM(AM220:AX220)</f>
        <v>857</v>
      </c>
      <c r="BP220" s="17">
        <f t="shared" ref="BP220:BP263" si="198">+BO220-BI220</f>
        <v>-50532</v>
      </c>
      <c r="BQ220" s="18">
        <f t="shared" ref="BQ220:BQ263" si="199">(BO220/BI220)-1</f>
        <v>-0.98332327930101771</v>
      </c>
      <c r="BR220" s="25">
        <f t="shared" ref="BR220:BR263" si="200">BO220/12</f>
        <v>71.416666666666671</v>
      </c>
    </row>
    <row r="221" spans="1:70">
      <c r="A221" t="s">
        <v>370</v>
      </c>
      <c r="B221">
        <v>220405</v>
      </c>
      <c r="C221" s="1">
        <v>431212</v>
      </c>
      <c r="D221" s="1">
        <v>456013</v>
      </c>
      <c r="E221" s="1">
        <v>572329</v>
      </c>
      <c r="F221" s="1">
        <v>586006</v>
      </c>
      <c r="G221" s="1">
        <v>557988</v>
      </c>
      <c r="H221" s="1">
        <v>523372</v>
      </c>
      <c r="I221" s="1">
        <v>778244</v>
      </c>
      <c r="J221" s="1">
        <v>924257</v>
      </c>
      <c r="K221" s="1">
        <v>1028645</v>
      </c>
      <c r="L221" s="1">
        <v>1109454</v>
      </c>
      <c r="M221" s="1">
        <v>1015037</v>
      </c>
      <c r="N221" s="1">
        <v>982526</v>
      </c>
      <c r="O221" s="1">
        <v>919628</v>
      </c>
      <c r="P221" s="1">
        <v>966957</v>
      </c>
      <c r="Q221" s="1">
        <v>1063064</v>
      </c>
      <c r="R221" s="1">
        <v>986438</v>
      </c>
      <c r="S221" s="1">
        <v>1002500</v>
      </c>
      <c r="T221" s="1">
        <v>968316</v>
      </c>
      <c r="U221" s="1">
        <v>884581</v>
      </c>
      <c r="V221" s="1">
        <v>811236</v>
      </c>
      <c r="W221" s="1">
        <v>840963</v>
      </c>
      <c r="X221" s="1">
        <v>970835</v>
      </c>
      <c r="Y221" s="1">
        <v>1021661</v>
      </c>
      <c r="Z221" s="1">
        <v>1124667</v>
      </c>
      <c r="AA221" s="1">
        <v>1150958</v>
      </c>
      <c r="AB221" s="1">
        <v>1065722</v>
      </c>
      <c r="AC221" s="1">
        <v>1174293</v>
      </c>
      <c r="AD221" s="1">
        <v>1071653</v>
      </c>
      <c r="AE221" s="1">
        <v>1020889</v>
      </c>
      <c r="AF221" s="1">
        <v>936125</v>
      </c>
      <c r="AG221" s="1">
        <v>855531</v>
      </c>
      <c r="AH221" s="1">
        <v>670279</v>
      </c>
      <c r="AI221" s="1">
        <v>549651</v>
      </c>
      <c r="AJ221" s="1">
        <v>563395</v>
      </c>
      <c r="AK221" s="1">
        <v>565192</v>
      </c>
      <c r="AL221" s="1">
        <v>614554</v>
      </c>
      <c r="AM221" s="1">
        <v>631020</v>
      </c>
      <c r="AN221" s="1">
        <v>574091</v>
      </c>
      <c r="AO221" s="1">
        <v>630060</v>
      </c>
      <c r="AP221" s="1">
        <v>601891</v>
      </c>
      <c r="AQ221" s="1">
        <v>620320</v>
      </c>
      <c r="AR221" s="1">
        <v>596131</v>
      </c>
      <c r="AS221" s="1">
        <v>613870</v>
      </c>
      <c r="AT221" s="1">
        <v>613488</v>
      </c>
      <c r="AU221" s="1">
        <v>592205</v>
      </c>
      <c r="AV221" s="1">
        <v>612435</v>
      </c>
      <c r="AW221" s="1">
        <v>595124</v>
      </c>
      <c r="AX221" s="1">
        <v>616786</v>
      </c>
      <c r="AY221" s="1"/>
      <c r="BA221" s="21">
        <f t="shared" si="186"/>
        <v>8965083</v>
      </c>
      <c r="BB221" s="22">
        <f t="shared" si="187"/>
        <v>747090.25</v>
      </c>
      <c r="BD221" s="7">
        <f t="shared" si="188"/>
        <v>11560846</v>
      </c>
      <c r="BE221" s="7">
        <f t="shared" si="189"/>
        <v>2595763</v>
      </c>
      <c r="BF221" s="8">
        <f t="shared" si="190"/>
        <v>0.28954143536652133</v>
      </c>
      <c r="BG221" s="7">
        <f t="shared" si="191"/>
        <v>963403.83333333337</v>
      </c>
      <c r="BI221" s="12">
        <f t="shared" si="192"/>
        <v>10238242</v>
      </c>
      <c r="BJ221" s="12">
        <f t="shared" si="193"/>
        <v>-1322604</v>
      </c>
      <c r="BK221" s="13">
        <f t="shared" si="194"/>
        <v>-0.11440373827313333</v>
      </c>
      <c r="BL221" s="24">
        <f t="shared" si="195"/>
        <v>993181.25</v>
      </c>
      <c r="BM221" s="24">
        <f t="shared" si="196"/>
        <v>573198</v>
      </c>
      <c r="BO221" s="17">
        <f t="shared" si="197"/>
        <v>7297421</v>
      </c>
      <c r="BP221" s="17">
        <f t="shared" si="198"/>
        <v>-2940821</v>
      </c>
      <c r="BQ221" s="18">
        <f t="shared" si="199"/>
        <v>-0.28723886385963526</v>
      </c>
      <c r="BR221" s="25">
        <f t="shared" si="200"/>
        <v>608118.41666666663</v>
      </c>
    </row>
    <row r="222" spans="1:70">
      <c r="A222" t="s">
        <v>371</v>
      </c>
      <c r="B222">
        <v>220406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17205</v>
      </c>
      <c r="R222" s="1">
        <v>122664</v>
      </c>
      <c r="S222" s="1">
        <v>224139</v>
      </c>
      <c r="T222" s="1">
        <v>285218</v>
      </c>
      <c r="U222" s="1">
        <v>445043</v>
      </c>
      <c r="V222" s="1">
        <v>609216</v>
      </c>
      <c r="W222" s="1">
        <v>596257</v>
      </c>
      <c r="X222" s="1">
        <v>596754</v>
      </c>
      <c r="Y222" s="1">
        <v>474804</v>
      </c>
      <c r="Z222" s="1">
        <v>393327</v>
      </c>
      <c r="AA222" s="1">
        <v>323684</v>
      </c>
      <c r="AB222" s="1">
        <v>166057</v>
      </c>
      <c r="AC222" s="1">
        <v>6522</v>
      </c>
      <c r="AD222" s="1">
        <v>29929</v>
      </c>
      <c r="AE222" s="1">
        <v>97943</v>
      </c>
      <c r="AF222" s="1">
        <v>142729</v>
      </c>
      <c r="AG222" s="1">
        <v>162416</v>
      </c>
      <c r="AH222" s="1">
        <v>164102</v>
      </c>
      <c r="AI222" s="1">
        <v>160190</v>
      </c>
      <c r="AJ222" s="1">
        <v>166415</v>
      </c>
      <c r="AK222" s="1">
        <v>131786</v>
      </c>
      <c r="AL222" s="1">
        <v>76512</v>
      </c>
      <c r="AM222" s="1">
        <v>41845</v>
      </c>
      <c r="AN222" s="1">
        <v>32674</v>
      </c>
      <c r="AO222" s="1">
        <v>36346</v>
      </c>
      <c r="AP222" s="1">
        <v>35335</v>
      </c>
      <c r="AQ222" s="1">
        <v>36715</v>
      </c>
      <c r="AR222" s="1">
        <v>35765</v>
      </c>
      <c r="AS222" s="1">
        <v>37190</v>
      </c>
      <c r="AT222" s="1">
        <v>37008</v>
      </c>
      <c r="AU222" s="1">
        <v>35643</v>
      </c>
      <c r="AV222" s="1">
        <v>37105</v>
      </c>
      <c r="AW222" s="1">
        <v>36118</v>
      </c>
      <c r="AX222" s="1">
        <v>37462</v>
      </c>
      <c r="AY222" s="1"/>
      <c r="BA222" s="21">
        <f t="shared" si="186"/>
        <v>0</v>
      </c>
      <c r="BB222" s="22">
        <f t="shared" si="187"/>
        <v>0</v>
      </c>
      <c r="BD222" s="7">
        <f t="shared" si="188"/>
        <v>3764627</v>
      </c>
      <c r="BE222" s="7">
        <f t="shared" si="189"/>
        <v>3764627</v>
      </c>
      <c r="BF222" s="8" t="e">
        <f t="shared" si="190"/>
        <v>#DIV/0!</v>
      </c>
      <c r="BG222" s="7">
        <f t="shared" si="191"/>
        <v>313718.91666666669</v>
      </c>
      <c r="BI222" s="12">
        <f t="shared" si="192"/>
        <v>1628285</v>
      </c>
      <c r="BJ222" s="12">
        <f t="shared" si="193"/>
        <v>-2136342</v>
      </c>
      <c r="BK222" s="13">
        <f t="shared" si="194"/>
        <v>-0.56747773418189906</v>
      </c>
      <c r="BL222" s="24">
        <f t="shared" si="195"/>
        <v>136672.75</v>
      </c>
      <c r="BM222" s="24">
        <f t="shared" si="196"/>
        <v>133725.75</v>
      </c>
      <c r="BO222" s="17">
        <f t="shared" si="197"/>
        <v>439206</v>
      </c>
      <c r="BP222" s="17">
        <f t="shared" si="198"/>
        <v>-1189079</v>
      </c>
      <c r="BQ222" s="18">
        <f t="shared" si="199"/>
        <v>-0.73026466496958453</v>
      </c>
      <c r="BR222" s="25">
        <f t="shared" si="200"/>
        <v>36600.5</v>
      </c>
    </row>
    <row r="223" spans="1:70">
      <c r="A223" t="s">
        <v>372</v>
      </c>
      <c r="B223">
        <v>220407</v>
      </c>
      <c r="C223" s="1">
        <v>0</v>
      </c>
      <c r="D223" s="1">
        <v>0</v>
      </c>
      <c r="E223" s="1">
        <v>0</v>
      </c>
      <c r="F223" s="1">
        <v>0</v>
      </c>
      <c r="G223" s="1">
        <v>35784</v>
      </c>
      <c r="H223" s="1">
        <v>67774</v>
      </c>
      <c r="I223" s="1">
        <v>73320</v>
      </c>
      <c r="J223" s="1">
        <v>73030</v>
      </c>
      <c r="K223" s="1">
        <v>70044</v>
      </c>
      <c r="L223" s="1">
        <v>72509</v>
      </c>
      <c r="M223" s="1">
        <v>68199</v>
      </c>
      <c r="N223" s="1">
        <v>71946</v>
      </c>
      <c r="O223" s="1">
        <v>37170</v>
      </c>
      <c r="P223" s="1">
        <v>2962</v>
      </c>
      <c r="Q223" s="1">
        <v>14735</v>
      </c>
      <c r="R223" s="1">
        <v>43759</v>
      </c>
      <c r="S223" s="1">
        <v>61852</v>
      </c>
      <c r="T223" s="1">
        <v>62392</v>
      </c>
      <c r="U223" s="1">
        <v>64744</v>
      </c>
      <c r="V223" s="1">
        <v>65010</v>
      </c>
      <c r="W223" s="1">
        <v>63161</v>
      </c>
      <c r="X223" s="1">
        <v>65546</v>
      </c>
      <c r="Y223" s="1">
        <v>49311</v>
      </c>
      <c r="Z223" s="1">
        <v>19631</v>
      </c>
      <c r="AA223" s="1">
        <v>2837</v>
      </c>
      <c r="AB223" s="1">
        <v>628</v>
      </c>
      <c r="AC223" s="1">
        <v>687</v>
      </c>
      <c r="AD223" s="1">
        <v>666</v>
      </c>
      <c r="AE223" s="1">
        <v>691</v>
      </c>
      <c r="AF223" s="1">
        <v>638</v>
      </c>
      <c r="AG223" s="1">
        <v>517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/>
      <c r="BA223" s="21">
        <f t="shared" si="186"/>
        <v>532606</v>
      </c>
      <c r="BB223" s="22">
        <f t="shared" si="187"/>
        <v>44383.833333333336</v>
      </c>
      <c r="BD223" s="7">
        <f t="shared" si="188"/>
        <v>550273</v>
      </c>
      <c r="BE223" s="7">
        <f t="shared" si="189"/>
        <v>17667</v>
      </c>
      <c r="BF223" s="8">
        <f t="shared" si="190"/>
        <v>3.3170861762728876E-2</v>
      </c>
      <c r="BG223" s="7">
        <f t="shared" si="191"/>
        <v>45856.083333333336</v>
      </c>
      <c r="BI223" s="12">
        <f t="shared" si="192"/>
        <v>6664</v>
      </c>
      <c r="BJ223" s="12">
        <f t="shared" si="193"/>
        <v>-543609</v>
      </c>
      <c r="BK223" s="13">
        <f t="shared" si="194"/>
        <v>-0.98788964750223984</v>
      </c>
      <c r="BL223" s="24">
        <f t="shared" si="195"/>
        <v>833</v>
      </c>
      <c r="BM223" s="24">
        <f t="shared" si="196"/>
        <v>0</v>
      </c>
      <c r="BO223" s="17">
        <f t="shared" si="197"/>
        <v>0</v>
      </c>
      <c r="BP223" s="17">
        <f t="shared" si="198"/>
        <v>-6664</v>
      </c>
      <c r="BQ223" s="18">
        <f t="shared" si="199"/>
        <v>-1</v>
      </c>
      <c r="BR223" s="25">
        <f t="shared" si="200"/>
        <v>0</v>
      </c>
    </row>
    <row r="224" spans="1:70">
      <c r="A224" t="s">
        <v>373</v>
      </c>
      <c r="B224">
        <v>220408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96091</v>
      </c>
      <c r="M224" s="1">
        <v>337310</v>
      </c>
      <c r="N224" s="1">
        <v>574959</v>
      </c>
      <c r="O224" s="1">
        <v>735961</v>
      </c>
      <c r="P224" s="1">
        <v>691468</v>
      </c>
      <c r="Q224" s="1">
        <v>739011</v>
      </c>
      <c r="R224" s="1">
        <v>704523</v>
      </c>
      <c r="S224" s="1">
        <v>728283</v>
      </c>
      <c r="T224" s="1">
        <v>705758</v>
      </c>
      <c r="U224" s="1">
        <v>642045</v>
      </c>
      <c r="V224" s="1">
        <v>391817</v>
      </c>
      <c r="W224" s="1">
        <v>157227</v>
      </c>
      <c r="X224" s="1">
        <v>473</v>
      </c>
      <c r="Y224" s="1">
        <v>459</v>
      </c>
      <c r="Z224" s="1">
        <v>477</v>
      </c>
      <c r="AA224" s="1">
        <v>478</v>
      </c>
      <c r="AB224" s="1">
        <v>385</v>
      </c>
      <c r="AC224" s="1">
        <v>348</v>
      </c>
      <c r="AD224" s="1">
        <v>276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/>
      <c r="BA224" s="21">
        <f t="shared" si="186"/>
        <v>1008360</v>
      </c>
      <c r="BB224" s="22">
        <f t="shared" si="187"/>
        <v>84030</v>
      </c>
      <c r="BD224" s="7">
        <f t="shared" si="188"/>
        <v>5497502</v>
      </c>
      <c r="BE224" s="7">
        <f t="shared" si="189"/>
        <v>4489142</v>
      </c>
      <c r="BF224" s="8">
        <f t="shared" si="190"/>
        <v>4.4519239160617241</v>
      </c>
      <c r="BG224" s="7">
        <f t="shared" si="191"/>
        <v>458125.16666666669</v>
      </c>
      <c r="BI224" s="12">
        <f t="shared" si="192"/>
        <v>1487</v>
      </c>
      <c r="BJ224" s="12">
        <f t="shared" si="193"/>
        <v>-5496015</v>
      </c>
      <c r="BK224" s="13">
        <f t="shared" si="194"/>
        <v>-0.99972951351359218</v>
      </c>
      <c r="BL224" s="24">
        <f t="shared" si="195"/>
        <v>185.875</v>
      </c>
      <c r="BM224" s="24">
        <f t="shared" si="196"/>
        <v>0</v>
      </c>
      <c r="BO224" s="17">
        <f t="shared" si="197"/>
        <v>0</v>
      </c>
      <c r="BP224" s="17">
        <f t="shared" si="198"/>
        <v>-1487</v>
      </c>
      <c r="BQ224" s="18">
        <f t="shared" si="199"/>
        <v>-1</v>
      </c>
      <c r="BR224" s="25">
        <f t="shared" si="200"/>
        <v>0</v>
      </c>
    </row>
    <row r="225" spans="1:70">
      <c r="A225" t="s">
        <v>374</v>
      </c>
      <c r="B225">
        <v>220409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106463</v>
      </c>
      <c r="AH225" s="1">
        <v>347661</v>
      </c>
      <c r="AI225" s="1">
        <v>462507</v>
      </c>
      <c r="AJ225" s="1">
        <v>481868</v>
      </c>
      <c r="AK225" s="1">
        <v>477295</v>
      </c>
      <c r="AL225" s="1">
        <v>511434</v>
      </c>
      <c r="AM225" s="1">
        <v>520718</v>
      </c>
      <c r="AN225" s="1">
        <v>471561</v>
      </c>
      <c r="AO225" s="1">
        <v>524342</v>
      </c>
      <c r="AP225" s="1">
        <v>510982</v>
      </c>
      <c r="AQ225" s="1">
        <v>516833</v>
      </c>
      <c r="AR225" s="1">
        <v>471711</v>
      </c>
      <c r="AS225" s="1">
        <v>473050</v>
      </c>
      <c r="AT225" s="1">
        <v>476199</v>
      </c>
      <c r="AU225" s="1">
        <v>463455</v>
      </c>
      <c r="AV225" s="1">
        <v>480950</v>
      </c>
      <c r="AW225" s="1">
        <v>467703</v>
      </c>
      <c r="AX225" s="1">
        <v>485756</v>
      </c>
      <c r="AY225" s="1"/>
      <c r="BA225" s="21">
        <f t="shared" si="186"/>
        <v>0</v>
      </c>
      <c r="BB225" s="22">
        <f t="shared" si="187"/>
        <v>0</v>
      </c>
      <c r="BD225" s="7">
        <f t="shared" si="188"/>
        <v>0</v>
      </c>
      <c r="BE225" s="7">
        <f t="shared" si="189"/>
        <v>0</v>
      </c>
      <c r="BF225" s="8" t="e">
        <f t="shared" si="190"/>
        <v>#DIV/0!</v>
      </c>
      <c r="BG225" s="7">
        <f t="shared" si="191"/>
        <v>0</v>
      </c>
      <c r="BI225" s="12">
        <f t="shared" si="192"/>
        <v>2387228</v>
      </c>
      <c r="BJ225" s="12">
        <f t="shared" si="193"/>
        <v>2387228</v>
      </c>
      <c r="BK225" s="13" t="e">
        <f t="shared" si="194"/>
        <v>#DIV/0!</v>
      </c>
      <c r="BL225" s="24">
        <f t="shared" si="195"/>
        <v>56765.5</v>
      </c>
      <c r="BM225" s="24">
        <f t="shared" si="196"/>
        <v>483276</v>
      </c>
      <c r="BO225" s="17">
        <f t="shared" si="197"/>
        <v>5863260</v>
      </c>
      <c r="BP225" s="17">
        <f t="shared" si="198"/>
        <v>3476032</v>
      </c>
      <c r="BQ225" s="18">
        <f t="shared" si="199"/>
        <v>1.4560955216678089</v>
      </c>
      <c r="BR225" s="25">
        <f t="shared" si="200"/>
        <v>488605</v>
      </c>
    </row>
    <row r="226" spans="1:70">
      <c r="A226" t="s">
        <v>376</v>
      </c>
      <c r="B226">
        <v>220410</v>
      </c>
      <c r="C226" s="1">
        <v>9313</v>
      </c>
      <c r="D226" s="1">
        <v>9193</v>
      </c>
      <c r="E226" s="1">
        <v>10387</v>
      </c>
      <c r="F226" s="1">
        <v>11230</v>
      </c>
      <c r="G226" s="1">
        <v>11944</v>
      </c>
      <c r="H226" s="1">
        <v>9495</v>
      </c>
      <c r="I226" s="1">
        <v>10923</v>
      </c>
      <c r="J226" s="1">
        <v>11879</v>
      </c>
      <c r="K226" s="1">
        <v>13607</v>
      </c>
      <c r="L226" s="1">
        <v>9031</v>
      </c>
      <c r="M226" s="1">
        <v>14116</v>
      </c>
      <c r="N226" s="1">
        <v>15885</v>
      </c>
      <c r="O226" s="1">
        <v>16945</v>
      </c>
      <c r="P226" s="1">
        <v>21048</v>
      </c>
      <c r="Q226" s="1">
        <v>28962</v>
      </c>
      <c r="R226" s="1">
        <v>28473</v>
      </c>
      <c r="S226" s="1">
        <v>30465</v>
      </c>
      <c r="T226" s="1">
        <v>31968</v>
      </c>
      <c r="U226" s="1">
        <v>55429</v>
      </c>
      <c r="V226" s="1">
        <v>78847</v>
      </c>
      <c r="W226" s="1">
        <v>95635</v>
      </c>
      <c r="X226" s="1">
        <v>117753</v>
      </c>
      <c r="Y226" s="1">
        <v>132399</v>
      </c>
      <c r="Z226" s="1">
        <v>160916</v>
      </c>
      <c r="AA226" s="1">
        <v>223278</v>
      </c>
      <c r="AB226" s="1">
        <v>270014</v>
      </c>
      <c r="AC226" s="1">
        <v>363778</v>
      </c>
      <c r="AD226" s="1">
        <v>373260</v>
      </c>
      <c r="AE226" s="1">
        <v>394037</v>
      </c>
      <c r="AF226" s="1">
        <v>379698</v>
      </c>
      <c r="AG226" s="1">
        <v>374088</v>
      </c>
      <c r="AH226" s="1">
        <v>353093</v>
      </c>
      <c r="AI226" s="1">
        <v>334590</v>
      </c>
      <c r="AJ226" s="1">
        <v>342576</v>
      </c>
      <c r="AK226" s="1">
        <v>334188</v>
      </c>
      <c r="AL226" s="1">
        <v>350546</v>
      </c>
      <c r="AM226" s="1">
        <v>343368</v>
      </c>
      <c r="AN226" s="1">
        <v>295229</v>
      </c>
      <c r="AO226" s="1">
        <v>314618</v>
      </c>
      <c r="AP226" s="1">
        <v>300388</v>
      </c>
      <c r="AQ226" s="1">
        <v>312323</v>
      </c>
      <c r="AR226" s="1">
        <v>304974</v>
      </c>
      <c r="AS226" s="1">
        <v>317836</v>
      </c>
      <c r="AT226" s="1">
        <v>320478</v>
      </c>
      <c r="AU226" s="1">
        <v>312614</v>
      </c>
      <c r="AV226" s="1">
        <v>325521</v>
      </c>
      <c r="AW226" s="1">
        <v>317147</v>
      </c>
      <c r="AX226" s="1">
        <v>329431</v>
      </c>
      <c r="AY226" s="1"/>
      <c r="BA226" s="21">
        <f t="shared" si="186"/>
        <v>137003</v>
      </c>
      <c r="BB226" s="22">
        <f t="shared" si="187"/>
        <v>11416.916666666666</v>
      </c>
      <c r="BD226" s="7">
        <f t="shared" si="188"/>
        <v>798840</v>
      </c>
      <c r="BE226" s="7">
        <f t="shared" si="189"/>
        <v>661837</v>
      </c>
      <c r="BF226" s="8">
        <f t="shared" si="190"/>
        <v>4.8308212228929293</v>
      </c>
      <c r="BG226" s="7">
        <f t="shared" si="191"/>
        <v>66570</v>
      </c>
      <c r="BI226" s="12">
        <f t="shared" si="192"/>
        <v>4093146</v>
      </c>
      <c r="BJ226" s="12">
        <f t="shared" si="193"/>
        <v>3294306</v>
      </c>
      <c r="BK226" s="13">
        <f t="shared" si="194"/>
        <v>4.1238621000450655</v>
      </c>
      <c r="BL226" s="24">
        <f t="shared" si="195"/>
        <v>341405.75</v>
      </c>
      <c r="BM226" s="24">
        <f t="shared" si="196"/>
        <v>340475</v>
      </c>
      <c r="BO226" s="17">
        <f t="shared" si="197"/>
        <v>3793927</v>
      </c>
      <c r="BP226" s="17">
        <f t="shared" si="198"/>
        <v>-299219</v>
      </c>
      <c r="BQ226" s="18">
        <f t="shared" si="199"/>
        <v>-7.3102449802670111E-2</v>
      </c>
      <c r="BR226" s="25">
        <f t="shared" si="200"/>
        <v>316160.58333333331</v>
      </c>
    </row>
    <row r="227" spans="1:70">
      <c r="A227" t="s">
        <v>377</v>
      </c>
      <c r="B227">
        <v>220411</v>
      </c>
      <c r="C227" s="1">
        <v>2477</v>
      </c>
      <c r="D227" s="1">
        <v>2558</v>
      </c>
      <c r="E227" s="1">
        <v>1827</v>
      </c>
      <c r="F227" s="1">
        <v>2460</v>
      </c>
      <c r="G227" s="1">
        <v>2546</v>
      </c>
      <c r="H227" s="1">
        <v>2467</v>
      </c>
      <c r="I227" s="1">
        <v>2553</v>
      </c>
      <c r="J227" s="1">
        <v>1852</v>
      </c>
      <c r="K227" s="1">
        <v>695</v>
      </c>
      <c r="L227" s="1">
        <v>377</v>
      </c>
      <c r="M227" s="1">
        <v>127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/>
      <c r="BA227" s="21">
        <f t="shared" si="186"/>
        <v>19939</v>
      </c>
      <c r="BB227" s="22">
        <f t="shared" si="187"/>
        <v>1661.5833333333333</v>
      </c>
      <c r="BD227" s="7">
        <f t="shared" si="188"/>
        <v>0</v>
      </c>
      <c r="BE227" s="7">
        <f t="shared" si="189"/>
        <v>-19939</v>
      </c>
      <c r="BF227" s="8">
        <f t="shared" si="190"/>
        <v>-1</v>
      </c>
      <c r="BG227" s="7">
        <f t="shared" si="191"/>
        <v>0</v>
      </c>
      <c r="BI227" s="12">
        <f t="shared" si="192"/>
        <v>0</v>
      </c>
      <c r="BJ227" s="12">
        <f t="shared" si="193"/>
        <v>0</v>
      </c>
      <c r="BK227" s="13" t="e">
        <f t="shared" si="194"/>
        <v>#DIV/0!</v>
      </c>
      <c r="BL227" s="24">
        <f t="shared" si="195"/>
        <v>0</v>
      </c>
      <c r="BM227" s="24">
        <f t="shared" si="196"/>
        <v>0</v>
      </c>
      <c r="BO227" s="17">
        <f t="shared" si="197"/>
        <v>0</v>
      </c>
      <c r="BP227" s="17">
        <f t="shared" si="198"/>
        <v>0</v>
      </c>
      <c r="BQ227" s="18" t="e">
        <f t="shared" si="199"/>
        <v>#DIV/0!</v>
      </c>
      <c r="BR227" s="25">
        <f t="shared" si="200"/>
        <v>0</v>
      </c>
    </row>
    <row r="228" spans="1:70">
      <c r="A228" t="s">
        <v>380</v>
      </c>
      <c r="B228">
        <v>220416</v>
      </c>
      <c r="C228" s="1">
        <v>42689</v>
      </c>
      <c r="D228" s="1">
        <v>37038</v>
      </c>
      <c r="E228" s="1">
        <v>38110</v>
      </c>
      <c r="F228" s="1">
        <v>39458</v>
      </c>
      <c r="G228" s="1">
        <v>35950</v>
      </c>
      <c r="H228" s="1">
        <v>33182</v>
      </c>
      <c r="I228" s="1">
        <v>33663</v>
      </c>
      <c r="J228" s="1">
        <v>35502</v>
      </c>
      <c r="K228" s="1">
        <v>32191</v>
      </c>
      <c r="L228" s="1">
        <v>34556</v>
      </c>
      <c r="M228" s="1">
        <v>34630</v>
      </c>
      <c r="N228" s="1">
        <v>35430</v>
      </c>
      <c r="O228" s="1">
        <v>32919</v>
      </c>
      <c r="P228" s="1">
        <v>13904</v>
      </c>
      <c r="Q228" s="1">
        <v>1740</v>
      </c>
      <c r="R228" s="1">
        <v>631</v>
      </c>
      <c r="S228" s="1">
        <v>317</v>
      </c>
      <c r="T228" s="1">
        <v>71</v>
      </c>
      <c r="U228" s="1">
        <v>27</v>
      </c>
      <c r="V228" s="1">
        <v>10</v>
      </c>
      <c r="W228" s="1">
        <v>7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/>
      <c r="BA228" s="21">
        <f t="shared" si="186"/>
        <v>432399</v>
      </c>
      <c r="BB228" s="22">
        <f t="shared" si="187"/>
        <v>36033.25</v>
      </c>
      <c r="BD228" s="7">
        <f t="shared" si="188"/>
        <v>49626</v>
      </c>
      <c r="BE228" s="7">
        <f t="shared" si="189"/>
        <v>-382773</v>
      </c>
      <c r="BF228" s="8">
        <f t="shared" si="190"/>
        <v>-0.88523100192183612</v>
      </c>
      <c r="BG228" s="7">
        <f t="shared" si="191"/>
        <v>4135.5</v>
      </c>
      <c r="BI228" s="12">
        <f t="shared" si="192"/>
        <v>0</v>
      </c>
      <c r="BJ228" s="12">
        <f t="shared" si="193"/>
        <v>-49626</v>
      </c>
      <c r="BK228" s="13">
        <f t="shared" si="194"/>
        <v>-1</v>
      </c>
      <c r="BL228" s="24">
        <f t="shared" si="195"/>
        <v>0</v>
      </c>
      <c r="BM228" s="24">
        <f t="shared" si="196"/>
        <v>0</v>
      </c>
      <c r="BO228" s="17">
        <f t="shared" si="197"/>
        <v>0</v>
      </c>
      <c r="BP228" s="17">
        <f t="shared" si="198"/>
        <v>0</v>
      </c>
      <c r="BQ228" s="18" t="e">
        <f t="shared" si="199"/>
        <v>#DIV/0!</v>
      </c>
      <c r="BR228" s="25">
        <f t="shared" si="200"/>
        <v>0</v>
      </c>
    </row>
    <row r="229" spans="1:70">
      <c r="A229" t="s">
        <v>381</v>
      </c>
      <c r="B229">
        <v>220418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36</v>
      </c>
      <c r="AF229" s="1">
        <v>175</v>
      </c>
      <c r="AG229" s="1">
        <v>616</v>
      </c>
      <c r="AH229" s="1">
        <v>855</v>
      </c>
      <c r="AI229" s="1">
        <v>892</v>
      </c>
      <c r="AJ229" s="1">
        <v>930</v>
      </c>
      <c r="AK229" s="1">
        <v>924</v>
      </c>
      <c r="AL229" s="1">
        <v>996</v>
      </c>
      <c r="AM229" s="1">
        <v>1017</v>
      </c>
      <c r="AN229" s="1">
        <v>922</v>
      </c>
      <c r="AO229" s="1">
        <v>1027</v>
      </c>
      <c r="AP229" s="1">
        <v>1002</v>
      </c>
      <c r="AQ229" s="1">
        <v>1046</v>
      </c>
      <c r="AR229" s="1">
        <v>1023</v>
      </c>
      <c r="AS229" s="1">
        <v>1066</v>
      </c>
      <c r="AT229" s="1">
        <v>1075</v>
      </c>
      <c r="AU229" s="1">
        <v>1049</v>
      </c>
      <c r="AV229" s="1">
        <v>1094</v>
      </c>
      <c r="AW229" s="1">
        <v>1067</v>
      </c>
      <c r="AX229" s="1">
        <v>1118</v>
      </c>
      <c r="AY229" s="1"/>
      <c r="BA229" s="21">
        <f t="shared" si="186"/>
        <v>0</v>
      </c>
      <c r="BB229" s="22">
        <f t="shared" si="187"/>
        <v>0</v>
      </c>
      <c r="BD229" s="7">
        <f t="shared" si="188"/>
        <v>0</v>
      </c>
      <c r="BE229" s="7">
        <f t="shared" si="189"/>
        <v>0</v>
      </c>
      <c r="BF229" s="8" t="e">
        <f t="shared" si="190"/>
        <v>#DIV/0!</v>
      </c>
      <c r="BG229" s="7">
        <f t="shared" si="191"/>
        <v>0</v>
      </c>
      <c r="BI229" s="12">
        <f t="shared" si="192"/>
        <v>5424</v>
      </c>
      <c r="BJ229" s="12">
        <f t="shared" si="193"/>
        <v>5424</v>
      </c>
      <c r="BK229" s="13" t="e">
        <f t="shared" si="194"/>
        <v>#DIV/0!</v>
      </c>
      <c r="BL229" s="24">
        <f t="shared" si="195"/>
        <v>210.25</v>
      </c>
      <c r="BM229" s="24">
        <f t="shared" si="196"/>
        <v>935.5</v>
      </c>
      <c r="BO229" s="17">
        <f t="shared" si="197"/>
        <v>12506</v>
      </c>
      <c r="BP229" s="17">
        <f t="shared" si="198"/>
        <v>7082</v>
      </c>
      <c r="BQ229" s="18">
        <f t="shared" si="199"/>
        <v>1.3056784660766962</v>
      </c>
      <c r="BR229" s="25">
        <f t="shared" si="200"/>
        <v>1042.1666666666667</v>
      </c>
    </row>
    <row r="230" spans="1:70">
      <c r="A230" t="s">
        <v>383</v>
      </c>
      <c r="B230">
        <v>220420</v>
      </c>
      <c r="C230" s="1">
        <v>1289</v>
      </c>
      <c r="D230" s="1">
        <v>1019</v>
      </c>
      <c r="E230" s="1">
        <v>305</v>
      </c>
      <c r="F230" s="1">
        <v>1294</v>
      </c>
      <c r="G230" s="1">
        <v>1512</v>
      </c>
      <c r="H230" s="1">
        <v>689</v>
      </c>
      <c r="I230" s="1">
        <v>1541</v>
      </c>
      <c r="J230" s="1">
        <v>1598</v>
      </c>
      <c r="K230" s="1">
        <v>1499</v>
      </c>
      <c r="L230" s="1">
        <v>1791</v>
      </c>
      <c r="M230" s="1">
        <v>1962</v>
      </c>
      <c r="N230" s="1">
        <v>2181</v>
      </c>
      <c r="O230" s="1">
        <v>2494</v>
      </c>
      <c r="P230" s="1">
        <v>3090</v>
      </c>
      <c r="Q230" s="1">
        <v>3758</v>
      </c>
      <c r="R230" s="1">
        <v>3652</v>
      </c>
      <c r="S230" s="1">
        <v>4092</v>
      </c>
      <c r="T230" s="1">
        <v>4077</v>
      </c>
      <c r="U230" s="1">
        <v>4131</v>
      </c>
      <c r="V230" s="1">
        <v>4115</v>
      </c>
      <c r="W230" s="1">
        <v>4096</v>
      </c>
      <c r="X230" s="1">
        <v>3016</v>
      </c>
      <c r="Y230" s="1">
        <v>3610</v>
      </c>
      <c r="Z230" s="1">
        <v>4379</v>
      </c>
      <c r="AA230" s="1">
        <v>4868</v>
      </c>
      <c r="AB230" s="1">
        <v>6029</v>
      </c>
      <c r="AC230" s="1">
        <v>6557</v>
      </c>
      <c r="AD230" s="1">
        <v>6346</v>
      </c>
      <c r="AE230" s="1">
        <v>6674</v>
      </c>
      <c r="AF230" s="1">
        <v>6219</v>
      </c>
      <c r="AG230" s="1">
        <v>5997</v>
      </c>
      <c r="AH230" s="1">
        <v>5064</v>
      </c>
      <c r="AI230" s="1">
        <v>4748</v>
      </c>
      <c r="AJ230" s="1">
        <v>4912</v>
      </c>
      <c r="AK230" s="1">
        <v>4869</v>
      </c>
      <c r="AL230" s="1">
        <v>5225</v>
      </c>
      <c r="AM230" s="1">
        <v>5317</v>
      </c>
      <c r="AN230" s="1">
        <v>4810</v>
      </c>
      <c r="AO230" s="1">
        <v>5348</v>
      </c>
      <c r="AP230" s="1">
        <v>5214</v>
      </c>
      <c r="AQ230" s="1">
        <v>5435</v>
      </c>
      <c r="AR230" s="1">
        <v>5361</v>
      </c>
      <c r="AS230" s="1">
        <v>5616</v>
      </c>
      <c r="AT230" s="1">
        <v>5632</v>
      </c>
      <c r="AU230" s="1">
        <v>5490</v>
      </c>
      <c r="AV230" s="1">
        <v>5716</v>
      </c>
      <c r="AW230" s="1">
        <v>5568</v>
      </c>
      <c r="AX230" s="1">
        <v>5783</v>
      </c>
      <c r="AY230" s="1"/>
      <c r="BA230" s="21">
        <f t="shared" si="186"/>
        <v>16680</v>
      </c>
      <c r="BB230" s="22">
        <f t="shared" si="187"/>
        <v>1390</v>
      </c>
      <c r="BD230" s="7">
        <f t="shared" si="188"/>
        <v>44510</v>
      </c>
      <c r="BE230" s="7">
        <f t="shared" si="189"/>
        <v>27830</v>
      </c>
      <c r="BF230" s="8">
        <f t="shared" si="190"/>
        <v>1.6684652278177459</v>
      </c>
      <c r="BG230" s="7">
        <f t="shared" si="191"/>
        <v>3709.1666666666665</v>
      </c>
      <c r="BI230" s="12">
        <f t="shared" si="192"/>
        <v>67508</v>
      </c>
      <c r="BJ230" s="12">
        <f t="shared" si="193"/>
        <v>22998</v>
      </c>
      <c r="BK230" s="13">
        <f t="shared" si="194"/>
        <v>0.51669287800494268</v>
      </c>
      <c r="BL230" s="24">
        <f t="shared" si="195"/>
        <v>5969.25</v>
      </c>
      <c r="BM230" s="24">
        <f t="shared" si="196"/>
        <v>4938.5</v>
      </c>
      <c r="BO230" s="17">
        <f t="shared" si="197"/>
        <v>65290</v>
      </c>
      <c r="BP230" s="17">
        <f t="shared" si="198"/>
        <v>-2218</v>
      </c>
      <c r="BQ230" s="18">
        <f t="shared" si="199"/>
        <v>-3.285536529003974E-2</v>
      </c>
      <c r="BR230" s="25">
        <f t="shared" si="200"/>
        <v>5440.833333333333</v>
      </c>
    </row>
    <row r="231" spans="1:70">
      <c r="A231" t="s">
        <v>384</v>
      </c>
      <c r="B231">
        <v>220425</v>
      </c>
      <c r="C231" s="1">
        <v>4112</v>
      </c>
      <c r="D231" s="1">
        <v>3661</v>
      </c>
      <c r="E231" s="1">
        <v>3769</v>
      </c>
      <c r="F231" s="1">
        <v>4160</v>
      </c>
      <c r="G231" s="1">
        <v>4268</v>
      </c>
      <c r="H231" s="1">
        <v>4325</v>
      </c>
      <c r="I231" s="1">
        <v>4440</v>
      </c>
      <c r="J231" s="1">
        <v>4729</v>
      </c>
      <c r="K231" s="1">
        <v>5315</v>
      </c>
      <c r="L231" s="1">
        <v>5441</v>
      </c>
      <c r="M231" s="1">
        <v>5600</v>
      </c>
      <c r="N231" s="1">
        <v>5623</v>
      </c>
      <c r="O231" s="1">
        <v>6336</v>
      </c>
      <c r="P231" s="1">
        <v>6304</v>
      </c>
      <c r="Q231" s="1">
        <v>5325</v>
      </c>
      <c r="R231" s="1">
        <v>7365</v>
      </c>
      <c r="S231" s="1">
        <v>8149</v>
      </c>
      <c r="T231" s="1">
        <v>7411</v>
      </c>
      <c r="U231" s="1">
        <v>8516</v>
      </c>
      <c r="V231" s="1">
        <v>7975</v>
      </c>
      <c r="W231" s="1">
        <v>8087</v>
      </c>
      <c r="X231" s="1">
        <v>7116</v>
      </c>
      <c r="Y231" s="1">
        <v>7472</v>
      </c>
      <c r="Z231" s="1">
        <v>7612</v>
      </c>
      <c r="AA231" s="1">
        <v>16789</v>
      </c>
      <c r="AB231" s="1">
        <v>22044</v>
      </c>
      <c r="AC231" s="1">
        <v>28418</v>
      </c>
      <c r="AD231" s="1">
        <v>33486</v>
      </c>
      <c r="AE231" s="1">
        <v>39016</v>
      </c>
      <c r="AF231" s="1">
        <v>39340</v>
      </c>
      <c r="AG231" s="1">
        <v>45258</v>
      </c>
      <c r="AH231" s="1">
        <v>43416</v>
      </c>
      <c r="AI231" s="1">
        <v>45415</v>
      </c>
      <c r="AJ231" s="1">
        <v>47191</v>
      </c>
      <c r="AK231" s="1">
        <v>46290</v>
      </c>
      <c r="AL231" s="1">
        <v>48851</v>
      </c>
      <c r="AM231" s="1">
        <v>49314</v>
      </c>
      <c r="AN231" s="1">
        <v>44345</v>
      </c>
      <c r="AO231" s="1">
        <v>48752</v>
      </c>
      <c r="AP231" s="1">
        <v>47110</v>
      </c>
      <c r="AQ231" s="1">
        <v>48878</v>
      </c>
      <c r="AR231" s="1">
        <v>47496</v>
      </c>
      <c r="AS231" s="1">
        <v>49223</v>
      </c>
      <c r="AT231" s="1">
        <v>49425</v>
      </c>
      <c r="AU231" s="1">
        <v>48072</v>
      </c>
      <c r="AV231" s="1">
        <v>49937</v>
      </c>
      <c r="AW231" s="1">
        <v>48550</v>
      </c>
      <c r="AX231" s="1">
        <v>50339</v>
      </c>
      <c r="AY231" s="1"/>
      <c r="BA231" s="21">
        <f t="shared" si="186"/>
        <v>55443</v>
      </c>
      <c r="BB231" s="22">
        <f t="shared" si="187"/>
        <v>4620.25</v>
      </c>
      <c r="BD231" s="7">
        <f t="shared" si="188"/>
        <v>87668</v>
      </c>
      <c r="BE231" s="7">
        <f t="shared" si="189"/>
        <v>32225</v>
      </c>
      <c r="BF231" s="8">
        <f t="shared" si="190"/>
        <v>0.58122756705084511</v>
      </c>
      <c r="BG231" s="7">
        <f t="shared" si="191"/>
        <v>7305.666666666667</v>
      </c>
      <c r="BI231" s="12">
        <f t="shared" si="192"/>
        <v>455514</v>
      </c>
      <c r="BJ231" s="12">
        <f t="shared" si="193"/>
        <v>367846</v>
      </c>
      <c r="BK231" s="13">
        <f t="shared" si="194"/>
        <v>4.1958981612446955</v>
      </c>
      <c r="BL231" s="24">
        <f t="shared" si="195"/>
        <v>33470.875</v>
      </c>
      <c r="BM231" s="24">
        <f t="shared" si="196"/>
        <v>46936.75</v>
      </c>
      <c r="BO231" s="17">
        <f t="shared" si="197"/>
        <v>581441</v>
      </c>
      <c r="BP231" s="17">
        <f t="shared" si="198"/>
        <v>125927</v>
      </c>
      <c r="BQ231" s="18">
        <f t="shared" si="199"/>
        <v>0.27645033961634558</v>
      </c>
      <c r="BR231" s="25">
        <f t="shared" si="200"/>
        <v>48453.416666666664</v>
      </c>
    </row>
    <row r="232" spans="1:70">
      <c r="A232" t="s">
        <v>385</v>
      </c>
      <c r="B232">
        <v>220426</v>
      </c>
      <c r="C232" s="1">
        <v>211597</v>
      </c>
      <c r="D232" s="1">
        <v>209585</v>
      </c>
      <c r="E232" s="1">
        <v>250318</v>
      </c>
      <c r="F232" s="1">
        <v>252937</v>
      </c>
      <c r="G232" s="1">
        <v>262384</v>
      </c>
      <c r="H232" s="1">
        <v>261458</v>
      </c>
      <c r="I232" s="1">
        <v>271287</v>
      </c>
      <c r="J232" s="1">
        <v>267201</v>
      </c>
      <c r="K232" s="1">
        <v>258472</v>
      </c>
      <c r="L232" s="1">
        <v>263061</v>
      </c>
      <c r="M232" s="1">
        <v>251990</v>
      </c>
      <c r="N232" s="1">
        <v>262337</v>
      </c>
      <c r="O232" s="1">
        <v>263475</v>
      </c>
      <c r="P232" s="1">
        <v>243732</v>
      </c>
      <c r="Q232" s="1">
        <v>257990</v>
      </c>
      <c r="R232" s="1">
        <v>249307</v>
      </c>
      <c r="S232" s="1">
        <v>262030</v>
      </c>
      <c r="T232" s="1">
        <v>244187</v>
      </c>
      <c r="U232" s="1">
        <v>256259</v>
      </c>
      <c r="V232" s="1">
        <v>249603</v>
      </c>
      <c r="W232" s="1">
        <v>248590</v>
      </c>
      <c r="X232" s="1">
        <v>258462</v>
      </c>
      <c r="Y232" s="1">
        <v>251340</v>
      </c>
      <c r="Z232" s="1">
        <v>257151</v>
      </c>
      <c r="AA232" s="1">
        <v>197655</v>
      </c>
      <c r="AB232" s="1">
        <v>103742</v>
      </c>
      <c r="AC232" s="1">
        <v>81159</v>
      </c>
      <c r="AD232" s="1">
        <v>55838</v>
      </c>
      <c r="AE232" s="1">
        <v>38591</v>
      </c>
      <c r="AF232" s="1">
        <v>20541</v>
      </c>
      <c r="AG232" s="1">
        <v>10902</v>
      </c>
      <c r="AH232" s="1">
        <v>3205</v>
      </c>
      <c r="AI232" s="1">
        <v>882</v>
      </c>
      <c r="AJ232" s="1">
        <v>895</v>
      </c>
      <c r="AK232" s="1">
        <v>876</v>
      </c>
      <c r="AL232" s="1">
        <v>922</v>
      </c>
      <c r="AM232" s="1">
        <v>931</v>
      </c>
      <c r="AN232" s="1">
        <v>842</v>
      </c>
      <c r="AO232" s="1">
        <v>935</v>
      </c>
      <c r="AP232" s="1">
        <v>908</v>
      </c>
      <c r="AQ232" s="1">
        <v>943</v>
      </c>
      <c r="AR232" s="1">
        <v>917</v>
      </c>
      <c r="AS232" s="1">
        <v>952</v>
      </c>
      <c r="AT232" s="1">
        <v>956</v>
      </c>
      <c r="AU232" s="1">
        <v>929</v>
      </c>
      <c r="AV232" s="1">
        <v>964</v>
      </c>
      <c r="AW232" s="1">
        <v>936</v>
      </c>
      <c r="AX232" s="1">
        <v>970</v>
      </c>
      <c r="AY232" s="1"/>
      <c r="BA232" s="21">
        <f t="shared" si="186"/>
        <v>3022627</v>
      </c>
      <c r="BB232" s="22">
        <f t="shared" si="187"/>
        <v>251885.58333333334</v>
      </c>
      <c r="BD232" s="7">
        <f t="shared" si="188"/>
        <v>3042126</v>
      </c>
      <c r="BE232" s="7">
        <f t="shared" si="189"/>
        <v>19499</v>
      </c>
      <c r="BF232" s="8">
        <f t="shared" si="190"/>
        <v>6.4510109914321934E-3</v>
      </c>
      <c r="BG232" s="7">
        <f t="shared" si="191"/>
        <v>253510.5</v>
      </c>
      <c r="BI232" s="12">
        <f t="shared" si="192"/>
        <v>515208</v>
      </c>
      <c r="BJ232" s="12">
        <f t="shared" si="193"/>
        <v>-2526918</v>
      </c>
      <c r="BK232" s="13">
        <f t="shared" si="194"/>
        <v>-0.83064212330455744</v>
      </c>
      <c r="BL232" s="24">
        <f t="shared" si="195"/>
        <v>63954.125</v>
      </c>
      <c r="BM232" s="24">
        <f t="shared" si="196"/>
        <v>893.75</v>
      </c>
      <c r="BO232" s="17">
        <f t="shared" si="197"/>
        <v>11183</v>
      </c>
      <c r="BP232" s="17">
        <f t="shared" si="198"/>
        <v>-504025</v>
      </c>
      <c r="BQ232" s="18">
        <f t="shared" si="199"/>
        <v>-0.9782942035061567</v>
      </c>
      <c r="BR232" s="25">
        <f t="shared" si="200"/>
        <v>931.91666666666663</v>
      </c>
    </row>
    <row r="233" spans="1:70">
      <c r="A233" t="s">
        <v>386</v>
      </c>
      <c r="B233">
        <v>220430</v>
      </c>
      <c r="C233" s="1">
        <v>8366</v>
      </c>
      <c r="D233" s="1">
        <v>5964</v>
      </c>
      <c r="E233" s="1">
        <v>3742</v>
      </c>
      <c r="F233" s="1">
        <v>3156</v>
      </c>
      <c r="G233" s="1">
        <v>3170</v>
      </c>
      <c r="H233" s="1">
        <v>2538</v>
      </c>
      <c r="I233" s="1">
        <v>2195</v>
      </c>
      <c r="J233" s="1">
        <v>2819</v>
      </c>
      <c r="K233" s="1">
        <v>2712</v>
      </c>
      <c r="L233" s="1">
        <v>2928</v>
      </c>
      <c r="M233" s="1">
        <v>2799</v>
      </c>
      <c r="N233" s="1">
        <v>2848</v>
      </c>
      <c r="O233" s="1">
        <v>2594</v>
      </c>
      <c r="P233" s="1">
        <v>2697</v>
      </c>
      <c r="Q233" s="1">
        <v>2813</v>
      </c>
      <c r="R233" s="1">
        <v>2456</v>
      </c>
      <c r="S233" s="1">
        <v>2804</v>
      </c>
      <c r="T233" s="1">
        <v>2619</v>
      </c>
      <c r="U233" s="1">
        <v>2851</v>
      </c>
      <c r="V233" s="1">
        <v>2816</v>
      </c>
      <c r="W233" s="1">
        <v>2655</v>
      </c>
      <c r="X233" s="1">
        <v>2731</v>
      </c>
      <c r="Y233" s="1">
        <v>2629</v>
      </c>
      <c r="Z233" s="1">
        <v>2846</v>
      </c>
      <c r="AA233" s="1">
        <v>2767</v>
      </c>
      <c r="AB233" s="1">
        <v>2532</v>
      </c>
      <c r="AC233" s="1">
        <v>2841</v>
      </c>
      <c r="AD233" s="1">
        <v>2776</v>
      </c>
      <c r="AE233" s="1">
        <v>2964</v>
      </c>
      <c r="AF233" s="1">
        <v>2903</v>
      </c>
      <c r="AG233" s="1">
        <v>3003</v>
      </c>
      <c r="AH233" s="1">
        <v>2957</v>
      </c>
      <c r="AI233" s="1">
        <v>2987</v>
      </c>
      <c r="AJ233" s="1">
        <v>2988</v>
      </c>
      <c r="AK233" s="1">
        <v>2709</v>
      </c>
      <c r="AL233" s="1">
        <v>2676</v>
      </c>
      <c r="AM233" s="1">
        <v>2543</v>
      </c>
      <c r="AN233" s="1">
        <v>2258</v>
      </c>
      <c r="AO233" s="1">
        <v>2470</v>
      </c>
      <c r="AP233" s="1">
        <v>2358</v>
      </c>
      <c r="AQ233" s="1">
        <v>2429</v>
      </c>
      <c r="AR233" s="1">
        <v>2350</v>
      </c>
      <c r="AS233" s="1">
        <v>2435</v>
      </c>
      <c r="AT233" s="1">
        <v>2444</v>
      </c>
      <c r="AU233" s="1">
        <v>2306</v>
      </c>
      <c r="AV233" s="1">
        <v>2320</v>
      </c>
      <c r="AW233" s="1">
        <v>2254</v>
      </c>
      <c r="AX233" s="1">
        <v>2322</v>
      </c>
      <c r="AY233" s="1"/>
      <c r="BA233" s="21">
        <f t="shared" si="186"/>
        <v>43237</v>
      </c>
      <c r="BB233" s="22">
        <f t="shared" si="187"/>
        <v>3603.0833333333335</v>
      </c>
      <c r="BD233" s="7">
        <f t="shared" si="188"/>
        <v>32511</v>
      </c>
      <c r="BE233" s="7">
        <f t="shared" si="189"/>
        <v>-10726</v>
      </c>
      <c r="BF233" s="8">
        <f t="shared" si="190"/>
        <v>-0.24807456576543241</v>
      </c>
      <c r="BG233" s="7">
        <f t="shared" si="191"/>
        <v>2709.25</v>
      </c>
      <c r="BI233" s="12">
        <f t="shared" si="192"/>
        <v>34103</v>
      </c>
      <c r="BJ233" s="12">
        <f t="shared" si="193"/>
        <v>1592</v>
      </c>
      <c r="BK233" s="13">
        <f t="shared" si="194"/>
        <v>4.8968041585924826E-2</v>
      </c>
      <c r="BL233" s="24">
        <f t="shared" si="195"/>
        <v>2842.875</v>
      </c>
      <c r="BM233" s="24">
        <f t="shared" si="196"/>
        <v>2840</v>
      </c>
      <c r="BO233" s="17">
        <f t="shared" si="197"/>
        <v>28489</v>
      </c>
      <c r="BP233" s="17">
        <f t="shared" si="198"/>
        <v>-5614</v>
      </c>
      <c r="BQ233" s="18">
        <f t="shared" si="199"/>
        <v>-0.1646189484796059</v>
      </c>
      <c r="BR233" s="25">
        <f t="shared" si="200"/>
        <v>2374.0833333333335</v>
      </c>
    </row>
    <row r="234" spans="1:70">
      <c r="A234" t="s">
        <v>388</v>
      </c>
      <c r="B234">
        <v>220435</v>
      </c>
      <c r="C234" s="1">
        <v>2477</v>
      </c>
      <c r="D234" s="1">
        <v>2227</v>
      </c>
      <c r="E234" s="1">
        <v>1346</v>
      </c>
      <c r="F234" s="1">
        <v>1427</v>
      </c>
      <c r="G234" s="1">
        <v>1239</v>
      </c>
      <c r="H234" s="1">
        <v>1191</v>
      </c>
      <c r="I234" s="1">
        <v>1197</v>
      </c>
      <c r="J234" s="1">
        <v>1202</v>
      </c>
      <c r="K234" s="1">
        <v>1052</v>
      </c>
      <c r="L234" s="1">
        <v>1009</v>
      </c>
      <c r="M234" s="1">
        <v>874</v>
      </c>
      <c r="N234" s="1">
        <v>891</v>
      </c>
      <c r="O234" s="1">
        <v>783</v>
      </c>
      <c r="P234" s="1">
        <v>782</v>
      </c>
      <c r="Q234" s="1">
        <v>747</v>
      </c>
      <c r="R234" s="1">
        <v>670</v>
      </c>
      <c r="S234" s="1">
        <v>673</v>
      </c>
      <c r="T234" s="1">
        <v>336</v>
      </c>
      <c r="U234" s="1">
        <v>653</v>
      </c>
      <c r="V234" s="1">
        <v>645</v>
      </c>
      <c r="W234" s="1">
        <v>604</v>
      </c>
      <c r="X234" s="1">
        <v>431</v>
      </c>
      <c r="Y234" s="1">
        <v>537</v>
      </c>
      <c r="Z234" s="1">
        <v>556</v>
      </c>
      <c r="AA234" s="1">
        <v>370</v>
      </c>
      <c r="AB234" s="1">
        <v>437</v>
      </c>
      <c r="AC234" s="1">
        <v>571</v>
      </c>
      <c r="AD234" s="1">
        <v>570</v>
      </c>
      <c r="AE234" s="1">
        <v>590</v>
      </c>
      <c r="AF234" s="1">
        <v>626</v>
      </c>
      <c r="AG234" s="1">
        <v>853</v>
      </c>
      <c r="AH234" s="1">
        <v>855</v>
      </c>
      <c r="AI234" s="1">
        <v>881</v>
      </c>
      <c r="AJ234" s="1">
        <v>944</v>
      </c>
      <c r="AK234" s="1">
        <v>923</v>
      </c>
      <c r="AL234" s="1">
        <v>966</v>
      </c>
      <c r="AM234" s="1">
        <v>975</v>
      </c>
      <c r="AN234" s="1">
        <v>884</v>
      </c>
      <c r="AO234" s="1">
        <v>981</v>
      </c>
      <c r="AP234" s="1">
        <v>953</v>
      </c>
      <c r="AQ234" s="1">
        <v>990</v>
      </c>
      <c r="AR234" s="1">
        <v>961</v>
      </c>
      <c r="AS234" s="1">
        <v>997</v>
      </c>
      <c r="AT234" s="1">
        <v>1001</v>
      </c>
      <c r="AU234" s="1">
        <v>968</v>
      </c>
      <c r="AV234" s="1">
        <v>999</v>
      </c>
      <c r="AW234" s="1">
        <v>970</v>
      </c>
      <c r="AX234" s="1">
        <v>1005</v>
      </c>
      <c r="AY234" s="1"/>
      <c r="BA234" s="21">
        <f t="shared" si="186"/>
        <v>16132</v>
      </c>
      <c r="BB234" s="22">
        <f t="shared" si="187"/>
        <v>1344.3333333333333</v>
      </c>
      <c r="BD234" s="7">
        <f t="shared" si="188"/>
        <v>7417</v>
      </c>
      <c r="BE234" s="7">
        <f t="shared" si="189"/>
        <v>-8715</v>
      </c>
      <c r="BF234" s="8">
        <f t="shared" si="190"/>
        <v>-0.5402305975700471</v>
      </c>
      <c r="BG234" s="7">
        <f t="shared" si="191"/>
        <v>618.08333333333337</v>
      </c>
      <c r="BI234" s="12">
        <f t="shared" si="192"/>
        <v>8586</v>
      </c>
      <c r="BJ234" s="12">
        <f t="shared" si="193"/>
        <v>1169</v>
      </c>
      <c r="BK234" s="13">
        <f t="shared" si="194"/>
        <v>0.15761089389240923</v>
      </c>
      <c r="BL234" s="24">
        <f t="shared" si="195"/>
        <v>609</v>
      </c>
      <c r="BM234" s="24">
        <f t="shared" si="196"/>
        <v>928.5</v>
      </c>
      <c r="BO234" s="17">
        <f t="shared" si="197"/>
        <v>11684</v>
      </c>
      <c r="BP234" s="17">
        <f t="shared" si="198"/>
        <v>3098</v>
      </c>
      <c r="BQ234" s="18">
        <f t="shared" si="199"/>
        <v>0.36081993943629165</v>
      </c>
      <c r="BR234" s="25">
        <f t="shared" si="200"/>
        <v>973.66666666666663</v>
      </c>
    </row>
    <row r="235" spans="1:70">
      <c r="A235" t="s">
        <v>389</v>
      </c>
      <c r="B235">
        <v>220440</v>
      </c>
      <c r="C235" s="1">
        <v>17634</v>
      </c>
      <c r="D235" s="1">
        <v>15068</v>
      </c>
      <c r="E235" s="1">
        <v>17270</v>
      </c>
      <c r="F235" s="1">
        <v>16781</v>
      </c>
      <c r="G235" s="1">
        <v>16414</v>
      </c>
      <c r="H235" s="1">
        <v>15916</v>
      </c>
      <c r="I235" s="1">
        <v>15512</v>
      </c>
      <c r="J235" s="1">
        <v>14762</v>
      </c>
      <c r="K235" s="1">
        <v>13497</v>
      </c>
      <c r="L235" s="1">
        <v>13300</v>
      </c>
      <c r="M235" s="1">
        <v>12629</v>
      </c>
      <c r="N235" s="1">
        <v>11462</v>
      </c>
      <c r="O235" s="1">
        <v>10739</v>
      </c>
      <c r="P235" s="1">
        <v>9652</v>
      </c>
      <c r="Q235" s="1">
        <v>9855</v>
      </c>
      <c r="R235" s="1">
        <v>7062</v>
      </c>
      <c r="S235" s="1">
        <v>6640</v>
      </c>
      <c r="T235" s="1">
        <v>6073</v>
      </c>
      <c r="U235" s="1">
        <v>7031</v>
      </c>
      <c r="V235" s="1">
        <v>6742</v>
      </c>
      <c r="W235" s="1">
        <v>6620</v>
      </c>
      <c r="X235" s="1">
        <v>6674</v>
      </c>
      <c r="Y235" s="1">
        <v>6487</v>
      </c>
      <c r="Z235" s="1">
        <v>6258</v>
      </c>
      <c r="AA235" s="1">
        <v>6651</v>
      </c>
      <c r="AB235" s="1">
        <v>5770</v>
      </c>
      <c r="AC235" s="1">
        <v>5569</v>
      </c>
      <c r="AD235" s="1">
        <v>5213</v>
      </c>
      <c r="AE235" s="1">
        <v>5424</v>
      </c>
      <c r="AF235" s="1">
        <v>5303</v>
      </c>
      <c r="AG235" s="1">
        <v>5102</v>
      </c>
      <c r="AH235" s="1">
        <v>5167</v>
      </c>
      <c r="AI235" s="1">
        <v>5424</v>
      </c>
      <c r="AJ235" s="1">
        <v>5760</v>
      </c>
      <c r="AK235" s="1">
        <v>5939</v>
      </c>
      <c r="AL235" s="1">
        <v>6636</v>
      </c>
      <c r="AM235" s="1">
        <v>6884</v>
      </c>
      <c r="AN235" s="1">
        <v>6297</v>
      </c>
      <c r="AO235" s="1">
        <v>7085</v>
      </c>
      <c r="AP235" s="1">
        <v>7079</v>
      </c>
      <c r="AQ235" s="1">
        <v>7688</v>
      </c>
      <c r="AR235" s="1">
        <v>7742</v>
      </c>
      <c r="AS235" s="1">
        <v>8149</v>
      </c>
      <c r="AT235" s="1">
        <v>8346</v>
      </c>
      <c r="AU235" s="1">
        <v>8354</v>
      </c>
      <c r="AV235" s="1">
        <v>8860</v>
      </c>
      <c r="AW235" s="1">
        <v>8736</v>
      </c>
      <c r="AX235" s="1">
        <v>9260</v>
      </c>
      <c r="AY235" s="1"/>
      <c r="BA235" s="21">
        <f t="shared" si="186"/>
        <v>180245</v>
      </c>
      <c r="BB235" s="22">
        <f t="shared" si="187"/>
        <v>15020.416666666666</v>
      </c>
      <c r="BD235" s="7">
        <f t="shared" si="188"/>
        <v>89833</v>
      </c>
      <c r="BE235" s="7">
        <f t="shared" si="189"/>
        <v>-90412</v>
      </c>
      <c r="BF235" s="8">
        <f t="shared" si="190"/>
        <v>-0.5016061471885489</v>
      </c>
      <c r="BG235" s="7">
        <f t="shared" si="191"/>
        <v>7486.083333333333</v>
      </c>
      <c r="BI235" s="12">
        <f t="shared" si="192"/>
        <v>67958</v>
      </c>
      <c r="BJ235" s="12">
        <f t="shared" si="193"/>
        <v>-21875</v>
      </c>
      <c r="BK235" s="13">
        <f t="shared" si="194"/>
        <v>-0.24350739705898727</v>
      </c>
      <c r="BL235" s="24">
        <f t="shared" si="195"/>
        <v>5524.875</v>
      </c>
      <c r="BM235" s="24">
        <f t="shared" si="196"/>
        <v>5939.75</v>
      </c>
      <c r="BO235" s="17">
        <f t="shared" si="197"/>
        <v>94480</v>
      </c>
      <c r="BP235" s="17">
        <f t="shared" si="198"/>
        <v>26522</v>
      </c>
      <c r="BQ235" s="18">
        <f t="shared" si="199"/>
        <v>0.39027046116719144</v>
      </c>
      <c r="BR235" s="25">
        <f t="shared" si="200"/>
        <v>7873.333333333333</v>
      </c>
    </row>
    <row r="236" spans="1:70">
      <c r="A236" t="s">
        <v>390</v>
      </c>
      <c r="B236">
        <v>220445</v>
      </c>
      <c r="C236" s="1">
        <v>21249</v>
      </c>
      <c r="D236" s="1">
        <v>24743</v>
      </c>
      <c r="E236" s="1">
        <v>31566</v>
      </c>
      <c r="F236" s="1">
        <v>32588</v>
      </c>
      <c r="G236" s="1">
        <v>33238</v>
      </c>
      <c r="H236" s="1">
        <v>32199</v>
      </c>
      <c r="I236" s="1">
        <v>31611</v>
      </c>
      <c r="J236" s="1">
        <v>28353</v>
      </c>
      <c r="K236" s="1">
        <v>24685</v>
      </c>
      <c r="L236" s="1">
        <v>25128</v>
      </c>
      <c r="M236" s="1">
        <v>22162</v>
      </c>
      <c r="N236" s="1">
        <v>22669</v>
      </c>
      <c r="O236" s="1">
        <v>24014</v>
      </c>
      <c r="P236" s="1">
        <v>23948</v>
      </c>
      <c r="Q236" s="1">
        <v>27691</v>
      </c>
      <c r="R236" s="1">
        <v>27329</v>
      </c>
      <c r="S236" s="1">
        <v>28416</v>
      </c>
      <c r="T236" s="1">
        <v>26169</v>
      </c>
      <c r="U236" s="1">
        <v>24899</v>
      </c>
      <c r="V236" s="1">
        <v>22635</v>
      </c>
      <c r="W236" s="1">
        <v>23550</v>
      </c>
      <c r="X236" s="1">
        <v>25003</v>
      </c>
      <c r="Y236" s="1">
        <v>23806</v>
      </c>
      <c r="Z236" s="1">
        <v>23621</v>
      </c>
      <c r="AA236" s="1">
        <v>23165</v>
      </c>
      <c r="AB236" s="1">
        <v>21382</v>
      </c>
      <c r="AC236" s="1">
        <v>22864</v>
      </c>
      <c r="AD236" s="1">
        <v>20184</v>
      </c>
      <c r="AE236" s="1">
        <v>19530</v>
      </c>
      <c r="AF236" s="1">
        <v>18891</v>
      </c>
      <c r="AG236" s="1">
        <v>18769</v>
      </c>
      <c r="AH236" s="1">
        <v>18404</v>
      </c>
      <c r="AI236" s="1">
        <v>17107</v>
      </c>
      <c r="AJ236" s="1">
        <v>17681</v>
      </c>
      <c r="AK236" s="1">
        <v>17685</v>
      </c>
      <c r="AL236" s="1">
        <v>19127</v>
      </c>
      <c r="AM236" s="1">
        <v>19564</v>
      </c>
      <c r="AN236" s="1">
        <v>17726</v>
      </c>
      <c r="AO236" s="1">
        <v>19603</v>
      </c>
      <c r="AP236" s="1">
        <v>18897</v>
      </c>
      <c r="AQ236" s="1">
        <v>19485</v>
      </c>
      <c r="AR236" s="1">
        <v>18775</v>
      </c>
      <c r="AS236" s="1">
        <v>19367</v>
      </c>
      <c r="AT236" s="1">
        <v>19364</v>
      </c>
      <c r="AU236" s="1">
        <v>18730</v>
      </c>
      <c r="AV236" s="1">
        <v>19389</v>
      </c>
      <c r="AW236" s="1">
        <v>18815</v>
      </c>
      <c r="AX236" s="1">
        <v>19493</v>
      </c>
      <c r="AY236" s="1"/>
      <c r="BA236" s="21">
        <f t="shared" si="186"/>
        <v>330191</v>
      </c>
      <c r="BB236" s="22">
        <f t="shared" si="187"/>
        <v>27515.916666666668</v>
      </c>
      <c r="BD236" s="7">
        <f t="shared" si="188"/>
        <v>301081</v>
      </c>
      <c r="BE236" s="7">
        <f t="shared" si="189"/>
        <v>-29110</v>
      </c>
      <c r="BF236" s="8">
        <f t="shared" si="190"/>
        <v>-8.816109463916344E-2</v>
      </c>
      <c r="BG236" s="7">
        <f t="shared" si="191"/>
        <v>25090.083333333332</v>
      </c>
      <c r="BI236" s="12">
        <f t="shared" si="192"/>
        <v>234789</v>
      </c>
      <c r="BJ236" s="12">
        <f t="shared" si="193"/>
        <v>-66292</v>
      </c>
      <c r="BK236" s="13">
        <f t="shared" si="194"/>
        <v>-0.22017995157449322</v>
      </c>
      <c r="BL236" s="24">
        <f t="shared" si="195"/>
        <v>20398.625</v>
      </c>
      <c r="BM236" s="24">
        <f t="shared" si="196"/>
        <v>17900</v>
      </c>
      <c r="BO236" s="17">
        <f t="shared" si="197"/>
        <v>229208</v>
      </c>
      <c r="BP236" s="17">
        <f t="shared" si="198"/>
        <v>-5581</v>
      </c>
      <c r="BQ236" s="18">
        <f t="shared" si="199"/>
        <v>-2.3770278846112936E-2</v>
      </c>
      <c r="BR236" s="25">
        <f t="shared" si="200"/>
        <v>19100.666666666668</v>
      </c>
    </row>
    <row r="237" spans="1:70">
      <c r="A237" t="s">
        <v>391</v>
      </c>
      <c r="B237">
        <v>220450</v>
      </c>
      <c r="C237" s="1">
        <v>69633</v>
      </c>
      <c r="D237" s="1">
        <v>62381</v>
      </c>
      <c r="E237" s="1">
        <v>68215</v>
      </c>
      <c r="F237" s="1">
        <v>66677</v>
      </c>
      <c r="G237" s="1">
        <v>68909</v>
      </c>
      <c r="H237" s="1">
        <v>65890</v>
      </c>
      <c r="I237" s="1">
        <v>68113</v>
      </c>
      <c r="J237" s="1">
        <v>69043</v>
      </c>
      <c r="K237" s="1">
        <v>68171</v>
      </c>
      <c r="L237" s="1">
        <v>71815</v>
      </c>
      <c r="M237" s="1">
        <v>51459</v>
      </c>
      <c r="N237" s="1">
        <v>8316</v>
      </c>
      <c r="O237" s="1">
        <v>8412</v>
      </c>
      <c r="P237" s="1">
        <v>8335</v>
      </c>
      <c r="Q237" s="1">
        <v>9154</v>
      </c>
      <c r="R237" s="1">
        <v>9275</v>
      </c>
      <c r="S237" s="1">
        <v>10167</v>
      </c>
      <c r="T237" s="1">
        <v>10101</v>
      </c>
      <c r="U237" s="1">
        <v>11643</v>
      </c>
      <c r="V237" s="1">
        <v>13044</v>
      </c>
      <c r="W237" s="1">
        <v>12768</v>
      </c>
      <c r="X237" s="1">
        <v>12075</v>
      </c>
      <c r="Y237" s="1">
        <v>11982</v>
      </c>
      <c r="Z237" s="1">
        <v>12518</v>
      </c>
      <c r="AA237" s="1">
        <v>12350</v>
      </c>
      <c r="AB237" s="1">
        <v>11090</v>
      </c>
      <c r="AC237" s="1">
        <v>12919</v>
      </c>
      <c r="AD237" s="1">
        <v>14596</v>
      </c>
      <c r="AE237" s="1">
        <v>16715</v>
      </c>
      <c r="AF237" s="1">
        <v>16161</v>
      </c>
      <c r="AG237" s="1">
        <v>15796</v>
      </c>
      <c r="AH237" s="1">
        <v>14349</v>
      </c>
      <c r="AI237" s="1">
        <v>13712</v>
      </c>
      <c r="AJ237" s="1">
        <v>13899</v>
      </c>
      <c r="AK237" s="1">
        <v>13544</v>
      </c>
      <c r="AL237" s="1">
        <v>14348</v>
      </c>
      <c r="AM237" s="1">
        <v>14376</v>
      </c>
      <c r="AN237" s="1">
        <v>12857</v>
      </c>
      <c r="AO237" s="1">
        <v>14079</v>
      </c>
      <c r="AP237" s="1">
        <v>13551</v>
      </c>
      <c r="AQ237" s="1">
        <v>14101</v>
      </c>
      <c r="AR237" s="1">
        <v>13757</v>
      </c>
      <c r="AS237" s="1">
        <v>14323</v>
      </c>
      <c r="AT237" s="1">
        <v>14421</v>
      </c>
      <c r="AU237" s="1">
        <v>14057</v>
      </c>
      <c r="AV237" s="1">
        <v>14638</v>
      </c>
      <c r="AW237" s="1">
        <v>14261</v>
      </c>
      <c r="AX237" s="1">
        <v>14814</v>
      </c>
      <c r="AY237" s="1"/>
      <c r="BA237" s="21">
        <f t="shared" si="186"/>
        <v>738622</v>
      </c>
      <c r="BB237" s="22">
        <f t="shared" si="187"/>
        <v>61551.833333333336</v>
      </c>
      <c r="BD237" s="7">
        <f t="shared" si="188"/>
        <v>129474</v>
      </c>
      <c r="BE237" s="7">
        <f t="shared" si="189"/>
        <v>-609148</v>
      </c>
      <c r="BF237" s="8">
        <f t="shared" si="190"/>
        <v>-0.82470871433561421</v>
      </c>
      <c r="BG237" s="7">
        <f t="shared" si="191"/>
        <v>10789.5</v>
      </c>
      <c r="BI237" s="12">
        <f t="shared" si="192"/>
        <v>169479</v>
      </c>
      <c r="BJ237" s="12">
        <f t="shared" si="193"/>
        <v>40005</v>
      </c>
      <c r="BK237" s="13">
        <f t="shared" si="194"/>
        <v>0.30898095370499101</v>
      </c>
      <c r="BL237" s="24">
        <f t="shared" si="195"/>
        <v>14247</v>
      </c>
      <c r="BM237" s="24">
        <f t="shared" si="196"/>
        <v>13875.75</v>
      </c>
      <c r="BO237" s="17">
        <f t="shared" si="197"/>
        <v>169235</v>
      </c>
      <c r="BP237" s="17">
        <f t="shared" si="198"/>
        <v>-244</v>
      </c>
      <c r="BQ237" s="18">
        <f t="shared" si="199"/>
        <v>-1.4397063943025756E-3</v>
      </c>
      <c r="BR237" s="25">
        <f t="shared" si="200"/>
        <v>14102.916666666666</v>
      </c>
    </row>
    <row r="238" spans="1:70">
      <c r="A238" t="s">
        <v>393</v>
      </c>
      <c r="B238">
        <v>220455</v>
      </c>
      <c r="C238" s="1">
        <v>2145</v>
      </c>
      <c r="D238" s="1">
        <v>2625</v>
      </c>
      <c r="E238" s="1">
        <v>3916</v>
      </c>
      <c r="F238" s="1">
        <v>4305</v>
      </c>
      <c r="G238" s="1">
        <v>4614</v>
      </c>
      <c r="H238" s="1">
        <v>4856</v>
      </c>
      <c r="I238" s="1">
        <v>4900</v>
      </c>
      <c r="J238" s="1">
        <v>4724</v>
      </c>
      <c r="K238" s="1">
        <v>4396</v>
      </c>
      <c r="L238" s="1">
        <v>4679</v>
      </c>
      <c r="M238" s="1">
        <v>4807</v>
      </c>
      <c r="N238" s="1">
        <v>4956</v>
      </c>
      <c r="O238" s="1">
        <v>5329</v>
      </c>
      <c r="P238" s="1">
        <v>5857</v>
      </c>
      <c r="Q238" s="1">
        <v>7483</v>
      </c>
      <c r="R238" s="1">
        <v>7963</v>
      </c>
      <c r="S238" s="1">
        <v>8570</v>
      </c>
      <c r="T238" s="1">
        <v>8679</v>
      </c>
      <c r="U238" s="1">
        <v>9325</v>
      </c>
      <c r="V238" s="1">
        <v>9678</v>
      </c>
      <c r="W238" s="1">
        <v>9879</v>
      </c>
      <c r="X238" s="1">
        <v>10427</v>
      </c>
      <c r="Y238" s="1">
        <v>10172</v>
      </c>
      <c r="Z238" s="1">
        <v>10514</v>
      </c>
      <c r="AA238" s="1">
        <v>10658</v>
      </c>
      <c r="AB238" s="1">
        <v>9539</v>
      </c>
      <c r="AC238" s="1">
        <v>10321</v>
      </c>
      <c r="AD238" s="1">
        <v>9396</v>
      </c>
      <c r="AE238" s="1">
        <v>9412</v>
      </c>
      <c r="AF238" s="1">
        <v>8845</v>
      </c>
      <c r="AG238" s="1">
        <v>9011</v>
      </c>
      <c r="AH238" s="1">
        <v>8405</v>
      </c>
      <c r="AI238" s="1">
        <v>8230</v>
      </c>
      <c r="AJ238" s="1">
        <v>8471</v>
      </c>
      <c r="AK238" s="1">
        <v>8344</v>
      </c>
      <c r="AL238" s="1">
        <v>8880</v>
      </c>
      <c r="AM238" s="1">
        <v>9024</v>
      </c>
      <c r="AN238" s="1">
        <v>8222</v>
      </c>
      <c r="AO238" s="1">
        <v>9107</v>
      </c>
      <c r="AP238" s="1">
        <v>8854</v>
      </c>
      <c r="AQ238" s="1">
        <v>9305</v>
      </c>
      <c r="AR238" s="1">
        <v>9156</v>
      </c>
      <c r="AS238" s="1">
        <v>9546</v>
      </c>
      <c r="AT238" s="1">
        <v>9539</v>
      </c>
      <c r="AU238" s="1">
        <v>9237</v>
      </c>
      <c r="AV238" s="1">
        <v>9566</v>
      </c>
      <c r="AW238" s="1">
        <v>9281</v>
      </c>
      <c r="AX238" s="1">
        <v>9613</v>
      </c>
      <c r="AY238" s="1"/>
      <c r="BA238" s="21">
        <f t="shared" si="186"/>
        <v>50923</v>
      </c>
      <c r="BB238" s="22">
        <f t="shared" si="187"/>
        <v>4243.583333333333</v>
      </c>
      <c r="BD238" s="7">
        <f t="shared" si="188"/>
        <v>103876</v>
      </c>
      <c r="BE238" s="7">
        <f t="shared" si="189"/>
        <v>52953</v>
      </c>
      <c r="BF238" s="8">
        <f t="shared" si="190"/>
        <v>1.0398641085560554</v>
      </c>
      <c r="BG238" s="7">
        <f t="shared" si="191"/>
        <v>8656.3333333333339</v>
      </c>
      <c r="BI238" s="12">
        <f t="shared" si="192"/>
        <v>109512</v>
      </c>
      <c r="BJ238" s="12">
        <f t="shared" si="193"/>
        <v>5636</v>
      </c>
      <c r="BK238" s="13">
        <f t="shared" si="194"/>
        <v>5.4256998729254047E-2</v>
      </c>
      <c r="BL238" s="24">
        <f t="shared" si="195"/>
        <v>9448.375</v>
      </c>
      <c r="BM238" s="24">
        <f t="shared" si="196"/>
        <v>8481.25</v>
      </c>
      <c r="BO238" s="17">
        <f t="shared" si="197"/>
        <v>110450</v>
      </c>
      <c r="BP238" s="17">
        <f t="shared" si="198"/>
        <v>938</v>
      </c>
      <c r="BQ238" s="18">
        <f t="shared" si="199"/>
        <v>8.5652713857842233E-3</v>
      </c>
      <c r="BR238" s="25">
        <f t="shared" si="200"/>
        <v>9204.1666666666661</v>
      </c>
    </row>
    <row r="239" spans="1:70">
      <c r="A239" t="s">
        <v>394</v>
      </c>
      <c r="B239">
        <v>220460</v>
      </c>
      <c r="C239" s="1">
        <v>1846</v>
      </c>
      <c r="D239" s="1">
        <v>1502</v>
      </c>
      <c r="E239" s="1">
        <v>2131</v>
      </c>
      <c r="F239" s="1">
        <v>2137</v>
      </c>
      <c r="G239" s="1">
        <v>2529</v>
      </c>
      <c r="H239" s="1">
        <v>2362</v>
      </c>
      <c r="I239" s="1">
        <v>2651</v>
      </c>
      <c r="J239" s="1">
        <v>2909</v>
      </c>
      <c r="K239" s="1">
        <v>3448</v>
      </c>
      <c r="L239" s="1">
        <v>4085</v>
      </c>
      <c r="M239" s="1">
        <v>4311</v>
      </c>
      <c r="N239" s="1">
        <v>4745</v>
      </c>
      <c r="O239" s="1">
        <v>5344</v>
      </c>
      <c r="P239" s="1">
        <v>5463</v>
      </c>
      <c r="Q239" s="1">
        <v>6445</v>
      </c>
      <c r="R239" s="1">
        <v>6734</v>
      </c>
      <c r="S239" s="1">
        <v>7267</v>
      </c>
      <c r="T239" s="1">
        <v>7025</v>
      </c>
      <c r="U239" s="1">
        <v>8146</v>
      </c>
      <c r="V239" s="1">
        <v>8759</v>
      </c>
      <c r="W239" s="1">
        <v>9029</v>
      </c>
      <c r="X239" s="1">
        <v>9620</v>
      </c>
      <c r="Y239" s="1">
        <v>9672</v>
      </c>
      <c r="Z239" s="1">
        <v>10488</v>
      </c>
      <c r="AA239" s="1">
        <v>11077</v>
      </c>
      <c r="AB239" s="1">
        <v>10522</v>
      </c>
      <c r="AC239" s="1">
        <v>12174</v>
      </c>
      <c r="AD239" s="1">
        <v>12711</v>
      </c>
      <c r="AE239" s="1">
        <v>13255</v>
      </c>
      <c r="AF239" s="1">
        <v>13079</v>
      </c>
      <c r="AG239" s="1">
        <v>12821</v>
      </c>
      <c r="AH239" s="1">
        <v>12299</v>
      </c>
      <c r="AI239" s="1">
        <v>11770</v>
      </c>
      <c r="AJ239" s="1">
        <v>11823</v>
      </c>
      <c r="AK239" s="1">
        <v>11454</v>
      </c>
      <c r="AL239" s="1">
        <v>11930</v>
      </c>
      <c r="AM239" s="1">
        <v>11728</v>
      </c>
      <c r="AN239" s="1">
        <v>10316</v>
      </c>
      <c r="AO239" s="1">
        <v>11152</v>
      </c>
      <c r="AP239" s="1">
        <v>10692</v>
      </c>
      <c r="AQ239" s="1">
        <v>11157</v>
      </c>
      <c r="AR239" s="1">
        <v>10898</v>
      </c>
      <c r="AS239" s="1">
        <v>11359</v>
      </c>
      <c r="AT239" s="1">
        <v>11456</v>
      </c>
      <c r="AU239" s="1">
        <v>11263</v>
      </c>
      <c r="AV239" s="1">
        <v>11826</v>
      </c>
      <c r="AW239" s="1">
        <v>11541</v>
      </c>
      <c r="AX239" s="1">
        <v>12015</v>
      </c>
      <c r="AY239" s="1"/>
      <c r="BA239" s="21">
        <f t="shared" si="186"/>
        <v>34656</v>
      </c>
      <c r="BB239" s="22">
        <f t="shared" si="187"/>
        <v>2888</v>
      </c>
      <c r="BD239" s="7">
        <f t="shared" si="188"/>
        <v>93992</v>
      </c>
      <c r="BE239" s="7">
        <f t="shared" si="189"/>
        <v>59336</v>
      </c>
      <c r="BF239" s="8">
        <f t="shared" si="190"/>
        <v>1.7121421975992615</v>
      </c>
      <c r="BG239" s="7">
        <f t="shared" si="191"/>
        <v>7832.666666666667</v>
      </c>
      <c r="BI239" s="12">
        <f t="shared" si="192"/>
        <v>144915</v>
      </c>
      <c r="BJ239" s="12">
        <f t="shared" si="193"/>
        <v>50923</v>
      </c>
      <c r="BK239" s="13">
        <f t="shared" si="194"/>
        <v>0.54178015150225556</v>
      </c>
      <c r="BL239" s="24">
        <f t="shared" si="195"/>
        <v>12242.25</v>
      </c>
      <c r="BM239" s="24">
        <f t="shared" si="196"/>
        <v>11744.25</v>
      </c>
      <c r="BO239" s="17">
        <f t="shared" si="197"/>
        <v>135403</v>
      </c>
      <c r="BP239" s="17">
        <f t="shared" si="198"/>
        <v>-9512</v>
      </c>
      <c r="BQ239" s="18">
        <f t="shared" si="199"/>
        <v>-6.5638477728323541E-2</v>
      </c>
      <c r="BR239" s="25">
        <f t="shared" si="200"/>
        <v>11283.583333333334</v>
      </c>
    </row>
    <row r="240" spans="1:70">
      <c r="A240" t="s">
        <v>395</v>
      </c>
      <c r="B240">
        <v>220465</v>
      </c>
      <c r="C240" s="1">
        <v>768</v>
      </c>
      <c r="D240" s="1">
        <v>742</v>
      </c>
      <c r="E240" s="1">
        <v>673</v>
      </c>
      <c r="F240" s="1">
        <v>683</v>
      </c>
      <c r="G240" s="1">
        <v>659</v>
      </c>
      <c r="H240" s="1">
        <v>663</v>
      </c>
      <c r="I240" s="1">
        <v>638</v>
      </c>
      <c r="J240" s="1">
        <v>883</v>
      </c>
      <c r="K240" s="1">
        <v>1038</v>
      </c>
      <c r="L240" s="1">
        <v>896</v>
      </c>
      <c r="M240" s="1">
        <v>1071</v>
      </c>
      <c r="N240" s="1">
        <v>1216</v>
      </c>
      <c r="O240" s="1">
        <v>1209</v>
      </c>
      <c r="P240" s="1">
        <v>1201</v>
      </c>
      <c r="Q240" s="1">
        <v>1251</v>
      </c>
      <c r="R240" s="1">
        <v>1158</v>
      </c>
      <c r="S240" s="1">
        <v>1136</v>
      </c>
      <c r="T240" s="1">
        <v>1090</v>
      </c>
      <c r="U240" s="1">
        <v>1157</v>
      </c>
      <c r="V240" s="1">
        <v>963</v>
      </c>
      <c r="W240" s="1">
        <v>711</v>
      </c>
      <c r="X240" s="1">
        <v>708</v>
      </c>
      <c r="Y240" s="1">
        <v>597</v>
      </c>
      <c r="Z240" s="1">
        <v>564</v>
      </c>
      <c r="AA240" s="1">
        <v>564</v>
      </c>
      <c r="AB240" s="1">
        <v>510</v>
      </c>
      <c r="AC240" s="1">
        <v>567</v>
      </c>
      <c r="AD240" s="1">
        <v>1464</v>
      </c>
      <c r="AE240" s="1">
        <v>1812</v>
      </c>
      <c r="AF240" s="1">
        <v>1842</v>
      </c>
      <c r="AG240" s="1">
        <v>2340</v>
      </c>
      <c r="AH240" s="1">
        <v>2229</v>
      </c>
      <c r="AI240" s="1">
        <v>2623</v>
      </c>
      <c r="AJ240" s="1">
        <v>2731</v>
      </c>
      <c r="AK240" s="1">
        <v>2709</v>
      </c>
      <c r="AL240" s="1">
        <v>2909</v>
      </c>
      <c r="AM240" s="1">
        <v>2964</v>
      </c>
      <c r="AN240" s="1">
        <v>2685</v>
      </c>
      <c r="AO240" s="1">
        <v>2986</v>
      </c>
      <c r="AP240" s="1">
        <v>2891</v>
      </c>
      <c r="AQ240" s="1">
        <v>2994</v>
      </c>
      <c r="AR240" s="1">
        <v>2931</v>
      </c>
      <c r="AS240" s="1">
        <v>3089</v>
      </c>
      <c r="AT240" s="1">
        <v>3149</v>
      </c>
      <c r="AU240" s="1">
        <v>3081</v>
      </c>
      <c r="AV240" s="1">
        <v>3210</v>
      </c>
      <c r="AW240" s="1">
        <v>3130</v>
      </c>
      <c r="AX240" s="1">
        <v>3254</v>
      </c>
      <c r="AY240" s="1"/>
      <c r="BA240" s="21">
        <f t="shared" si="186"/>
        <v>9930</v>
      </c>
      <c r="BB240" s="22">
        <f t="shared" si="187"/>
        <v>827.5</v>
      </c>
      <c r="BD240" s="7">
        <f t="shared" si="188"/>
        <v>11745</v>
      </c>
      <c r="BE240" s="7">
        <f t="shared" si="189"/>
        <v>1815</v>
      </c>
      <c r="BF240" s="8">
        <f t="shared" si="190"/>
        <v>0.18277945619335356</v>
      </c>
      <c r="BG240" s="7">
        <f t="shared" si="191"/>
        <v>978.75</v>
      </c>
      <c r="BI240" s="12">
        <f t="shared" si="192"/>
        <v>22300</v>
      </c>
      <c r="BJ240" s="12">
        <f t="shared" si="193"/>
        <v>10555</v>
      </c>
      <c r="BK240" s="13">
        <f t="shared" si="194"/>
        <v>0.8986802894848871</v>
      </c>
      <c r="BL240" s="24">
        <f t="shared" si="195"/>
        <v>1416</v>
      </c>
      <c r="BM240" s="24">
        <f t="shared" si="196"/>
        <v>2743</v>
      </c>
      <c r="BO240" s="17">
        <f t="shared" si="197"/>
        <v>36364</v>
      </c>
      <c r="BP240" s="17">
        <f t="shared" si="198"/>
        <v>14064</v>
      </c>
      <c r="BQ240" s="18">
        <f t="shared" si="199"/>
        <v>0.63067264573991033</v>
      </c>
      <c r="BR240" s="25">
        <f t="shared" si="200"/>
        <v>3030.3333333333335</v>
      </c>
    </row>
    <row r="241" spans="1:70">
      <c r="A241" t="s">
        <v>396</v>
      </c>
      <c r="B241">
        <v>220470</v>
      </c>
      <c r="C241" s="1">
        <v>303</v>
      </c>
      <c r="D241" s="1">
        <v>301</v>
      </c>
      <c r="E241" s="1">
        <v>330</v>
      </c>
      <c r="F241" s="1">
        <v>419</v>
      </c>
      <c r="G241" s="1">
        <v>547</v>
      </c>
      <c r="H241" s="1">
        <v>465</v>
      </c>
      <c r="I241" s="1">
        <v>227</v>
      </c>
      <c r="J241" s="1">
        <v>514</v>
      </c>
      <c r="K241" s="1">
        <v>623</v>
      </c>
      <c r="L241" s="1">
        <v>584</v>
      </c>
      <c r="M241" s="1">
        <v>650</v>
      </c>
      <c r="N241" s="1">
        <v>890</v>
      </c>
      <c r="O241" s="1">
        <v>925</v>
      </c>
      <c r="P241" s="1">
        <v>866</v>
      </c>
      <c r="Q241" s="1">
        <v>977</v>
      </c>
      <c r="R241" s="1">
        <v>911</v>
      </c>
      <c r="S241" s="1">
        <v>938</v>
      </c>
      <c r="T241" s="1">
        <v>914</v>
      </c>
      <c r="U241" s="1">
        <v>964</v>
      </c>
      <c r="V241" s="1">
        <v>1231</v>
      </c>
      <c r="W241" s="1">
        <v>1266</v>
      </c>
      <c r="X241" s="1">
        <v>1329</v>
      </c>
      <c r="Y241" s="1">
        <v>1291</v>
      </c>
      <c r="Z241" s="1">
        <v>1322</v>
      </c>
      <c r="AA241" s="1">
        <v>1394</v>
      </c>
      <c r="AB241" s="1">
        <v>1445</v>
      </c>
      <c r="AC241" s="1">
        <v>1604</v>
      </c>
      <c r="AD241" s="1">
        <v>1663</v>
      </c>
      <c r="AE241" s="1">
        <v>1714</v>
      </c>
      <c r="AF241" s="1">
        <v>1708</v>
      </c>
      <c r="AG241" s="1">
        <v>1751</v>
      </c>
      <c r="AH241" s="1">
        <v>1590</v>
      </c>
      <c r="AI241" s="1">
        <v>1537</v>
      </c>
      <c r="AJ241" s="1">
        <v>1597</v>
      </c>
      <c r="AK241" s="1">
        <v>1503</v>
      </c>
      <c r="AL241" s="1">
        <v>1524</v>
      </c>
      <c r="AM241" s="1">
        <v>1543</v>
      </c>
      <c r="AN241" s="1">
        <v>1396</v>
      </c>
      <c r="AO241" s="1">
        <v>1539</v>
      </c>
      <c r="AP241" s="1">
        <v>1485</v>
      </c>
      <c r="AQ241" s="1">
        <v>1542</v>
      </c>
      <c r="AR241" s="1">
        <v>1499</v>
      </c>
      <c r="AS241" s="1">
        <v>1534</v>
      </c>
      <c r="AT241" s="1">
        <v>1455</v>
      </c>
      <c r="AU241" s="1">
        <v>1355</v>
      </c>
      <c r="AV241" s="1">
        <v>1409</v>
      </c>
      <c r="AW241" s="1">
        <v>1372</v>
      </c>
      <c r="AX241" s="1">
        <v>1424</v>
      </c>
      <c r="AY241" s="1"/>
      <c r="BA241" s="21">
        <f t="shared" si="186"/>
        <v>5853</v>
      </c>
      <c r="BB241" s="22">
        <f t="shared" si="187"/>
        <v>487.75</v>
      </c>
      <c r="BD241" s="7">
        <f t="shared" si="188"/>
        <v>12934</v>
      </c>
      <c r="BE241" s="7">
        <f t="shared" si="189"/>
        <v>7081</v>
      </c>
      <c r="BF241" s="8">
        <f t="shared" si="190"/>
        <v>1.2098069366137025</v>
      </c>
      <c r="BG241" s="7">
        <f t="shared" si="191"/>
        <v>1077.8333333333333</v>
      </c>
      <c r="BI241" s="12">
        <f t="shared" si="192"/>
        <v>19030</v>
      </c>
      <c r="BJ241" s="12">
        <f t="shared" si="193"/>
        <v>6096</v>
      </c>
      <c r="BK241" s="13">
        <f t="shared" si="194"/>
        <v>0.47131591155095087</v>
      </c>
      <c r="BL241" s="24">
        <f t="shared" si="195"/>
        <v>1608.625</v>
      </c>
      <c r="BM241" s="24">
        <f t="shared" si="196"/>
        <v>1540.25</v>
      </c>
      <c r="BO241" s="17">
        <f t="shared" si="197"/>
        <v>17553</v>
      </c>
      <c r="BP241" s="17">
        <f t="shared" si="198"/>
        <v>-1477</v>
      </c>
      <c r="BQ241" s="18">
        <f t="shared" si="199"/>
        <v>-7.7614293221229591E-2</v>
      </c>
      <c r="BR241" s="25">
        <f t="shared" si="200"/>
        <v>1462.75</v>
      </c>
    </row>
    <row r="242" spans="1:70">
      <c r="A242" t="s">
        <v>397</v>
      </c>
      <c r="B242">
        <v>220475</v>
      </c>
      <c r="C242" s="1">
        <v>541</v>
      </c>
      <c r="D242" s="1">
        <v>495</v>
      </c>
      <c r="E242" s="1">
        <v>518</v>
      </c>
      <c r="F242" s="1">
        <v>523</v>
      </c>
      <c r="G242" s="1">
        <v>541</v>
      </c>
      <c r="H242" s="1">
        <v>91</v>
      </c>
      <c r="I242" s="1">
        <v>485</v>
      </c>
      <c r="J242" s="1">
        <v>630</v>
      </c>
      <c r="K242" s="1">
        <v>989</v>
      </c>
      <c r="L242" s="1">
        <v>1045</v>
      </c>
      <c r="M242" s="1">
        <v>1024</v>
      </c>
      <c r="N242" s="1">
        <v>1059</v>
      </c>
      <c r="O242" s="1">
        <v>1061</v>
      </c>
      <c r="P242" s="1">
        <v>1203</v>
      </c>
      <c r="Q242" s="1">
        <v>1306</v>
      </c>
      <c r="R242" s="1">
        <v>1263</v>
      </c>
      <c r="S242" s="1">
        <v>1153</v>
      </c>
      <c r="T242" s="1">
        <v>1237</v>
      </c>
      <c r="U242" s="1">
        <v>1282</v>
      </c>
      <c r="V242" s="1">
        <v>1325</v>
      </c>
      <c r="W242" s="1">
        <v>1305</v>
      </c>
      <c r="X242" s="1">
        <v>1348</v>
      </c>
      <c r="Y242" s="1">
        <v>1314</v>
      </c>
      <c r="Z242" s="1">
        <v>1362</v>
      </c>
      <c r="AA242" s="1">
        <v>1370</v>
      </c>
      <c r="AB242" s="1">
        <v>1221</v>
      </c>
      <c r="AC242" s="1">
        <v>1359</v>
      </c>
      <c r="AD242" s="1">
        <v>1346</v>
      </c>
      <c r="AE242" s="1">
        <v>1384</v>
      </c>
      <c r="AF242" s="1">
        <v>1342</v>
      </c>
      <c r="AG242" s="1">
        <v>1389</v>
      </c>
      <c r="AH242" s="1">
        <v>1392</v>
      </c>
      <c r="AI242" s="1">
        <v>1354</v>
      </c>
      <c r="AJ242" s="1">
        <v>1205</v>
      </c>
      <c r="AK242" s="1">
        <v>934</v>
      </c>
      <c r="AL242" s="1">
        <v>932</v>
      </c>
      <c r="AM242" s="1">
        <v>938</v>
      </c>
      <c r="AN242" s="1">
        <v>849</v>
      </c>
      <c r="AO242" s="1">
        <v>942</v>
      </c>
      <c r="AP242" s="1">
        <v>915</v>
      </c>
      <c r="AQ242" s="1">
        <v>949</v>
      </c>
      <c r="AR242" s="1">
        <v>922</v>
      </c>
      <c r="AS242" s="1">
        <v>957</v>
      </c>
      <c r="AT242" s="1">
        <v>951</v>
      </c>
      <c r="AU242" s="1">
        <v>915</v>
      </c>
      <c r="AV242" s="1">
        <v>949</v>
      </c>
      <c r="AW242" s="1">
        <v>922</v>
      </c>
      <c r="AX242" s="1">
        <v>956</v>
      </c>
      <c r="AY242" s="1"/>
      <c r="BA242" s="21">
        <f t="shared" si="186"/>
        <v>7941</v>
      </c>
      <c r="BB242" s="22">
        <f t="shared" si="187"/>
        <v>661.75</v>
      </c>
      <c r="BD242" s="7">
        <f t="shared" si="188"/>
        <v>15159</v>
      </c>
      <c r="BE242" s="7">
        <f t="shared" si="189"/>
        <v>7218</v>
      </c>
      <c r="BF242" s="8">
        <f t="shared" si="190"/>
        <v>0.90895353230071785</v>
      </c>
      <c r="BG242" s="7">
        <f t="shared" si="191"/>
        <v>1263.25</v>
      </c>
      <c r="BI242" s="12">
        <f t="shared" si="192"/>
        <v>15228</v>
      </c>
      <c r="BJ242" s="12">
        <f t="shared" si="193"/>
        <v>69</v>
      </c>
      <c r="BK242" s="13">
        <f t="shared" si="194"/>
        <v>4.5517514347912513E-3</v>
      </c>
      <c r="BL242" s="24">
        <f t="shared" si="195"/>
        <v>1350.375</v>
      </c>
      <c r="BM242" s="24">
        <f t="shared" si="196"/>
        <v>1106.25</v>
      </c>
      <c r="BO242" s="17">
        <f t="shared" si="197"/>
        <v>11165</v>
      </c>
      <c r="BP242" s="17">
        <f t="shared" si="198"/>
        <v>-4063</v>
      </c>
      <c r="BQ242" s="18">
        <f t="shared" si="199"/>
        <v>-0.26681113737851325</v>
      </c>
      <c r="BR242" s="25">
        <f t="shared" si="200"/>
        <v>930.41666666666663</v>
      </c>
    </row>
    <row r="243" spans="1:70">
      <c r="A243" t="s">
        <v>398</v>
      </c>
      <c r="B243">
        <v>220480</v>
      </c>
      <c r="C243" s="1">
        <v>100</v>
      </c>
      <c r="D243" s="1">
        <v>51</v>
      </c>
      <c r="E243" s="1">
        <v>56</v>
      </c>
      <c r="F243" s="1">
        <v>52</v>
      </c>
      <c r="G243" s="1">
        <v>56</v>
      </c>
      <c r="H243" s="1">
        <v>54</v>
      </c>
      <c r="I243" s="1">
        <v>56</v>
      </c>
      <c r="J243" s="1">
        <v>56</v>
      </c>
      <c r="K243" s="1">
        <v>54</v>
      </c>
      <c r="L243" s="1">
        <v>58</v>
      </c>
      <c r="M243" s="1">
        <v>65</v>
      </c>
      <c r="N243" s="1">
        <v>67</v>
      </c>
      <c r="O243" s="1">
        <v>67</v>
      </c>
      <c r="P243" s="1">
        <v>63</v>
      </c>
      <c r="Q243" s="1">
        <v>67</v>
      </c>
      <c r="R243" s="1">
        <v>65</v>
      </c>
      <c r="S243" s="1">
        <v>73</v>
      </c>
      <c r="T243" s="1">
        <v>75</v>
      </c>
      <c r="U243" s="1">
        <v>78</v>
      </c>
      <c r="V243" s="1">
        <v>78</v>
      </c>
      <c r="W243" s="1">
        <v>76</v>
      </c>
      <c r="X243" s="1">
        <v>78</v>
      </c>
      <c r="Y243" s="1">
        <v>63</v>
      </c>
      <c r="Z243" s="1">
        <v>65</v>
      </c>
      <c r="AA243" s="1">
        <v>65</v>
      </c>
      <c r="AB243" s="1">
        <v>59</v>
      </c>
      <c r="AC243" s="1">
        <v>65</v>
      </c>
      <c r="AD243" s="1">
        <v>63</v>
      </c>
      <c r="AE243" s="1">
        <v>58</v>
      </c>
      <c r="AF243" s="1">
        <v>52</v>
      </c>
      <c r="AG243" s="1">
        <v>22</v>
      </c>
      <c r="AH243" s="1">
        <v>22</v>
      </c>
      <c r="AI243" s="1">
        <v>17</v>
      </c>
      <c r="AJ243" s="1">
        <v>18</v>
      </c>
      <c r="AK243" s="1">
        <v>18</v>
      </c>
      <c r="AL243" s="1">
        <v>19</v>
      </c>
      <c r="AM243" s="1">
        <v>19</v>
      </c>
      <c r="AN243" s="1">
        <v>18</v>
      </c>
      <c r="AO243" s="1">
        <v>20</v>
      </c>
      <c r="AP243" s="1">
        <v>19</v>
      </c>
      <c r="AQ243" s="1">
        <v>24</v>
      </c>
      <c r="AR243" s="1">
        <v>27</v>
      </c>
      <c r="AS243" s="1">
        <v>28</v>
      </c>
      <c r="AT243" s="1">
        <v>28</v>
      </c>
      <c r="AU243" s="1">
        <v>27</v>
      </c>
      <c r="AV243" s="1">
        <v>28</v>
      </c>
      <c r="AW243" s="1">
        <v>27</v>
      </c>
      <c r="AX243" s="1">
        <v>29</v>
      </c>
      <c r="AY243" s="1"/>
      <c r="BA243" s="21">
        <f t="shared" si="186"/>
        <v>725</v>
      </c>
      <c r="BB243" s="22">
        <f t="shared" si="187"/>
        <v>60.416666666666664</v>
      </c>
      <c r="BD243" s="7">
        <f t="shared" si="188"/>
        <v>848</v>
      </c>
      <c r="BE243" s="7">
        <f t="shared" si="189"/>
        <v>123</v>
      </c>
      <c r="BF243" s="8">
        <f t="shared" si="190"/>
        <v>0.16965517241379313</v>
      </c>
      <c r="BG243" s="7">
        <f t="shared" si="191"/>
        <v>70.666666666666671</v>
      </c>
      <c r="BI243" s="12">
        <f t="shared" si="192"/>
        <v>478</v>
      </c>
      <c r="BJ243" s="12">
        <f t="shared" si="193"/>
        <v>-370</v>
      </c>
      <c r="BK243" s="13">
        <f t="shared" si="194"/>
        <v>-0.43632075471698117</v>
      </c>
      <c r="BL243" s="24">
        <f t="shared" si="195"/>
        <v>50.75</v>
      </c>
      <c r="BM243" s="24">
        <f t="shared" si="196"/>
        <v>18</v>
      </c>
      <c r="BO243" s="17">
        <f t="shared" si="197"/>
        <v>294</v>
      </c>
      <c r="BP243" s="17">
        <f t="shared" si="198"/>
        <v>-184</v>
      </c>
      <c r="BQ243" s="18">
        <f t="shared" si="199"/>
        <v>-0.38493723849372385</v>
      </c>
      <c r="BR243" s="25">
        <f t="shared" si="200"/>
        <v>24.5</v>
      </c>
    </row>
    <row r="244" spans="1:70">
      <c r="A244" t="s">
        <v>399</v>
      </c>
      <c r="B244">
        <v>220485</v>
      </c>
      <c r="C244" s="1">
        <v>2453</v>
      </c>
      <c r="D244" s="1">
        <v>2147</v>
      </c>
      <c r="E244" s="1">
        <v>2725</v>
      </c>
      <c r="F244" s="1">
        <v>2321</v>
      </c>
      <c r="G244" s="1">
        <v>2041</v>
      </c>
      <c r="H244" s="1">
        <v>2344</v>
      </c>
      <c r="I244" s="1">
        <v>1719</v>
      </c>
      <c r="J244" s="1">
        <v>2045</v>
      </c>
      <c r="K244" s="1">
        <v>1999</v>
      </c>
      <c r="L244" s="1">
        <v>1998</v>
      </c>
      <c r="M244" s="1">
        <v>1625</v>
      </c>
      <c r="N244" s="1">
        <v>2037</v>
      </c>
      <c r="O244" s="1">
        <v>2041</v>
      </c>
      <c r="P244" s="1">
        <v>1779</v>
      </c>
      <c r="Q244" s="1">
        <v>1855</v>
      </c>
      <c r="R244" s="1">
        <v>1379</v>
      </c>
      <c r="S244" s="1">
        <v>1360</v>
      </c>
      <c r="T244" s="1">
        <v>1277</v>
      </c>
      <c r="U244" s="1">
        <v>1360</v>
      </c>
      <c r="V244" s="1">
        <v>1362</v>
      </c>
      <c r="W244" s="1">
        <v>1316</v>
      </c>
      <c r="X244" s="1">
        <v>1318</v>
      </c>
      <c r="Y244" s="1">
        <v>1271</v>
      </c>
      <c r="Z244" s="1">
        <v>1306</v>
      </c>
      <c r="AA244" s="1">
        <v>1313</v>
      </c>
      <c r="AB244" s="1">
        <v>1188</v>
      </c>
      <c r="AC244" s="1">
        <v>1316</v>
      </c>
      <c r="AD244" s="1">
        <v>1276</v>
      </c>
      <c r="AE244" s="1">
        <v>1305</v>
      </c>
      <c r="AF244" s="1">
        <v>1265</v>
      </c>
      <c r="AG244" s="1">
        <v>1268</v>
      </c>
      <c r="AH244" s="1">
        <v>833</v>
      </c>
      <c r="AI244" s="1">
        <v>1173</v>
      </c>
      <c r="AJ244" s="1">
        <v>1222</v>
      </c>
      <c r="AK244" s="1">
        <v>1191</v>
      </c>
      <c r="AL244" s="1">
        <v>1246</v>
      </c>
      <c r="AM244" s="1">
        <v>1255</v>
      </c>
      <c r="AN244" s="1">
        <v>1136</v>
      </c>
      <c r="AO244" s="1">
        <v>1260</v>
      </c>
      <c r="AP244" s="1">
        <v>1223</v>
      </c>
      <c r="AQ244" s="1">
        <v>1268</v>
      </c>
      <c r="AR244" s="1">
        <v>1232</v>
      </c>
      <c r="AS244" s="1">
        <v>1277</v>
      </c>
      <c r="AT244" s="1">
        <v>1282</v>
      </c>
      <c r="AU244" s="1">
        <v>1245</v>
      </c>
      <c r="AV244" s="1">
        <v>1291</v>
      </c>
      <c r="AW244" s="1">
        <v>1253</v>
      </c>
      <c r="AX244" s="1">
        <v>1298</v>
      </c>
      <c r="AY244" s="1"/>
      <c r="BA244" s="21">
        <f t="shared" si="186"/>
        <v>25454</v>
      </c>
      <c r="BB244" s="22">
        <f t="shared" si="187"/>
        <v>2121.1666666666665</v>
      </c>
      <c r="BD244" s="7">
        <f t="shared" si="188"/>
        <v>17624</v>
      </c>
      <c r="BE244" s="7">
        <f t="shared" si="189"/>
        <v>-7830</v>
      </c>
      <c r="BF244" s="8">
        <f t="shared" si="190"/>
        <v>-0.30761373458002672</v>
      </c>
      <c r="BG244" s="7">
        <f t="shared" si="191"/>
        <v>1468.6666666666667</v>
      </c>
      <c r="BI244" s="12">
        <f t="shared" si="192"/>
        <v>14596</v>
      </c>
      <c r="BJ244" s="12">
        <f t="shared" si="193"/>
        <v>-3028</v>
      </c>
      <c r="BK244" s="13">
        <f t="shared" si="194"/>
        <v>-0.17181116659101225</v>
      </c>
      <c r="BL244" s="24">
        <f t="shared" si="195"/>
        <v>1220.5</v>
      </c>
      <c r="BM244" s="24">
        <f t="shared" si="196"/>
        <v>1208</v>
      </c>
      <c r="BO244" s="17">
        <f t="shared" si="197"/>
        <v>15020</v>
      </c>
      <c r="BP244" s="17">
        <f t="shared" si="198"/>
        <v>424</v>
      </c>
      <c r="BQ244" s="18">
        <f t="shared" si="199"/>
        <v>2.9049054535489116E-2</v>
      </c>
      <c r="BR244" s="25">
        <f t="shared" si="200"/>
        <v>1251.6666666666667</v>
      </c>
    </row>
    <row r="245" spans="1:70">
      <c r="A245" t="s">
        <v>400</v>
      </c>
      <c r="B245">
        <v>220490</v>
      </c>
      <c r="C245" s="1">
        <v>1332</v>
      </c>
      <c r="D245" s="1">
        <v>1478</v>
      </c>
      <c r="E245" s="1">
        <v>1747</v>
      </c>
      <c r="F245" s="1">
        <v>1703</v>
      </c>
      <c r="G245" s="1">
        <v>1847</v>
      </c>
      <c r="H245" s="1">
        <v>1476</v>
      </c>
      <c r="I245" s="1">
        <v>1941</v>
      </c>
      <c r="J245" s="1">
        <v>1740</v>
      </c>
      <c r="K245" s="1">
        <v>2228</v>
      </c>
      <c r="L245" s="1">
        <v>2447</v>
      </c>
      <c r="M245" s="1">
        <v>2691</v>
      </c>
      <c r="N245" s="1">
        <v>2726</v>
      </c>
      <c r="O245" s="1">
        <v>3466</v>
      </c>
      <c r="P245" s="1">
        <v>3573</v>
      </c>
      <c r="Q245" s="1">
        <v>4000</v>
      </c>
      <c r="R245" s="1">
        <v>4161</v>
      </c>
      <c r="S245" s="1">
        <v>4614</v>
      </c>
      <c r="T245" s="1">
        <v>4592</v>
      </c>
      <c r="U245" s="1">
        <v>5009</v>
      </c>
      <c r="V245" s="1">
        <v>5411</v>
      </c>
      <c r="W245" s="1">
        <v>5240</v>
      </c>
      <c r="X245" s="1">
        <v>5490</v>
      </c>
      <c r="Y245" s="1">
        <v>5391</v>
      </c>
      <c r="Z245" s="1">
        <v>5607</v>
      </c>
      <c r="AA245" s="1">
        <v>5558</v>
      </c>
      <c r="AB245" s="1">
        <v>5180</v>
      </c>
      <c r="AC245" s="1">
        <v>5819</v>
      </c>
      <c r="AD245" s="1">
        <v>5961</v>
      </c>
      <c r="AE245" s="1">
        <v>6099</v>
      </c>
      <c r="AF245" s="1">
        <v>5930</v>
      </c>
      <c r="AG245" s="1">
        <v>5201</v>
      </c>
      <c r="AH245" s="1">
        <v>4804</v>
      </c>
      <c r="AI245" s="1">
        <v>4442</v>
      </c>
      <c r="AJ245" s="1">
        <v>4637</v>
      </c>
      <c r="AK245" s="1">
        <v>4609</v>
      </c>
      <c r="AL245" s="1">
        <v>4957</v>
      </c>
      <c r="AM245" s="1">
        <v>5061</v>
      </c>
      <c r="AN245" s="1">
        <v>4597</v>
      </c>
      <c r="AO245" s="1">
        <v>5127</v>
      </c>
      <c r="AP245" s="1">
        <v>5008</v>
      </c>
      <c r="AQ245" s="1">
        <v>5227</v>
      </c>
      <c r="AR245" s="1">
        <v>5105</v>
      </c>
      <c r="AS245" s="1">
        <v>5317</v>
      </c>
      <c r="AT245" s="1">
        <v>5359</v>
      </c>
      <c r="AU245" s="1">
        <v>5226</v>
      </c>
      <c r="AV245" s="1">
        <v>5442</v>
      </c>
      <c r="AW245" s="1">
        <v>5302</v>
      </c>
      <c r="AX245" s="1">
        <v>5507</v>
      </c>
      <c r="AY245" s="1"/>
      <c r="BA245" s="21">
        <f t="shared" si="186"/>
        <v>23356</v>
      </c>
      <c r="BB245" s="22">
        <f t="shared" si="187"/>
        <v>1946.3333333333333</v>
      </c>
      <c r="BD245" s="7">
        <f t="shared" si="188"/>
        <v>56554</v>
      </c>
      <c r="BE245" s="7">
        <f t="shared" si="189"/>
        <v>33198</v>
      </c>
      <c r="BF245" s="8">
        <f t="shared" si="190"/>
        <v>1.4213906490837473</v>
      </c>
      <c r="BG245" s="7">
        <f t="shared" si="191"/>
        <v>4712.833333333333</v>
      </c>
      <c r="BI245" s="12">
        <f t="shared" si="192"/>
        <v>63197</v>
      </c>
      <c r="BJ245" s="12">
        <f t="shared" si="193"/>
        <v>6643</v>
      </c>
      <c r="BK245" s="13">
        <f t="shared" si="194"/>
        <v>0.1174629557590976</v>
      </c>
      <c r="BL245" s="24">
        <f t="shared" si="195"/>
        <v>5569</v>
      </c>
      <c r="BM245" s="24">
        <f t="shared" si="196"/>
        <v>4661.25</v>
      </c>
      <c r="BO245" s="17">
        <f t="shared" si="197"/>
        <v>62278</v>
      </c>
      <c r="BP245" s="17">
        <f t="shared" si="198"/>
        <v>-919</v>
      </c>
      <c r="BQ245" s="18">
        <f t="shared" si="199"/>
        <v>-1.4541829517223936E-2</v>
      </c>
      <c r="BR245" s="25">
        <f t="shared" si="200"/>
        <v>5189.833333333333</v>
      </c>
    </row>
    <row r="246" spans="1:70">
      <c r="A246" t="s">
        <v>401</v>
      </c>
      <c r="B246">
        <v>220495</v>
      </c>
      <c r="C246" s="1">
        <v>1790</v>
      </c>
      <c r="D246" s="1">
        <v>1636</v>
      </c>
      <c r="E246" s="1">
        <v>635</v>
      </c>
      <c r="F246" s="1">
        <v>1699</v>
      </c>
      <c r="G246" s="1">
        <v>1882</v>
      </c>
      <c r="H246" s="1">
        <v>1682</v>
      </c>
      <c r="I246" s="1">
        <v>1694</v>
      </c>
      <c r="J246" s="1">
        <v>1937</v>
      </c>
      <c r="K246" s="1">
        <v>1940</v>
      </c>
      <c r="L246" s="1">
        <v>2216</v>
      </c>
      <c r="M246" s="1">
        <v>2071</v>
      </c>
      <c r="N246" s="1">
        <v>1768</v>
      </c>
      <c r="O246" s="1">
        <v>1794</v>
      </c>
      <c r="P246" s="1">
        <v>2013</v>
      </c>
      <c r="Q246" s="1">
        <v>2213</v>
      </c>
      <c r="R246" s="1">
        <v>2192</v>
      </c>
      <c r="S246" s="1">
        <v>2145</v>
      </c>
      <c r="T246" s="1">
        <v>2254</v>
      </c>
      <c r="U246" s="1">
        <v>2228</v>
      </c>
      <c r="V246" s="1">
        <v>2398</v>
      </c>
      <c r="W246" s="1">
        <v>2306</v>
      </c>
      <c r="X246" s="1">
        <v>2604</v>
      </c>
      <c r="Y246" s="1">
        <v>2877</v>
      </c>
      <c r="Z246" s="1">
        <v>2927</v>
      </c>
      <c r="AA246" s="1">
        <v>3038</v>
      </c>
      <c r="AB246" s="1">
        <v>2942</v>
      </c>
      <c r="AC246" s="1">
        <v>3190</v>
      </c>
      <c r="AD246" s="1">
        <v>3118</v>
      </c>
      <c r="AE246" s="1">
        <v>3271</v>
      </c>
      <c r="AF246" s="1">
        <v>3205</v>
      </c>
      <c r="AG246" s="1">
        <v>3343</v>
      </c>
      <c r="AH246" s="1">
        <v>3345</v>
      </c>
      <c r="AI246" s="1">
        <v>3375</v>
      </c>
      <c r="AJ246" s="1">
        <v>3495</v>
      </c>
      <c r="AK246" s="1">
        <v>3421</v>
      </c>
      <c r="AL246" s="1">
        <v>3605</v>
      </c>
      <c r="AM246" s="1">
        <v>3635</v>
      </c>
      <c r="AN246" s="1">
        <v>3281</v>
      </c>
      <c r="AO246" s="1">
        <v>3630</v>
      </c>
      <c r="AP246" s="1">
        <v>3523</v>
      </c>
      <c r="AQ246" s="1">
        <v>3663</v>
      </c>
      <c r="AR246" s="1">
        <v>3565</v>
      </c>
      <c r="AS246" s="1">
        <v>3704</v>
      </c>
      <c r="AT246" s="1">
        <v>3719</v>
      </c>
      <c r="AU246" s="1">
        <v>3601</v>
      </c>
      <c r="AV246" s="1">
        <v>3501</v>
      </c>
      <c r="AW246" s="1">
        <v>3108</v>
      </c>
      <c r="AX246" s="1">
        <v>3106</v>
      </c>
      <c r="AY246" s="1"/>
      <c r="BA246" s="21">
        <f t="shared" si="186"/>
        <v>20950</v>
      </c>
      <c r="BB246" s="22">
        <f t="shared" si="187"/>
        <v>1745.8333333333333</v>
      </c>
      <c r="BD246" s="7">
        <f t="shared" si="188"/>
        <v>27951</v>
      </c>
      <c r="BE246" s="7">
        <f t="shared" si="189"/>
        <v>7001</v>
      </c>
      <c r="BF246" s="8">
        <f t="shared" si="190"/>
        <v>0.33417661097852025</v>
      </c>
      <c r="BG246" s="7">
        <f t="shared" si="191"/>
        <v>2329.25</v>
      </c>
      <c r="BI246" s="12">
        <f t="shared" si="192"/>
        <v>39348</v>
      </c>
      <c r="BJ246" s="12">
        <f t="shared" si="193"/>
        <v>11397</v>
      </c>
      <c r="BK246" s="13">
        <f t="shared" si="194"/>
        <v>0.40774927551787066</v>
      </c>
      <c r="BL246" s="24">
        <f t="shared" si="195"/>
        <v>3181.5</v>
      </c>
      <c r="BM246" s="24">
        <f t="shared" si="196"/>
        <v>3474</v>
      </c>
      <c r="BO246" s="17">
        <f t="shared" si="197"/>
        <v>42036</v>
      </c>
      <c r="BP246" s="17">
        <f t="shared" si="198"/>
        <v>2688</v>
      </c>
      <c r="BQ246" s="18">
        <f t="shared" si="199"/>
        <v>6.8313510216529538E-2</v>
      </c>
      <c r="BR246" s="25">
        <f t="shared" si="200"/>
        <v>3503</v>
      </c>
    </row>
    <row r="247" spans="1:70">
      <c r="A247" t="s">
        <v>406</v>
      </c>
      <c r="B247">
        <v>220545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777</v>
      </c>
      <c r="I247" s="1">
        <v>6086</v>
      </c>
      <c r="J247" s="1">
        <v>8002</v>
      </c>
      <c r="K247" s="1">
        <v>6963</v>
      </c>
      <c r="L247" s="1">
        <v>1794</v>
      </c>
      <c r="M247" s="1">
        <v>64</v>
      </c>
      <c r="N247" s="1">
        <v>63</v>
      </c>
      <c r="O247" s="1">
        <v>64</v>
      </c>
      <c r="P247" s="1">
        <v>60</v>
      </c>
      <c r="Q247" s="1">
        <v>64</v>
      </c>
      <c r="R247" s="1">
        <v>62</v>
      </c>
      <c r="S247" s="1">
        <v>46</v>
      </c>
      <c r="T247" s="1">
        <v>0</v>
      </c>
      <c r="U247" s="1">
        <v>0</v>
      </c>
      <c r="V247" s="1">
        <v>0</v>
      </c>
      <c r="W247" s="1">
        <v>0</v>
      </c>
      <c r="X247" s="1">
        <v>6</v>
      </c>
      <c r="Y247" s="1">
        <v>9</v>
      </c>
      <c r="Z247" s="1">
        <v>9</v>
      </c>
      <c r="AA247" s="1">
        <v>8</v>
      </c>
      <c r="AB247" s="1">
        <v>7</v>
      </c>
      <c r="AC247" s="1">
        <v>71</v>
      </c>
      <c r="AD247" s="1">
        <v>69</v>
      </c>
      <c r="AE247" s="1">
        <v>70</v>
      </c>
      <c r="AF247" s="1">
        <v>67</v>
      </c>
      <c r="AG247" s="1">
        <v>70</v>
      </c>
      <c r="AH247" s="1">
        <v>70</v>
      </c>
      <c r="AI247" s="1">
        <v>34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/>
      <c r="BA247" s="21">
        <f t="shared" si="186"/>
        <v>23749</v>
      </c>
      <c r="BB247" s="22">
        <f t="shared" si="187"/>
        <v>1979.0833333333333</v>
      </c>
      <c r="BD247" s="7">
        <f t="shared" si="188"/>
        <v>320</v>
      </c>
      <c r="BE247" s="7">
        <f t="shared" si="189"/>
        <v>-23429</v>
      </c>
      <c r="BF247" s="8">
        <f t="shared" si="190"/>
        <v>-0.98652574845256646</v>
      </c>
      <c r="BG247" s="7">
        <f t="shared" si="191"/>
        <v>26.666666666666668</v>
      </c>
      <c r="BI247" s="12">
        <f t="shared" si="192"/>
        <v>466</v>
      </c>
      <c r="BJ247" s="12">
        <f t="shared" si="193"/>
        <v>146</v>
      </c>
      <c r="BK247" s="13">
        <f t="shared" si="194"/>
        <v>0.45625000000000004</v>
      </c>
      <c r="BL247" s="24">
        <f t="shared" si="195"/>
        <v>54</v>
      </c>
      <c r="BM247" s="24">
        <f t="shared" si="196"/>
        <v>8.5</v>
      </c>
      <c r="BO247" s="17">
        <f t="shared" si="197"/>
        <v>0</v>
      </c>
      <c r="BP247" s="17">
        <f t="shared" si="198"/>
        <v>-466</v>
      </c>
      <c r="BQ247" s="18">
        <f t="shared" si="199"/>
        <v>-1</v>
      </c>
      <c r="BR247" s="25">
        <f t="shared" si="200"/>
        <v>0</v>
      </c>
    </row>
    <row r="248" spans="1:70">
      <c r="A248" t="s">
        <v>409</v>
      </c>
      <c r="B248">
        <v>220550</v>
      </c>
      <c r="C248" s="1">
        <v>7659</v>
      </c>
      <c r="D248" s="1">
        <v>7689</v>
      </c>
      <c r="E248" s="1">
        <v>13174</v>
      </c>
      <c r="F248" s="1">
        <v>14776</v>
      </c>
      <c r="G248" s="1">
        <v>13884</v>
      </c>
      <c r="H248" s="1">
        <v>14044</v>
      </c>
      <c r="I248" s="1">
        <v>22854</v>
      </c>
      <c r="J248" s="1">
        <v>28295</v>
      </c>
      <c r="K248" s="1">
        <v>35125</v>
      </c>
      <c r="L248" s="1">
        <v>40484</v>
      </c>
      <c r="M248" s="1">
        <v>37766</v>
      </c>
      <c r="N248" s="1">
        <v>37692</v>
      </c>
      <c r="O248" s="1">
        <v>34451</v>
      </c>
      <c r="P248" s="1">
        <v>36695</v>
      </c>
      <c r="Q248" s="1">
        <v>38397</v>
      </c>
      <c r="R248" s="1">
        <v>34609</v>
      </c>
      <c r="S248" s="1">
        <v>34300</v>
      </c>
      <c r="T248" s="1">
        <v>33419</v>
      </c>
      <c r="U248" s="1">
        <v>34166</v>
      </c>
      <c r="V248" s="1">
        <v>30303</v>
      </c>
      <c r="W248" s="1">
        <v>30293</v>
      </c>
      <c r="X248" s="1">
        <v>34160</v>
      </c>
      <c r="Y248" s="1">
        <v>36400</v>
      </c>
      <c r="Z248" s="1">
        <v>39851</v>
      </c>
      <c r="AA248" s="1">
        <v>41655</v>
      </c>
      <c r="AB248" s="1">
        <v>37587</v>
      </c>
      <c r="AC248" s="1">
        <v>40617</v>
      </c>
      <c r="AD248" s="1">
        <v>36775</v>
      </c>
      <c r="AE248" s="1">
        <v>35306</v>
      </c>
      <c r="AF248" s="1">
        <v>32696</v>
      </c>
      <c r="AG248" s="1">
        <v>29919</v>
      </c>
      <c r="AH248" s="1">
        <v>25719</v>
      </c>
      <c r="AI248" s="1">
        <v>21669</v>
      </c>
      <c r="AJ248" s="1">
        <v>22265</v>
      </c>
      <c r="AK248" s="1">
        <v>22327</v>
      </c>
      <c r="AL248" s="1">
        <v>24222</v>
      </c>
      <c r="AM248" s="1">
        <v>24853</v>
      </c>
      <c r="AN248" s="1">
        <v>22606</v>
      </c>
      <c r="AO248" s="1">
        <v>24814</v>
      </c>
      <c r="AP248" s="1">
        <v>23752</v>
      </c>
      <c r="AQ248" s="1">
        <v>24503</v>
      </c>
      <c r="AR248" s="1">
        <v>23618</v>
      </c>
      <c r="AS248" s="1">
        <v>24349</v>
      </c>
      <c r="AT248" s="1">
        <v>24291</v>
      </c>
      <c r="AU248" s="1">
        <v>23448</v>
      </c>
      <c r="AV248" s="1">
        <v>24261</v>
      </c>
      <c r="AW248" s="1">
        <v>23579</v>
      </c>
      <c r="AX248" s="1">
        <v>24446</v>
      </c>
      <c r="AY248" s="1"/>
      <c r="BA248" s="21">
        <f t="shared" si="186"/>
        <v>273442</v>
      </c>
      <c r="BB248" s="22">
        <f t="shared" si="187"/>
        <v>22786.833333333332</v>
      </c>
      <c r="BD248" s="7">
        <f t="shared" si="188"/>
        <v>417044</v>
      </c>
      <c r="BE248" s="7">
        <f t="shared" si="189"/>
        <v>143602</v>
      </c>
      <c r="BF248" s="8">
        <f t="shared" si="190"/>
        <v>0.52516438586610681</v>
      </c>
      <c r="BG248" s="7">
        <f t="shared" si="191"/>
        <v>34753.666666666664</v>
      </c>
      <c r="BI248" s="12">
        <f t="shared" si="192"/>
        <v>370757</v>
      </c>
      <c r="BJ248" s="12">
        <f t="shared" si="193"/>
        <v>-46287</v>
      </c>
      <c r="BK248" s="13">
        <f t="shared" si="194"/>
        <v>-0.11098828900547664</v>
      </c>
      <c r="BL248" s="24">
        <f t="shared" si="195"/>
        <v>35034.25</v>
      </c>
      <c r="BM248" s="24">
        <f t="shared" si="196"/>
        <v>22620.75</v>
      </c>
      <c r="BO248" s="17">
        <f t="shared" si="197"/>
        <v>288520</v>
      </c>
      <c r="BP248" s="17">
        <f t="shared" si="198"/>
        <v>-82237</v>
      </c>
      <c r="BQ248" s="18">
        <f t="shared" si="199"/>
        <v>-0.22180835425898904</v>
      </c>
      <c r="BR248" s="25">
        <f t="shared" si="200"/>
        <v>24043.333333333332</v>
      </c>
    </row>
    <row r="249" spans="1:70">
      <c r="A249" t="s">
        <v>410</v>
      </c>
      <c r="B249">
        <v>220551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1853</v>
      </c>
      <c r="R249" s="1">
        <v>7563</v>
      </c>
      <c r="S249" s="1">
        <v>10298</v>
      </c>
      <c r="T249" s="1">
        <v>13920</v>
      </c>
      <c r="U249" s="1">
        <v>20006</v>
      </c>
      <c r="V249" s="1">
        <v>23789</v>
      </c>
      <c r="W249" s="1">
        <v>23151</v>
      </c>
      <c r="X249" s="1">
        <v>22179</v>
      </c>
      <c r="Y249" s="1">
        <v>15766</v>
      </c>
      <c r="Z249" s="1">
        <v>13879</v>
      </c>
      <c r="AA249" s="1">
        <v>9698</v>
      </c>
      <c r="AB249" s="1">
        <v>4144</v>
      </c>
      <c r="AC249" s="1">
        <v>325</v>
      </c>
      <c r="AD249" s="1">
        <v>1043</v>
      </c>
      <c r="AE249" s="1">
        <v>2778</v>
      </c>
      <c r="AF249" s="1">
        <v>3689</v>
      </c>
      <c r="AG249" s="1">
        <v>3962</v>
      </c>
      <c r="AH249" s="1">
        <v>3969</v>
      </c>
      <c r="AI249" s="1">
        <v>3818</v>
      </c>
      <c r="AJ249" s="1">
        <v>3896</v>
      </c>
      <c r="AK249" s="1">
        <v>2729</v>
      </c>
      <c r="AL249" s="1">
        <v>1289</v>
      </c>
      <c r="AM249" s="1">
        <v>687</v>
      </c>
      <c r="AN249" s="1">
        <v>540</v>
      </c>
      <c r="AO249" s="1">
        <v>601</v>
      </c>
      <c r="AP249" s="1">
        <v>580</v>
      </c>
      <c r="AQ249" s="1">
        <v>598</v>
      </c>
      <c r="AR249" s="1">
        <v>582</v>
      </c>
      <c r="AS249" s="1">
        <v>606</v>
      </c>
      <c r="AT249" s="1">
        <v>603</v>
      </c>
      <c r="AU249" s="1">
        <v>581</v>
      </c>
      <c r="AV249" s="1">
        <v>605</v>
      </c>
      <c r="AW249" s="1">
        <v>588</v>
      </c>
      <c r="AX249" s="1">
        <v>610</v>
      </c>
      <c r="AY249" s="1"/>
      <c r="BA249" s="21">
        <f t="shared" si="186"/>
        <v>0</v>
      </c>
      <c r="BB249" s="22">
        <f t="shared" si="187"/>
        <v>0</v>
      </c>
      <c r="BD249" s="7">
        <f t="shared" si="188"/>
        <v>152404</v>
      </c>
      <c r="BE249" s="7">
        <f t="shared" si="189"/>
        <v>152404</v>
      </c>
      <c r="BF249" s="8" t="e">
        <f t="shared" si="190"/>
        <v>#DIV/0!</v>
      </c>
      <c r="BG249" s="7">
        <f t="shared" si="191"/>
        <v>12700.333333333334</v>
      </c>
      <c r="BI249" s="12">
        <f t="shared" si="192"/>
        <v>41340</v>
      </c>
      <c r="BJ249" s="12">
        <f t="shared" si="193"/>
        <v>-111064</v>
      </c>
      <c r="BK249" s="13">
        <f t="shared" si="194"/>
        <v>-0.72874727697435771</v>
      </c>
      <c r="BL249" s="24">
        <f t="shared" si="195"/>
        <v>3701</v>
      </c>
      <c r="BM249" s="24">
        <f t="shared" si="196"/>
        <v>2933</v>
      </c>
      <c r="BO249" s="17">
        <f t="shared" si="197"/>
        <v>7181</v>
      </c>
      <c r="BP249" s="17">
        <f t="shared" si="198"/>
        <v>-34159</v>
      </c>
      <c r="BQ249" s="18">
        <f t="shared" si="199"/>
        <v>-0.82629414610546692</v>
      </c>
      <c r="BR249" s="25">
        <f t="shared" si="200"/>
        <v>598.41666666666663</v>
      </c>
    </row>
    <row r="250" spans="1:70">
      <c r="A250" t="s">
        <v>411</v>
      </c>
      <c r="B250">
        <v>220552</v>
      </c>
      <c r="C250" s="1">
        <v>0</v>
      </c>
      <c r="D250" s="1">
        <v>0</v>
      </c>
      <c r="E250" s="1">
        <v>0</v>
      </c>
      <c r="F250" s="1">
        <v>0</v>
      </c>
      <c r="G250" s="1">
        <v>329</v>
      </c>
      <c r="H250" s="1">
        <v>791</v>
      </c>
      <c r="I250" s="1">
        <v>642</v>
      </c>
      <c r="J250" s="1">
        <v>644</v>
      </c>
      <c r="K250" s="1">
        <v>626</v>
      </c>
      <c r="L250" s="1">
        <v>649</v>
      </c>
      <c r="M250" s="1">
        <v>630</v>
      </c>
      <c r="N250" s="1">
        <v>653</v>
      </c>
      <c r="O250" s="1">
        <v>458</v>
      </c>
      <c r="P250" s="1">
        <v>171</v>
      </c>
      <c r="Q250" s="1">
        <v>215</v>
      </c>
      <c r="R250" s="1">
        <v>910</v>
      </c>
      <c r="S250" s="1">
        <v>1931</v>
      </c>
      <c r="T250" s="1">
        <v>1912</v>
      </c>
      <c r="U250" s="1">
        <v>1888</v>
      </c>
      <c r="V250" s="1">
        <v>1806</v>
      </c>
      <c r="W250" s="1">
        <v>1755</v>
      </c>
      <c r="X250" s="1">
        <v>1821</v>
      </c>
      <c r="Y250" s="1">
        <v>1744</v>
      </c>
      <c r="Z250" s="1">
        <v>1051</v>
      </c>
      <c r="AA250" s="1">
        <v>38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/>
      <c r="BA250" s="21">
        <f t="shared" si="186"/>
        <v>4964</v>
      </c>
      <c r="BB250" s="22">
        <f t="shared" si="187"/>
        <v>413.66666666666669</v>
      </c>
      <c r="BD250" s="7">
        <f t="shared" si="188"/>
        <v>15662</v>
      </c>
      <c r="BE250" s="7">
        <f t="shared" si="189"/>
        <v>10698</v>
      </c>
      <c r="BF250" s="8">
        <f t="shared" si="190"/>
        <v>2.1551168412570507</v>
      </c>
      <c r="BG250" s="7">
        <f t="shared" si="191"/>
        <v>1305.1666666666667</v>
      </c>
      <c r="BI250" s="12">
        <f t="shared" si="192"/>
        <v>38</v>
      </c>
      <c r="BJ250" s="12">
        <f t="shared" si="193"/>
        <v>-15624</v>
      </c>
      <c r="BK250" s="13">
        <f t="shared" si="194"/>
        <v>-0.99757374537096155</v>
      </c>
      <c r="BL250" s="24">
        <f t="shared" si="195"/>
        <v>4.75</v>
      </c>
      <c r="BM250" s="24">
        <f t="shared" si="196"/>
        <v>0</v>
      </c>
      <c r="BO250" s="17">
        <f t="shared" si="197"/>
        <v>0</v>
      </c>
      <c r="BP250" s="17">
        <f t="shared" si="198"/>
        <v>-38</v>
      </c>
      <c r="BQ250" s="18">
        <f t="shared" si="199"/>
        <v>-1</v>
      </c>
      <c r="BR250" s="25">
        <f t="shared" si="200"/>
        <v>0</v>
      </c>
    </row>
    <row r="251" spans="1:70">
      <c r="A251" t="s">
        <v>412</v>
      </c>
      <c r="B251">
        <v>220553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2062</v>
      </c>
      <c r="M251" s="1">
        <v>5639</v>
      </c>
      <c r="N251" s="1">
        <v>13266</v>
      </c>
      <c r="O251" s="1">
        <v>17749</v>
      </c>
      <c r="P251" s="1">
        <v>16674</v>
      </c>
      <c r="Q251" s="1">
        <v>17898</v>
      </c>
      <c r="R251" s="1">
        <v>17395</v>
      </c>
      <c r="S251" s="1">
        <v>17832</v>
      </c>
      <c r="T251" s="1">
        <v>17478</v>
      </c>
      <c r="U251" s="1">
        <v>15975</v>
      </c>
      <c r="V251" s="1">
        <v>11962</v>
      </c>
      <c r="W251" s="1">
        <v>4491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/>
      <c r="BA251" s="21">
        <f t="shared" si="186"/>
        <v>20967</v>
      </c>
      <c r="BB251" s="22">
        <f t="shared" si="187"/>
        <v>1747.25</v>
      </c>
      <c r="BD251" s="7">
        <f t="shared" si="188"/>
        <v>137454</v>
      </c>
      <c r="BE251" s="7">
        <f t="shared" si="189"/>
        <v>116487</v>
      </c>
      <c r="BF251" s="8">
        <f t="shared" si="190"/>
        <v>5.5557304335384172</v>
      </c>
      <c r="BG251" s="7">
        <f t="shared" si="191"/>
        <v>11454.5</v>
      </c>
      <c r="BI251" s="12">
        <f t="shared" si="192"/>
        <v>0</v>
      </c>
      <c r="BJ251" s="12">
        <f t="shared" si="193"/>
        <v>-137454</v>
      </c>
      <c r="BK251" s="13">
        <f t="shared" si="194"/>
        <v>-1</v>
      </c>
      <c r="BL251" s="24">
        <f t="shared" si="195"/>
        <v>0</v>
      </c>
      <c r="BM251" s="24">
        <f t="shared" si="196"/>
        <v>0</v>
      </c>
      <c r="BO251" s="17">
        <f t="shared" si="197"/>
        <v>0</v>
      </c>
      <c r="BP251" s="17">
        <f t="shared" si="198"/>
        <v>0</v>
      </c>
      <c r="BQ251" s="18" t="e">
        <f t="shared" si="199"/>
        <v>#DIV/0!</v>
      </c>
      <c r="BR251" s="25">
        <f t="shared" si="200"/>
        <v>0</v>
      </c>
    </row>
    <row r="252" spans="1:70">
      <c r="A252" t="s">
        <v>413</v>
      </c>
      <c r="B252">
        <v>220554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5062</v>
      </c>
      <c r="AH252" s="1">
        <v>12862</v>
      </c>
      <c r="AI252" s="1">
        <v>14036</v>
      </c>
      <c r="AJ252" s="1">
        <v>14628</v>
      </c>
      <c r="AK252" s="1">
        <v>14498</v>
      </c>
      <c r="AL252" s="1">
        <v>15552</v>
      </c>
      <c r="AM252" s="1">
        <v>15843</v>
      </c>
      <c r="AN252" s="1">
        <v>14352</v>
      </c>
      <c r="AO252" s="1">
        <v>15964</v>
      </c>
      <c r="AP252" s="1">
        <v>15560</v>
      </c>
      <c r="AQ252" s="1">
        <v>15707</v>
      </c>
      <c r="AR252" s="1">
        <v>14618</v>
      </c>
      <c r="AS252" s="1">
        <v>14992</v>
      </c>
      <c r="AT252" s="1">
        <v>15084</v>
      </c>
      <c r="AU252" s="1">
        <v>14654</v>
      </c>
      <c r="AV252" s="1">
        <v>15161</v>
      </c>
      <c r="AW252" s="1">
        <v>14715</v>
      </c>
      <c r="AX252" s="1">
        <v>15268</v>
      </c>
      <c r="AY252" s="1"/>
      <c r="BA252" s="21">
        <f t="shared" si="186"/>
        <v>0</v>
      </c>
      <c r="BB252" s="22">
        <f t="shared" si="187"/>
        <v>0</v>
      </c>
      <c r="BD252" s="7">
        <f t="shared" si="188"/>
        <v>0</v>
      </c>
      <c r="BE252" s="7">
        <f t="shared" si="189"/>
        <v>0</v>
      </c>
      <c r="BF252" s="8" t="e">
        <f t="shared" si="190"/>
        <v>#DIV/0!</v>
      </c>
      <c r="BG252" s="7">
        <f t="shared" si="191"/>
        <v>0</v>
      </c>
      <c r="BI252" s="12">
        <f t="shared" si="192"/>
        <v>76638</v>
      </c>
      <c r="BJ252" s="12">
        <f t="shared" si="193"/>
        <v>76638</v>
      </c>
      <c r="BK252" s="13" t="e">
        <f t="shared" si="194"/>
        <v>#DIV/0!</v>
      </c>
      <c r="BL252" s="24">
        <f t="shared" si="195"/>
        <v>2240.5</v>
      </c>
      <c r="BM252" s="24">
        <f t="shared" si="196"/>
        <v>14678.5</v>
      </c>
      <c r="BO252" s="17">
        <f t="shared" si="197"/>
        <v>181918</v>
      </c>
      <c r="BP252" s="17">
        <f t="shared" si="198"/>
        <v>105280</v>
      </c>
      <c r="BQ252" s="18">
        <f t="shared" si="199"/>
        <v>1.3737310472611499</v>
      </c>
      <c r="BR252" s="25">
        <f t="shared" si="200"/>
        <v>15159.833333333334</v>
      </c>
    </row>
    <row r="253" spans="1:70">
      <c r="A253" t="s">
        <v>415</v>
      </c>
      <c r="B253">
        <v>220555</v>
      </c>
      <c r="C253" s="1">
        <v>184</v>
      </c>
      <c r="D253" s="1">
        <v>139</v>
      </c>
      <c r="E253" s="1">
        <v>149</v>
      </c>
      <c r="F253" s="1">
        <v>77</v>
      </c>
      <c r="G253" s="1">
        <v>81</v>
      </c>
      <c r="H253" s="1">
        <v>92</v>
      </c>
      <c r="I253" s="1">
        <v>62</v>
      </c>
      <c r="J253" s="1">
        <v>87</v>
      </c>
      <c r="K253" s="1">
        <v>84</v>
      </c>
      <c r="L253" s="1">
        <v>75</v>
      </c>
      <c r="M253" s="1">
        <v>147</v>
      </c>
      <c r="N253" s="1">
        <v>152</v>
      </c>
      <c r="O253" s="1">
        <v>153</v>
      </c>
      <c r="P253" s="1">
        <v>143</v>
      </c>
      <c r="Q253" s="1">
        <v>153</v>
      </c>
      <c r="R253" s="1">
        <v>134</v>
      </c>
      <c r="S253" s="1">
        <v>111</v>
      </c>
      <c r="T253" s="1">
        <v>131</v>
      </c>
      <c r="U253" s="1">
        <v>349</v>
      </c>
      <c r="V253" s="1">
        <v>751</v>
      </c>
      <c r="W253" s="1">
        <v>925</v>
      </c>
      <c r="X253" s="1">
        <v>2998</v>
      </c>
      <c r="Y253" s="1">
        <v>5584</v>
      </c>
      <c r="Z253" s="1">
        <v>6531</v>
      </c>
      <c r="AA253" s="1">
        <v>7670</v>
      </c>
      <c r="AB253" s="1">
        <v>8473</v>
      </c>
      <c r="AC253" s="1">
        <v>10603</v>
      </c>
      <c r="AD253" s="1">
        <v>10652</v>
      </c>
      <c r="AE253" s="1">
        <v>11043</v>
      </c>
      <c r="AF253" s="1">
        <v>10823</v>
      </c>
      <c r="AG253" s="1">
        <v>11185</v>
      </c>
      <c r="AH253" s="1">
        <v>10807</v>
      </c>
      <c r="AI253" s="1">
        <v>10372</v>
      </c>
      <c r="AJ253" s="1">
        <v>10161</v>
      </c>
      <c r="AK253" s="1">
        <v>9395</v>
      </c>
      <c r="AL253" s="1">
        <v>9889</v>
      </c>
      <c r="AM253" s="1">
        <v>9826</v>
      </c>
      <c r="AN253" s="1">
        <v>8560</v>
      </c>
      <c r="AO253" s="1">
        <v>9246</v>
      </c>
      <c r="AP253" s="1">
        <v>8950</v>
      </c>
      <c r="AQ253" s="1">
        <v>9336</v>
      </c>
      <c r="AR253" s="1">
        <v>9122</v>
      </c>
      <c r="AS253" s="1">
        <v>9510</v>
      </c>
      <c r="AT253" s="1">
        <v>9584</v>
      </c>
      <c r="AU253" s="1">
        <v>9347</v>
      </c>
      <c r="AV253" s="1">
        <v>9733</v>
      </c>
      <c r="AW253" s="1">
        <v>9483</v>
      </c>
      <c r="AX253" s="1">
        <v>9850</v>
      </c>
      <c r="AY253" s="1"/>
      <c r="BA253" s="21">
        <f t="shared" si="186"/>
        <v>1329</v>
      </c>
      <c r="BB253" s="22">
        <f t="shared" si="187"/>
        <v>110.75</v>
      </c>
      <c r="BD253" s="7">
        <f t="shared" si="188"/>
        <v>17963</v>
      </c>
      <c r="BE253" s="7">
        <f t="shared" si="189"/>
        <v>16634</v>
      </c>
      <c r="BF253" s="8">
        <f t="shared" si="190"/>
        <v>12.516177577125658</v>
      </c>
      <c r="BG253" s="7">
        <f t="shared" si="191"/>
        <v>1496.9166666666667</v>
      </c>
      <c r="BI253" s="12">
        <f t="shared" si="192"/>
        <v>121073</v>
      </c>
      <c r="BJ253" s="12">
        <f t="shared" si="193"/>
        <v>103110</v>
      </c>
      <c r="BK253" s="13">
        <f t="shared" si="194"/>
        <v>5.7401324945721761</v>
      </c>
      <c r="BL253" s="24">
        <f t="shared" si="195"/>
        <v>10157</v>
      </c>
      <c r="BM253" s="24">
        <f t="shared" si="196"/>
        <v>9954.25</v>
      </c>
      <c r="BO253" s="17">
        <f t="shared" si="197"/>
        <v>112547</v>
      </c>
      <c r="BP253" s="17">
        <f t="shared" si="198"/>
        <v>-8526</v>
      </c>
      <c r="BQ253" s="18">
        <f t="shared" si="199"/>
        <v>-7.042032492793604E-2</v>
      </c>
      <c r="BR253" s="25">
        <f t="shared" si="200"/>
        <v>9378.9166666666661</v>
      </c>
    </row>
    <row r="254" spans="1:70">
      <c r="A254" t="s">
        <v>418</v>
      </c>
      <c r="B254">
        <v>220564</v>
      </c>
      <c r="C254" s="1">
        <v>447</v>
      </c>
      <c r="D254" s="1">
        <v>404</v>
      </c>
      <c r="E254" s="1">
        <v>448</v>
      </c>
      <c r="F254" s="1">
        <v>435</v>
      </c>
      <c r="G254" s="1">
        <v>450</v>
      </c>
      <c r="H254" s="1">
        <v>436</v>
      </c>
      <c r="I254" s="1">
        <v>452</v>
      </c>
      <c r="J254" s="1">
        <v>453</v>
      </c>
      <c r="K254" s="1">
        <v>-1201</v>
      </c>
      <c r="L254" s="1">
        <v>213</v>
      </c>
      <c r="M254" s="1">
        <v>206</v>
      </c>
      <c r="N254" s="1">
        <v>213</v>
      </c>
      <c r="O254" s="1">
        <v>214</v>
      </c>
      <c r="P254" s="1">
        <v>112</v>
      </c>
      <c r="Q254" s="1">
        <v>3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/>
      <c r="BA254" s="21">
        <f t="shared" si="186"/>
        <v>2956</v>
      </c>
      <c r="BB254" s="22">
        <f t="shared" si="187"/>
        <v>246.33333333333334</v>
      </c>
      <c r="BD254" s="7">
        <f t="shared" si="188"/>
        <v>329</v>
      </c>
      <c r="BE254" s="7">
        <f t="shared" si="189"/>
        <v>-2627</v>
      </c>
      <c r="BF254" s="8">
        <f t="shared" si="190"/>
        <v>-0.88870094722598103</v>
      </c>
      <c r="BG254" s="7">
        <f t="shared" si="191"/>
        <v>27.416666666666668</v>
      </c>
      <c r="BI254" s="12">
        <f t="shared" si="192"/>
        <v>0</v>
      </c>
      <c r="BJ254" s="12">
        <f t="shared" si="193"/>
        <v>-329</v>
      </c>
      <c r="BK254" s="13">
        <f t="shared" si="194"/>
        <v>-1</v>
      </c>
      <c r="BL254" s="24">
        <f t="shared" si="195"/>
        <v>0</v>
      </c>
      <c r="BM254" s="24">
        <f t="shared" si="196"/>
        <v>0</v>
      </c>
      <c r="BO254" s="17">
        <f t="shared" si="197"/>
        <v>0</v>
      </c>
      <c r="BP254" s="17">
        <f t="shared" si="198"/>
        <v>0</v>
      </c>
      <c r="BQ254" s="18" t="e">
        <f t="shared" si="199"/>
        <v>#DIV/0!</v>
      </c>
      <c r="BR254" s="25">
        <f t="shared" si="200"/>
        <v>0</v>
      </c>
    </row>
    <row r="255" spans="1:70">
      <c r="A255" t="s">
        <v>419</v>
      </c>
      <c r="B255">
        <v>220560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23</v>
      </c>
      <c r="N255" s="1">
        <v>50</v>
      </c>
      <c r="O255" s="1">
        <v>50</v>
      </c>
      <c r="P255" s="1">
        <v>47</v>
      </c>
      <c r="Q255" s="1">
        <v>51</v>
      </c>
      <c r="R255" s="1">
        <v>49</v>
      </c>
      <c r="S255" s="1">
        <v>51</v>
      </c>
      <c r="T255" s="1">
        <v>633</v>
      </c>
      <c r="U255" s="1">
        <v>807</v>
      </c>
      <c r="V255" s="1">
        <v>809</v>
      </c>
      <c r="W255" s="1">
        <v>785</v>
      </c>
      <c r="X255" s="1">
        <v>813</v>
      </c>
      <c r="Y255" s="1">
        <v>789</v>
      </c>
      <c r="Z255" s="1">
        <v>817</v>
      </c>
      <c r="AA255" s="1">
        <v>819</v>
      </c>
      <c r="AB255" s="1">
        <v>741</v>
      </c>
      <c r="AC255" s="1">
        <v>823</v>
      </c>
      <c r="AD255" s="1">
        <v>798</v>
      </c>
      <c r="AE255" s="1">
        <v>801</v>
      </c>
      <c r="AF255" s="1">
        <v>751</v>
      </c>
      <c r="AG255" s="1">
        <v>778</v>
      </c>
      <c r="AH255" s="1">
        <v>780</v>
      </c>
      <c r="AI255" s="1">
        <v>756</v>
      </c>
      <c r="AJ255" s="1">
        <v>782</v>
      </c>
      <c r="AK255" s="1">
        <v>758</v>
      </c>
      <c r="AL255" s="1">
        <v>421</v>
      </c>
      <c r="AM255" s="1">
        <v>58</v>
      </c>
      <c r="AN255" s="1">
        <v>53</v>
      </c>
      <c r="AO255" s="1">
        <v>59</v>
      </c>
      <c r="AP255" s="1">
        <v>57</v>
      </c>
      <c r="AQ255" s="1">
        <v>60</v>
      </c>
      <c r="AR255" s="1">
        <v>58</v>
      </c>
      <c r="AS255" s="1">
        <v>61</v>
      </c>
      <c r="AT255" s="1">
        <v>61</v>
      </c>
      <c r="AU255" s="1">
        <v>60</v>
      </c>
      <c r="AV255" s="1">
        <v>62</v>
      </c>
      <c r="AW255" s="1">
        <v>60</v>
      </c>
      <c r="AX255" s="1">
        <v>63</v>
      </c>
      <c r="AY255" s="1"/>
      <c r="BA255" s="21">
        <f t="shared" si="186"/>
        <v>73</v>
      </c>
      <c r="BB255" s="22">
        <f t="shared" si="187"/>
        <v>6.083333333333333</v>
      </c>
      <c r="BD255" s="7">
        <f t="shared" si="188"/>
        <v>5701</v>
      </c>
      <c r="BE255" s="7">
        <f t="shared" si="189"/>
        <v>5628</v>
      </c>
      <c r="BF255" s="8">
        <f t="shared" si="190"/>
        <v>77.095890410958901</v>
      </c>
      <c r="BG255" s="7">
        <f t="shared" si="191"/>
        <v>475.08333333333331</v>
      </c>
      <c r="BI255" s="12">
        <f t="shared" si="192"/>
        <v>9008</v>
      </c>
      <c r="BJ255" s="12">
        <f t="shared" si="193"/>
        <v>3307</v>
      </c>
      <c r="BK255" s="13">
        <f t="shared" si="194"/>
        <v>0.58007367128573928</v>
      </c>
      <c r="BL255" s="24">
        <f t="shared" si="195"/>
        <v>786.375</v>
      </c>
      <c r="BM255" s="24">
        <f t="shared" si="196"/>
        <v>679.25</v>
      </c>
      <c r="BO255" s="17">
        <f t="shared" si="197"/>
        <v>712</v>
      </c>
      <c r="BP255" s="17">
        <f t="shared" si="198"/>
        <v>-8296</v>
      </c>
      <c r="BQ255" s="18">
        <f t="shared" si="199"/>
        <v>-0.92095914742451157</v>
      </c>
      <c r="BR255" s="25">
        <f t="shared" si="200"/>
        <v>59.333333333333336</v>
      </c>
    </row>
    <row r="256" spans="1:70">
      <c r="A256" t="s">
        <v>420</v>
      </c>
      <c r="B256">
        <v>220565</v>
      </c>
      <c r="C256" s="1">
        <v>46</v>
      </c>
      <c r="D256" s="1">
        <v>41</v>
      </c>
      <c r="E256" s="1">
        <v>46</v>
      </c>
      <c r="F256" s="1">
        <v>44</v>
      </c>
      <c r="G256" s="1">
        <v>46</v>
      </c>
      <c r="H256" s="1">
        <v>44</v>
      </c>
      <c r="I256" s="1">
        <v>179</v>
      </c>
      <c r="J256" s="1">
        <v>185</v>
      </c>
      <c r="K256" s="1">
        <v>184</v>
      </c>
      <c r="L256" s="1">
        <v>199</v>
      </c>
      <c r="M256" s="1">
        <v>202</v>
      </c>
      <c r="N256" s="1">
        <v>209</v>
      </c>
      <c r="O256" s="1">
        <v>209</v>
      </c>
      <c r="P256" s="1">
        <v>196</v>
      </c>
      <c r="Q256" s="1">
        <v>213</v>
      </c>
      <c r="R256" s="1">
        <v>207</v>
      </c>
      <c r="S256" s="1">
        <v>214</v>
      </c>
      <c r="T256" s="1">
        <v>208</v>
      </c>
      <c r="U256" s="1">
        <v>215</v>
      </c>
      <c r="V256" s="1">
        <v>215</v>
      </c>
      <c r="W256" s="1">
        <v>209</v>
      </c>
      <c r="X256" s="1">
        <v>216</v>
      </c>
      <c r="Y256" s="1">
        <v>209</v>
      </c>
      <c r="Z256" s="1">
        <v>217</v>
      </c>
      <c r="AA256" s="1">
        <v>285</v>
      </c>
      <c r="AB256" s="1">
        <v>343</v>
      </c>
      <c r="AC256" s="1">
        <v>314</v>
      </c>
      <c r="AD256" s="1">
        <v>305</v>
      </c>
      <c r="AE256" s="1">
        <v>360</v>
      </c>
      <c r="AF256" s="1">
        <v>498</v>
      </c>
      <c r="AG256" s="1">
        <v>426</v>
      </c>
      <c r="AH256" s="1">
        <v>430</v>
      </c>
      <c r="AI256" s="1">
        <v>418</v>
      </c>
      <c r="AJ256" s="1">
        <v>432</v>
      </c>
      <c r="AK256" s="1">
        <v>421</v>
      </c>
      <c r="AL256" s="1">
        <v>445</v>
      </c>
      <c r="AM256" s="1">
        <v>451</v>
      </c>
      <c r="AN256" s="1">
        <v>408</v>
      </c>
      <c r="AO256" s="1">
        <v>452</v>
      </c>
      <c r="AP256" s="1">
        <v>439</v>
      </c>
      <c r="AQ256" s="1">
        <v>456</v>
      </c>
      <c r="AR256" s="1">
        <v>444</v>
      </c>
      <c r="AS256" s="1">
        <v>461</v>
      </c>
      <c r="AT256" s="1">
        <v>463</v>
      </c>
      <c r="AU256" s="1">
        <v>451</v>
      </c>
      <c r="AV256" s="1">
        <v>468</v>
      </c>
      <c r="AW256" s="1">
        <v>455</v>
      </c>
      <c r="AX256" s="1">
        <v>472</v>
      </c>
      <c r="AY256" s="1"/>
      <c r="BA256" s="21">
        <f t="shared" si="186"/>
        <v>1425</v>
      </c>
      <c r="BB256" s="22">
        <f t="shared" si="187"/>
        <v>118.75</v>
      </c>
      <c r="BD256" s="7">
        <f t="shared" si="188"/>
        <v>2528</v>
      </c>
      <c r="BE256" s="7">
        <f t="shared" si="189"/>
        <v>1103</v>
      </c>
      <c r="BF256" s="8">
        <f t="shared" si="190"/>
        <v>0.7740350877192983</v>
      </c>
      <c r="BG256" s="7">
        <f t="shared" si="191"/>
        <v>210.66666666666666</v>
      </c>
      <c r="BI256" s="12">
        <f t="shared" si="192"/>
        <v>4677</v>
      </c>
      <c r="BJ256" s="12">
        <f t="shared" si="193"/>
        <v>2149</v>
      </c>
      <c r="BK256" s="13">
        <f t="shared" si="194"/>
        <v>0.85007911392405067</v>
      </c>
      <c r="BL256" s="24">
        <f t="shared" si="195"/>
        <v>370.125</v>
      </c>
      <c r="BM256" s="24">
        <f t="shared" si="196"/>
        <v>429</v>
      </c>
      <c r="BO256" s="17">
        <f t="shared" si="197"/>
        <v>5420</v>
      </c>
      <c r="BP256" s="17">
        <f t="shared" si="198"/>
        <v>743</v>
      </c>
      <c r="BQ256" s="18">
        <f t="shared" si="199"/>
        <v>0.15886251870857393</v>
      </c>
      <c r="BR256" s="25">
        <f t="shared" si="200"/>
        <v>451.66666666666669</v>
      </c>
    </row>
    <row r="257" spans="1:70">
      <c r="A257" t="s">
        <v>421</v>
      </c>
      <c r="B257">
        <v>220566</v>
      </c>
      <c r="C257" s="1">
        <v>2862</v>
      </c>
      <c r="D257" s="1">
        <v>2820</v>
      </c>
      <c r="E257" s="1">
        <v>3501</v>
      </c>
      <c r="F257" s="1">
        <v>3676</v>
      </c>
      <c r="G257" s="1">
        <v>3899</v>
      </c>
      <c r="H257" s="1">
        <v>3784</v>
      </c>
      <c r="I257" s="1">
        <v>3922</v>
      </c>
      <c r="J257" s="1">
        <v>3934</v>
      </c>
      <c r="K257" s="1">
        <v>3818</v>
      </c>
      <c r="L257" s="1">
        <v>3037</v>
      </c>
      <c r="M257" s="1">
        <v>3054</v>
      </c>
      <c r="N257" s="1">
        <v>3165</v>
      </c>
      <c r="O257" s="1">
        <v>3174</v>
      </c>
      <c r="P257" s="1">
        <v>2978</v>
      </c>
      <c r="Q257" s="1">
        <v>3193</v>
      </c>
      <c r="R257" s="1">
        <v>3099</v>
      </c>
      <c r="S257" s="1">
        <v>3211</v>
      </c>
      <c r="T257" s="1">
        <v>3117</v>
      </c>
      <c r="U257" s="1">
        <v>3230</v>
      </c>
      <c r="V257" s="1">
        <v>3240</v>
      </c>
      <c r="W257" s="1">
        <v>3145</v>
      </c>
      <c r="X257" s="1">
        <v>3259</v>
      </c>
      <c r="Y257" s="1">
        <v>3163</v>
      </c>
      <c r="Z257" s="1">
        <v>3278</v>
      </c>
      <c r="AA257" s="1">
        <v>2869</v>
      </c>
      <c r="AB257" s="1">
        <v>1551</v>
      </c>
      <c r="AC257" s="1">
        <v>1087</v>
      </c>
      <c r="AD257" s="1">
        <v>1003</v>
      </c>
      <c r="AE257" s="1">
        <v>760</v>
      </c>
      <c r="AF257" s="1">
        <v>401</v>
      </c>
      <c r="AG257" s="1">
        <v>93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/>
      <c r="BA257" s="21">
        <f t="shared" si="186"/>
        <v>41472</v>
      </c>
      <c r="BB257" s="22">
        <f t="shared" si="187"/>
        <v>3456</v>
      </c>
      <c r="BD257" s="7">
        <f t="shared" si="188"/>
        <v>38087</v>
      </c>
      <c r="BE257" s="7">
        <f t="shared" si="189"/>
        <v>-3385</v>
      </c>
      <c r="BF257" s="8">
        <f t="shared" si="190"/>
        <v>-8.1621334876543217E-2</v>
      </c>
      <c r="BG257" s="7">
        <f t="shared" si="191"/>
        <v>3173.9166666666665</v>
      </c>
      <c r="BI257" s="12">
        <f t="shared" si="192"/>
        <v>7764</v>
      </c>
      <c r="BJ257" s="12">
        <f t="shared" si="193"/>
        <v>-30323</v>
      </c>
      <c r="BK257" s="13">
        <f t="shared" si="194"/>
        <v>-0.7961509176359387</v>
      </c>
      <c r="BL257" s="24">
        <f t="shared" si="195"/>
        <v>970.5</v>
      </c>
      <c r="BM257" s="24">
        <f t="shared" si="196"/>
        <v>0</v>
      </c>
      <c r="BO257" s="17">
        <f t="shared" si="197"/>
        <v>0</v>
      </c>
      <c r="BP257" s="17">
        <f t="shared" si="198"/>
        <v>-7764</v>
      </c>
      <c r="BQ257" s="18">
        <f t="shared" si="199"/>
        <v>-1</v>
      </c>
      <c r="BR257" s="25">
        <f t="shared" si="200"/>
        <v>0</v>
      </c>
    </row>
    <row r="258" spans="1:70">
      <c r="A258" t="s">
        <v>423</v>
      </c>
      <c r="B258">
        <v>220568</v>
      </c>
      <c r="C258" s="1">
        <v>78</v>
      </c>
      <c r="D258" s="1">
        <v>62</v>
      </c>
      <c r="E258" s="1">
        <v>26</v>
      </c>
      <c r="F258" s="1">
        <v>13</v>
      </c>
      <c r="G258" s="1">
        <v>1</v>
      </c>
      <c r="H258" s="1">
        <v>10</v>
      </c>
      <c r="I258" s="1">
        <v>78</v>
      </c>
      <c r="J258" s="1">
        <v>91</v>
      </c>
      <c r="K258" s="1">
        <v>88</v>
      </c>
      <c r="L258" s="1">
        <v>66</v>
      </c>
      <c r="M258" s="1">
        <v>-36</v>
      </c>
      <c r="N258" s="1">
        <v>10</v>
      </c>
      <c r="O258" s="1">
        <v>10</v>
      </c>
      <c r="P258" s="1">
        <v>9</v>
      </c>
      <c r="Q258" s="1">
        <v>10</v>
      </c>
      <c r="R258" s="1">
        <v>10</v>
      </c>
      <c r="S258" s="1">
        <v>10</v>
      </c>
      <c r="T258" s="1">
        <v>10</v>
      </c>
      <c r="U258" s="1">
        <v>10</v>
      </c>
      <c r="V258" s="1">
        <v>10</v>
      </c>
      <c r="W258" s="1">
        <v>10</v>
      </c>
      <c r="X258" s="1">
        <v>11</v>
      </c>
      <c r="Y258" s="1">
        <v>18</v>
      </c>
      <c r="Z258" s="1">
        <v>19</v>
      </c>
      <c r="AA258" s="1">
        <v>19</v>
      </c>
      <c r="AB258" s="1">
        <v>17</v>
      </c>
      <c r="AC258" s="1">
        <v>19</v>
      </c>
      <c r="AD258" s="1">
        <v>18</v>
      </c>
      <c r="AE258" s="1">
        <v>19</v>
      </c>
      <c r="AF258" s="1">
        <v>19</v>
      </c>
      <c r="AG258" s="1">
        <v>19</v>
      </c>
      <c r="AH258" s="1">
        <v>19</v>
      </c>
      <c r="AI258" s="1">
        <v>19</v>
      </c>
      <c r="AJ258" s="1">
        <v>19</v>
      </c>
      <c r="AK258" s="1">
        <v>19</v>
      </c>
      <c r="AL258" s="1">
        <v>20</v>
      </c>
      <c r="AM258" s="1">
        <v>20</v>
      </c>
      <c r="AN258" s="1">
        <v>16</v>
      </c>
      <c r="AO258" s="1">
        <v>15</v>
      </c>
      <c r="AP258" s="1">
        <v>15</v>
      </c>
      <c r="AQ258" s="1">
        <v>15</v>
      </c>
      <c r="AR258" s="1">
        <v>15</v>
      </c>
      <c r="AS258" s="1">
        <v>16</v>
      </c>
      <c r="AT258" s="1">
        <v>16</v>
      </c>
      <c r="AU258" s="1">
        <v>15</v>
      </c>
      <c r="AV258" s="1">
        <v>16</v>
      </c>
      <c r="AW258" s="1">
        <v>15</v>
      </c>
      <c r="AX258" s="1">
        <v>16</v>
      </c>
      <c r="AY258" s="1"/>
      <c r="BA258" s="21">
        <f t="shared" si="186"/>
        <v>487</v>
      </c>
      <c r="BB258" s="22">
        <f t="shared" si="187"/>
        <v>40.583333333333336</v>
      </c>
      <c r="BD258" s="7">
        <f t="shared" si="188"/>
        <v>137</v>
      </c>
      <c r="BE258" s="7">
        <f t="shared" si="189"/>
        <v>-350</v>
      </c>
      <c r="BF258" s="8">
        <f t="shared" si="190"/>
        <v>-0.71868583162217659</v>
      </c>
      <c r="BG258" s="7">
        <f t="shared" si="191"/>
        <v>11.416666666666666</v>
      </c>
      <c r="BI258" s="12">
        <f t="shared" si="192"/>
        <v>226</v>
      </c>
      <c r="BJ258" s="12">
        <f t="shared" si="193"/>
        <v>89</v>
      </c>
      <c r="BK258" s="13">
        <f t="shared" si="194"/>
        <v>0.64963503649635035</v>
      </c>
      <c r="BL258" s="24">
        <f t="shared" si="195"/>
        <v>18.625</v>
      </c>
      <c r="BM258" s="24">
        <f t="shared" si="196"/>
        <v>19.25</v>
      </c>
      <c r="BO258" s="17">
        <f t="shared" si="197"/>
        <v>190</v>
      </c>
      <c r="BP258" s="17">
        <f t="shared" si="198"/>
        <v>-36</v>
      </c>
      <c r="BQ258" s="18">
        <f t="shared" si="199"/>
        <v>-0.15929203539823011</v>
      </c>
      <c r="BR258" s="25">
        <f t="shared" si="200"/>
        <v>15.833333333333334</v>
      </c>
    </row>
    <row r="259" spans="1:70">
      <c r="A259" t="s">
        <v>424</v>
      </c>
      <c r="B259">
        <v>220571</v>
      </c>
      <c r="C259" s="1">
        <v>49</v>
      </c>
      <c r="D259" s="1">
        <v>43</v>
      </c>
      <c r="E259" s="1">
        <v>4</v>
      </c>
      <c r="F259" s="1">
        <v>2</v>
      </c>
      <c r="G259" s="1">
        <v>2</v>
      </c>
      <c r="H259" s="1">
        <v>2</v>
      </c>
      <c r="I259" s="1">
        <v>2</v>
      </c>
      <c r="J259" s="1">
        <v>2</v>
      </c>
      <c r="K259" s="1">
        <v>2</v>
      </c>
      <c r="L259" s="1">
        <v>2</v>
      </c>
      <c r="M259" s="1">
        <v>2</v>
      </c>
      <c r="N259" s="1">
        <v>2</v>
      </c>
      <c r="O259" s="1">
        <v>2</v>
      </c>
      <c r="P259" s="1">
        <v>2</v>
      </c>
      <c r="Q259" s="1">
        <v>2</v>
      </c>
      <c r="R259" s="1">
        <v>2</v>
      </c>
      <c r="S259" s="1">
        <v>2</v>
      </c>
      <c r="T259" s="1">
        <v>2</v>
      </c>
      <c r="U259" s="1">
        <v>2</v>
      </c>
      <c r="V259" s="1">
        <v>2</v>
      </c>
      <c r="W259" s="1">
        <v>2</v>
      </c>
      <c r="X259" s="1">
        <v>2</v>
      </c>
      <c r="Y259" s="1">
        <v>2</v>
      </c>
      <c r="Z259" s="1">
        <v>2</v>
      </c>
      <c r="AA259" s="1">
        <v>2</v>
      </c>
      <c r="AB259" s="1">
        <v>2</v>
      </c>
      <c r="AC259" s="1">
        <v>2</v>
      </c>
      <c r="AD259" s="1">
        <v>2</v>
      </c>
      <c r="AE259" s="1">
        <v>2</v>
      </c>
      <c r="AF259" s="1">
        <v>2</v>
      </c>
      <c r="AG259" s="1">
        <v>2</v>
      </c>
      <c r="AH259" s="1">
        <v>2</v>
      </c>
      <c r="AI259" s="1">
        <v>2</v>
      </c>
      <c r="AJ259" s="1">
        <v>3</v>
      </c>
      <c r="AK259" s="1">
        <v>3</v>
      </c>
      <c r="AL259" s="1">
        <v>3</v>
      </c>
      <c r="AM259" s="1">
        <v>3</v>
      </c>
      <c r="AN259" s="1">
        <v>3</v>
      </c>
      <c r="AO259" s="1">
        <v>3</v>
      </c>
      <c r="AP259" s="1">
        <v>3</v>
      </c>
      <c r="AQ259" s="1">
        <v>3</v>
      </c>
      <c r="AR259" s="1">
        <v>3</v>
      </c>
      <c r="AS259" s="1">
        <v>3</v>
      </c>
      <c r="AT259" s="1">
        <v>3</v>
      </c>
      <c r="AU259" s="1">
        <v>3</v>
      </c>
      <c r="AV259" s="1">
        <v>3</v>
      </c>
      <c r="AW259" s="1">
        <v>3</v>
      </c>
      <c r="AX259" s="1">
        <v>3</v>
      </c>
      <c r="AY259" s="1"/>
      <c r="BA259" s="21">
        <f t="shared" si="186"/>
        <v>114</v>
      </c>
      <c r="BB259" s="22">
        <f t="shared" si="187"/>
        <v>9.5</v>
      </c>
      <c r="BD259" s="7">
        <f t="shared" si="188"/>
        <v>24</v>
      </c>
      <c r="BE259" s="7">
        <f t="shared" si="189"/>
        <v>-90</v>
      </c>
      <c r="BF259" s="8">
        <f t="shared" si="190"/>
        <v>-0.78947368421052633</v>
      </c>
      <c r="BG259" s="7">
        <f t="shared" si="191"/>
        <v>2</v>
      </c>
      <c r="BI259" s="12">
        <f t="shared" si="192"/>
        <v>27</v>
      </c>
      <c r="BJ259" s="12">
        <f t="shared" si="193"/>
        <v>3</v>
      </c>
      <c r="BK259" s="13">
        <f t="shared" si="194"/>
        <v>0.125</v>
      </c>
      <c r="BL259" s="24">
        <f t="shared" si="195"/>
        <v>2</v>
      </c>
      <c r="BM259" s="24">
        <f t="shared" si="196"/>
        <v>2.75</v>
      </c>
      <c r="BO259" s="17">
        <f t="shared" si="197"/>
        <v>36</v>
      </c>
      <c r="BP259" s="17">
        <f t="shared" si="198"/>
        <v>9</v>
      </c>
      <c r="BQ259" s="18">
        <f t="shared" si="199"/>
        <v>0.33333333333333326</v>
      </c>
      <c r="BR259" s="25">
        <f t="shared" si="200"/>
        <v>3</v>
      </c>
    </row>
    <row r="260" spans="1:70">
      <c r="A260" t="s">
        <v>425</v>
      </c>
      <c r="B260">
        <v>220574</v>
      </c>
      <c r="C260" s="1">
        <v>130</v>
      </c>
      <c r="D260" s="1">
        <v>118</v>
      </c>
      <c r="E260" s="1">
        <v>113</v>
      </c>
      <c r="F260" s="1">
        <v>92</v>
      </c>
      <c r="G260" s="1">
        <v>95</v>
      </c>
      <c r="H260" s="1">
        <v>92</v>
      </c>
      <c r="I260" s="1">
        <v>95</v>
      </c>
      <c r="J260" s="1">
        <v>96</v>
      </c>
      <c r="K260" s="1">
        <v>93</v>
      </c>
      <c r="L260" s="1">
        <v>96</v>
      </c>
      <c r="M260" s="1">
        <v>93</v>
      </c>
      <c r="N260" s="1">
        <v>96</v>
      </c>
      <c r="O260" s="1">
        <v>96</v>
      </c>
      <c r="P260" s="1">
        <v>84</v>
      </c>
      <c r="Q260" s="1">
        <v>47</v>
      </c>
      <c r="R260" s="1">
        <v>45</v>
      </c>
      <c r="S260" s="1">
        <v>47</v>
      </c>
      <c r="T260" s="1">
        <v>46</v>
      </c>
      <c r="U260" s="1">
        <v>47</v>
      </c>
      <c r="V260" s="1">
        <v>47</v>
      </c>
      <c r="W260" s="1">
        <v>46</v>
      </c>
      <c r="X260" s="1">
        <v>47</v>
      </c>
      <c r="Y260" s="1">
        <v>46</v>
      </c>
      <c r="Z260" s="1">
        <v>47</v>
      </c>
      <c r="AA260" s="1">
        <v>48</v>
      </c>
      <c r="AB260" s="1">
        <v>43</v>
      </c>
      <c r="AC260" s="1">
        <v>25</v>
      </c>
      <c r="AD260" s="1">
        <v>12</v>
      </c>
      <c r="AE260" s="1">
        <v>12</v>
      </c>
      <c r="AF260" s="1">
        <v>12</v>
      </c>
      <c r="AG260" s="1">
        <v>12</v>
      </c>
      <c r="AH260" s="1">
        <v>12</v>
      </c>
      <c r="AI260" s="1">
        <v>12</v>
      </c>
      <c r="AJ260" s="1">
        <v>12</v>
      </c>
      <c r="AK260" s="1">
        <v>12</v>
      </c>
      <c r="AL260" s="1">
        <v>13</v>
      </c>
      <c r="AM260" s="1">
        <v>13</v>
      </c>
      <c r="AN260" s="1">
        <v>12</v>
      </c>
      <c r="AO260" s="1">
        <v>14</v>
      </c>
      <c r="AP260" s="1">
        <v>14</v>
      </c>
      <c r="AQ260" s="1">
        <v>15</v>
      </c>
      <c r="AR260" s="1">
        <v>14</v>
      </c>
      <c r="AS260" s="1">
        <v>15</v>
      </c>
      <c r="AT260" s="1">
        <v>15</v>
      </c>
      <c r="AU260" s="1">
        <v>15</v>
      </c>
      <c r="AV260" s="1">
        <v>16</v>
      </c>
      <c r="AW260" s="1">
        <v>15</v>
      </c>
      <c r="AX260" s="1">
        <v>16</v>
      </c>
      <c r="AY260" s="1"/>
      <c r="BA260" s="21">
        <f t="shared" si="186"/>
        <v>1209</v>
      </c>
      <c r="BB260" s="22">
        <f t="shared" si="187"/>
        <v>100.75</v>
      </c>
      <c r="BD260" s="7">
        <f t="shared" si="188"/>
        <v>645</v>
      </c>
      <c r="BE260" s="7">
        <f t="shared" si="189"/>
        <v>-564</v>
      </c>
      <c r="BF260" s="8">
        <f t="shared" si="190"/>
        <v>-0.46650124069478904</v>
      </c>
      <c r="BG260" s="7">
        <f t="shared" si="191"/>
        <v>53.75</v>
      </c>
      <c r="BI260" s="12">
        <f t="shared" si="192"/>
        <v>225</v>
      </c>
      <c r="BJ260" s="12">
        <f t="shared" si="193"/>
        <v>-420</v>
      </c>
      <c r="BK260" s="13">
        <f t="shared" si="194"/>
        <v>-0.65116279069767447</v>
      </c>
      <c r="BL260" s="24">
        <f t="shared" si="195"/>
        <v>22</v>
      </c>
      <c r="BM260" s="24">
        <f t="shared" si="196"/>
        <v>12.25</v>
      </c>
      <c r="BO260" s="17">
        <f t="shared" si="197"/>
        <v>174</v>
      </c>
      <c r="BP260" s="17">
        <f t="shared" si="198"/>
        <v>-51</v>
      </c>
      <c r="BQ260" s="18">
        <f t="shared" si="199"/>
        <v>-0.22666666666666668</v>
      </c>
      <c r="BR260" s="25">
        <f t="shared" si="200"/>
        <v>14.5</v>
      </c>
    </row>
    <row r="261" spans="1:70">
      <c r="A261" t="s">
        <v>426</v>
      </c>
      <c r="B261">
        <v>220577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53</v>
      </c>
      <c r="W261" s="1">
        <v>122</v>
      </c>
      <c r="X261" s="1">
        <v>126</v>
      </c>
      <c r="Y261" s="1">
        <v>122</v>
      </c>
      <c r="Z261" s="1">
        <v>127</v>
      </c>
      <c r="AA261" s="1">
        <v>127</v>
      </c>
      <c r="AB261" s="1">
        <v>121</v>
      </c>
      <c r="AC261" s="1">
        <v>142</v>
      </c>
      <c r="AD261" s="1">
        <v>228</v>
      </c>
      <c r="AE261" s="1">
        <v>398</v>
      </c>
      <c r="AF261" s="1">
        <v>386</v>
      </c>
      <c r="AG261" s="1">
        <v>400</v>
      </c>
      <c r="AH261" s="1">
        <v>395</v>
      </c>
      <c r="AI261" s="1">
        <v>378</v>
      </c>
      <c r="AJ261" s="1">
        <v>394</v>
      </c>
      <c r="AK261" s="1">
        <v>392</v>
      </c>
      <c r="AL261" s="1">
        <v>422</v>
      </c>
      <c r="AM261" s="1">
        <v>431</v>
      </c>
      <c r="AN261" s="1">
        <v>391</v>
      </c>
      <c r="AO261" s="1">
        <v>435</v>
      </c>
      <c r="AP261" s="1">
        <v>436</v>
      </c>
      <c r="AQ261" s="1">
        <v>468</v>
      </c>
      <c r="AR261" s="1">
        <v>457</v>
      </c>
      <c r="AS261" s="1">
        <v>476</v>
      </c>
      <c r="AT261" s="1">
        <v>487</v>
      </c>
      <c r="AU261" s="1">
        <v>482</v>
      </c>
      <c r="AV261" s="1">
        <v>502</v>
      </c>
      <c r="AW261" s="1">
        <v>489</v>
      </c>
      <c r="AX261" s="1">
        <v>508</v>
      </c>
      <c r="AY261" s="1"/>
      <c r="BA261" s="21">
        <f t="shared" si="186"/>
        <v>0</v>
      </c>
      <c r="BB261" s="22">
        <f t="shared" si="187"/>
        <v>0</v>
      </c>
      <c r="BD261" s="7">
        <f t="shared" si="188"/>
        <v>550</v>
      </c>
      <c r="BE261" s="7">
        <f t="shared" si="189"/>
        <v>550</v>
      </c>
      <c r="BF261" s="8" t="e">
        <f t="shared" si="190"/>
        <v>#DIV/0!</v>
      </c>
      <c r="BG261" s="7">
        <f t="shared" si="191"/>
        <v>45.833333333333336</v>
      </c>
      <c r="BI261" s="12">
        <f t="shared" si="192"/>
        <v>3783</v>
      </c>
      <c r="BJ261" s="12">
        <f t="shared" si="193"/>
        <v>3233</v>
      </c>
      <c r="BK261" s="13">
        <f t="shared" si="194"/>
        <v>5.878181818181818</v>
      </c>
      <c r="BL261" s="24">
        <f t="shared" si="195"/>
        <v>274.625</v>
      </c>
      <c r="BM261" s="24">
        <f t="shared" si="196"/>
        <v>396.5</v>
      </c>
      <c r="BO261" s="17">
        <f t="shared" si="197"/>
        <v>5562</v>
      </c>
      <c r="BP261" s="17">
        <f t="shared" si="198"/>
        <v>1779</v>
      </c>
      <c r="BQ261" s="18">
        <f t="shared" si="199"/>
        <v>0.47026169706582088</v>
      </c>
      <c r="BR261" s="25">
        <f t="shared" si="200"/>
        <v>463.5</v>
      </c>
    </row>
    <row r="262" spans="1:70">
      <c r="A262" t="s">
        <v>431</v>
      </c>
      <c r="B262">
        <v>220592</v>
      </c>
      <c r="C262" s="1">
        <v>2710</v>
      </c>
      <c r="D262" s="1">
        <v>2455</v>
      </c>
      <c r="E262" s="1">
        <v>2726</v>
      </c>
      <c r="F262" s="1">
        <v>2646</v>
      </c>
      <c r="G262" s="1">
        <v>215</v>
      </c>
      <c r="H262" s="1">
        <v>960</v>
      </c>
      <c r="I262" s="1">
        <v>1640</v>
      </c>
      <c r="J262" s="1">
        <v>1645</v>
      </c>
      <c r="K262" s="1">
        <v>1596</v>
      </c>
      <c r="L262" s="1">
        <v>1654</v>
      </c>
      <c r="M262" s="1">
        <v>1611</v>
      </c>
      <c r="N262" s="1">
        <v>1830</v>
      </c>
      <c r="O262" s="1">
        <v>1872</v>
      </c>
      <c r="P262" s="1">
        <v>1757</v>
      </c>
      <c r="Q262" s="1">
        <v>1884</v>
      </c>
      <c r="R262" s="1">
        <v>1829</v>
      </c>
      <c r="S262" s="1">
        <v>1840</v>
      </c>
      <c r="T262" s="1">
        <v>968</v>
      </c>
      <c r="U262" s="1">
        <v>906</v>
      </c>
      <c r="V262" s="1">
        <v>1028</v>
      </c>
      <c r="W262" s="1">
        <v>1649</v>
      </c>
      <c r="X262" s="1">
        <v>2160</v>
      </c>
      <c r="Y262" s="1">
        <v>21168</v>
      </c>
      <c r="Z262" s="1">
        <v>67957</v>
      </c>
      <c r="AA262" s="1">
        <v>68187</v>
      </c>
      <c r="AB262" s="1">
        <v>61795</v>
      </c>
      <c r="AC262" s="1">
        <v>67970</v>
      </c>
      <c r="AD262" s="1">
        <v>65603</v>
      </c>
      <c r="AE262" s="1">
        <v>68053</v>
      </c>
      <c r="AF262" s="1">
        <v>65997</v>
      </c>
      <c r="AG262" s="1">
        <v>68445</v>
      </c>
      <c r="AH262" s="1">
        <v>68538</v>
      </c>
      <c r="AI262" s="1">
        <v>66674</v>
      </c>
      <c r="AJ262" s="1">
        <v>69312</v>
      </c>
      <c r="AK262" s="1">
        <v>58793</v>
      </c>
      <c r="AL262" s="1">
        <v>52957</v>
      </c>
      <c r="AM262" s="1">
        <v>53976</v>
      </c>
      <c r="AN262" s="1">
        <v>48897</v>
      </c>
      <c r="AO262" s="1">
        <v>54368</v>
      </c>
      <c r="AP262" s="1">
        <v>52953</v>
      </c>
      <c r="AQ262" s="1">
        <v>52417</v>
      </c>
      <c r="AR262" s="1">
        <v>48353</v>
      </c>
      <c r="AS262" s="1">
        <v>50224</v>
      </c>
      <c r="AT262" s="1">
        <v>50598</v>
      </c>
      <c r="AU262" s="1">
        <v>49323</v>
      </c>
      <c r="AV262" s="1">
        <v>51327</v>
      </c>
      <c r="AW262" s="1">
        <v>49615</v>
      </c>
      <c r="AX262" s="1">
        <v>51126</v>
      </c>
      <c r="AY262" s="1"/>
      <c r="BA262" s="21">
        <f t="shared" si="186"/>
        <v>21688</v>
      </c>
      <c r="BB262" s="22">
        <f t="shared" si="187"/>
        <v>1807.3333333333333</v>
      </c>
      <c r="BD262" s="7">
        <f t="shared" si="188"/>
        <v>105018</v>
      </c>
      <c r="BE262" s="7">
        <f t="shared" si="189"/>
        <v>83330</v>
      </c>
      <c r="BF262" s="8">
        <f t="shared" si="190"/>
        <v>3.8422168941350057</v>
      </c>
      <c r="BG262" s="7">
        <f t="shared" si="191"/>
        <v>8751.5</v>
      </c>
      <c r="BI262" s="12">
        <f t="shared" si="192"/>
        <v>782324</v>
      </c>
      <c r="BJ262" s="12">
        <f t="shared" si="193"/>
        <v>677306</v>
      </c>
      <c r="BK262" s="13">
        <f t="shared" si="194"/>
        <v>6.4494277171532497</v>
      </c>
      <c r="BL262" s="24">
        <f t="shared" si="195"/>
        <v>66823.5</v>
      </c>
      <c r="BM262" s="24">
        <f t="shared" si="196"/>
        <v>61934</v>
      </c>
      <c r="BO262" s="17">
        <f t="shared" si="197"/>
        <v>613177</v>
      </c>
      <c r="BP262" s="17">
        <f t="shared" si="198"/>
        <v>-169147</v>
      </c>
      <c r="BQ262" s="18">
        <f t="shared" si="199"/>
        <v>-0.21621093050960982</v>
      </c>
      <c r="BR262" s="25">
        <f t="shared" si="200"/>
        <v>51098.083333333336</v>
      </c>
    </row>
    <row r="263" spans="1:70">
      <c r="A263" t="s">
        <v>432</v>
      </c>
      <c r="B263">
        <v>220595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19937</v>
      </c>
      <c r="N263" s="1">
        <v>68865</v>
      </c>
      <c r="O263" s="1">
        <v>69165</v>
      </c>
      <c r="P263" s="1">
        <v>64975</v>
      </c>
      <c r="Q263" s="1">
        <v>69749</v>
      </c>
      <c r="R263" s="1">
        <v>67788</v>
      </c>
      <c r="S263" s="1">
        <v>70348</v>
      </c>
      <c r="T263" s="1">
        <v>68370</v>
      </c>
      <c r="U263" s="1">
        <v>71109</v>
      </c>
      <c r="V263" s="1">
        <v>71636</v>
      </c>
      <c r="W263" s="1">
        <v>69622</v>
      </c>
      <c r="X263" s="1">
        <v>72251</v>
      </c>
      <c r="Y263" s="1">
        <v>49233</v>
      </c>
      <c r="Z263" s="1">
        <v>381</v>
      </c>
      <c r="AA263" s="1">
        <v>382</v>
      </c>
      <c r="AB263" s="1">
        <v>346</v>
      </c>
      <c r="AC263" s="1">
        <v>1017</v>
      </c>
      <c r="AD263" s="1">
        <v>1381</v>
      </c>
      <c r="AE263" s="1">
        <v>1432</v>
      </c>
      <c r="AF263" s="1">
        <v>1390</v>
      </c>
      <c r="AG263" s="1">
        <v>1295</v>
      </c>
      <c r="AH263" s="1">
        <v>1055</v>
      </c>
      <c r="AI263" s="1">
        <v>1026</v>
      </c>
      <c r="AJ263" s="1">
        <v>1067</v>
      </c>
      <c r="AK263" s="1">
        <v>1052</v>
      </c>
      <c r="AL263" s="1">
        <v>1120</v>
      </c>
      <c r="AM263" s="1">
        <v>1137</v>
      </c>
      <c r="AN263" s="1">
        <v>1029</v>
      </c>
      <c r="AO263" s="1">
        <v>1019</v>
      </c>
      <c r="AP263" s="1">
        <v>872</v>
      </c>
      <c r="AQ263" s="1">
        <v>909</v>
      </c>
      <c r="AR263" s="1">
        <v>888</v>
      </c>
      <c r="AS263" s="1">
        <v>925</v>
      </c>
      <c r="AT263" s="1">
        <v>932</v>
      </c>
      <c r="AU263" s="1">
        <v>909</v>
      </c>
      <c r="AV263" s="1">
        <v>946</v>
      </c>
      <c r="AW263" s="1">
        <v>922</v>
      </c>
      <c r="AX263" s="1">
        <v>958</v>
      </c>
      <c r="AY263" s="1"/>
      <c r="BA263" s="21">
        <f t="shared" si="186"/>
        <v>88802</v>
      </c>
      <c r="BB263" s="22">
        <f t="shared" si="187"/>
        <v>7400.166666666667</v>
      </c>
      <c r="BD263" s="7">
        <f t="shared" si="188"/>
        <v>744627</v>
      </c>
      <c r="BE263" s="7">
        <f t="shared" si="189"/>
        <v>655825</v>
      </c>
      <c r="BF263" s="8">
        <f t="shared" si="190"/>
        <v>7.3852503321997247</v>
      </c>
      <c r="BG263" s="7">
        <f t="shared" si="191"/>
        <v>62052.25</v>
      </c>
      <c r="BI263" s="12">
        <f t="shared" si="192"/>
        <v>12563</v>
      </c>
      <c r="BJ263" s="12">
        <f t="shared" si="193"/>
        <v>-732064</v>
      </c>
      <c r="BK263" s="13">
        <f t="shared" si="194"/>
        <v>-0.98312846566133105</v>
      </c>
      <c r="BL263" s="24">
        <f t="shared" si="195"/>
        <v>1037.25</v>
      </c>
      <c r="BM263" s="24">
        <f t="shared" si="196"/>
        <v>1066.25</v>
      </c>
      <c r="BO263" s="17">
        <f t="shared" si="197"/>
        <v>11446</v>
      </c>
      <c r="BP263" s="17">
        <f t="shared" si="198"/>
        <v>-1117</v>
      </c>
      <c r="BQ263" s="18">
        <f t="shared" si="199"/>
        <v>-8.8911884104115213E-2</v>
      </c>
      <c r="BR263" s="25">
        <f t="shared" si="200"/>
        <v>953.83333333333337</v>
      </c>
    </row>
    <row r="264" spans="1:70">
      <c r="A264" t="s">
        <v>11</v>
      </c>
      <c r="B264" t="s">
        <v>12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70">
      <c r="A265" t="s">
        <v>602</v>
      </c>
      <c r="C265" s="1">
        <v>847490</v>
      </c>
      <c r="D265" s="1">
        <v>854201</v>
      </c>
      <c r="E265" s="1">
        <v>1032101</v>
      </c>
      <c r="F265" s="1">
        <v>1053776</v>
      </c>
      <c r="G265" s="1">
        <v>1069063</v>
      </c>
      <c r="H265" s="1">
        <v>1064581</v>
      </c>
      <c r="I265" s="1">
        <v>1410027</v>
      </c>
      <c r="J265" s="1">
        <v>1591478</v>
      </c>
      <c r="K265" s="1">
        <v>1671100</v>
      </c>
      <c r="L265" s="1">
        <v>1821648</v>
      </c>
      <c r="M265" s="1">
        <v>1927646</v>
      </c>
      <c r="N265" s="1">
        <v>2161938</v>
      </c>
      <c r="O265" s="1">
        <v>2223409</v>
      </c>
      <c r="P265" s="1">
        <v>2151908</v>
      </c>
      <c r="Q265" s="1">
        <v>2353231</v>
      </c>
      <c r="R265" s="1">
        <v>2362916</v>
      </c>
      <c r="S265" s="1">
        <v>2546429</v>
      </c>
      <c r="T265" s="1">
        <v>2529787</v>
      </c>
      <c r="U265" s="1">
        <v>2593768</v>
      </c>
      <c r="V265" s="1">
        <v>2447957</v>
      </c>
      <c r="W265" s="1">
        <v>2234520</v>
      </c>
      <c r="X265" s="1">
        <v>2247785</v>
      </c>
      <c r="Y265" s="1">
        <v>2160462</v>
      </c>
      <c r="Z265" s="1">
        <v>2189422</v>
      </c>
      <c r="AA265" s="1">
        <v>2139743</v>
      </c>
      <c r="AB265" s="1">
        <v>1829634</v>
      </c>
      <c r="AC265" s="1">
        <v>1871860</v>
      </c>
      <c r="AD265" s="1">
        <v>1775486</v>
      </c>
      <c r="AE265" s="1">
        <v>1808265</v>
      </c>
      <c r="AF265" s="1">
        <v>1728736</v>
      </c>
      <c r="AG265" s="1">
        <v>1769129</v>
      </c>
      <c r="AH265" s="1">
        <v>1793772</v>
      </c>
      <c r="AI265" s="1">
        <v>1756201</v>
      </c>
      <c r="AJ265" s="1">
        <v>1809160</v>
      </c>
      <c r="AK265" s="1">
        <v>1747298</v>
      </c>
      <c r="AL265" s="1">
        <v>1795238</v>
      </c>
      <c r="AM265" s="1">
        <v>1781421</v>
      </c>
      <c r="AN265" s="1">
        <v>1593936</v>
      </c>
      <c r="AO265" s="1">
        <v>1748482</v>
      </c>
      <c r="AP265" s="1">
        <v>1683992</v>
      </c>
      <c r="AQ265" s="1">
        <v>1727889</v>
      </c>
      <c r="AR265" s="1">
        <v>1640539</v>
      </c>
      <c r="AS265" s="1">
        <v>1682580</v>
      </c>
      <c r="AT265" s="1">
        <v>1688974</v>
      </c>
      <c r="AU265" s="1">
        <v>1639166</v>
      </c>
      <c r="AV265" s="1">
        <v>1700315</v>
      </c>
      <c r="AW265" s="1">
        <v>1653189</v>
      </c>
      <c r="AX265" s="1">
        <v>1715140</v>
      </c>
      <c r="AY265" s="1"/>
      <c r="BA265" s="21">
        <f>SUM(C265:N265)</f>
        <v>16505049</v>
      </c>
      <c r="BB265" s="22">
        <f>+BA265/12</f>
        <v>1375420.75</v>
      </c>
      <c r="BD265" s="7">
        <f>SUM(O265:Z265)</f>
        <v>28041594</v>
      </c>
      <c r="BE265" s="7">
        <f>+BD265-BA265</f>
        <v>11536545</v>
      </c>
      <c r="BF265" s="8">
        <f>(BD265/BA265)-1</f>
        <v>0.69897066043245304</v>
      </c>
      <c r="BG265" s="7">
        <f>BD265/12</f>
        <v>2336799.5</v>
      </c>
      <c r="BI265" s="12">
        <f>+SUM(AA265:AL265)</f>
        <v>21824522</v>
      </c>
      <c r="BJ265" s="12">
        <f>+BI265-BD265</f>
        <v>-6217072</v>
      </c>
      <c r="BK265" s="13">
        <f>(BI265/BD265)-1</f>
        <v>-0.22170893708824113</v>
      </c>
      <c r="BL265" s="24">
        <f>SUM(AA265:AH265)/8</f>
        <v>1839578.125</v>
      </c>
      <c r="BM265" s="24">
        <f>SUM(AI265:AL265)/4</f>
        <v>1776974.25</v>
      </c>
      <c r="BO265" s="17">
        <f>+SUM(AM265:AX265)</f>
        <v>20255623</v>
      </c>
      <c r="BP265" s="17">
        <f>+BO265-BI265</f>
        <v>-1568899</v>
      </c>
      <c r="BQ265" s="18">
        <f>(BO265/BI265)-1</f>
        <v>-7.1886981075690914E-2</v>
      </c>
      <c r="BR265" s="25">
        <f>BO265/12</f>
        <v>1687968.5833333333</v>
      </c>
    </row>
    <row r="266" spans="1:70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BA266" s="21"/>
      <c r="BB266" s="22"/>
      <c r="BD266" s="7"/>
      <c r="BE266" s="7"/>
      <c r="BF266" s="8"/>
      <c r="BG266" s="7"/>
      <c r="BI266" s="12"/>
      <c r="BJ266" s="12"/>
      <c r="BK266" s="13"/>
      <c r="BL266" s="24"/>
      <c r="BM266" s="24"/>
      <c r="BO266" s="17"/>
      <c r="BP266" s="17"/>
      <c r="BQ266" s="18"/>
      <c r="BR266" s="25"/>
    </row>
    <row r="267" spans="1:70">
      <c r="A267" t="s">
        <v>436</v>
      </c>
      <c r="B267">
        <v>220601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16</v>
      </c>
      <c r="I267" s="1">
        <v>613</v>
      </c>
      <c r="J267" s="1">
        <v>797</v>
      </c>
      <c r="K267" s="1">
        <v>768</v>
      </c>
      <c r="L267" s="1">
        <v>208</v>
      </c>
      <c r="M267" s="1">
        <v>73</v>
      </c>
      <c r="N267" s="1">
        <v>97</v>
      </c>
      <c r="O267" s="1">
        <v>72</v>
      </c>
      <c r="P267" s="1">
        <v>24</v>
      </c>
      <c r="Q267" s="1">
        <v>0</v>
      </c>
      <c r="R267" s="1">
        <v>0</v>
      </c>
      <c r="S267" s="1">
        <v>0</v>
      </c>
      <c r="T267" s="1">
        <v>0</v>
      </c>
      <c r="U267" s="1">
        <v>2</v>
      </c>
      <c r="V267" s="1">
        <v>50</v>
      </c>
      <c r="W267" s="1">
        <v>49</v>
      </c>
      <c r="X267" s="1">
        <v>50</v>
      </c>
      <c r="Y267" s="1">
        <v>4</v>
      </c>
      <c r="Z267" s="1">
        <v>0</v>
      </c>
      <c r="AA267" s="1">
        <v>27</v>
      </c>
      <c r="AB267" s="1">
        <v>64</v>
      </c>
      <c r="AC267" s="1">
        <v>153</v>
      </c>
      <c r="AD267" s="1">
        <v>134</v>
      </c>
      <c r="AE267" s="1">
        <v>241</v>
      </c>
      <c r="AF267" s="1">
        <v>234</v>
      </c>
      <c r="AG267" s="1">
        <v>208</v>
      </c>
      <c r="AH267" s="1">
        <v>188</v>
      </c>
      <c r="AI267" s="1">
        <v>161</v>
      </c>
      <c r="AJ267" s="1">
        <v>156</v>
      </c>
      <c r="AK267" s="1">
        <v>72</v>
      </c>
      <c r="AL267" s="1">
        <v>3</v>
      </c>
      <c r="AM267" s="1">
        <v>1</v>
      </c>
      <c r="AN267" s="1">
        <v>1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/>
      <c r="BA267" s="21">
        <f t="shared" ref="BA267:BA290" si="201">SUM(C267:N267)</f>
        <v>2572</v>
      </c>
      <c r="BB267" s="22">
        <f t="shared" ref="BB267:BB289" si="202">+BA267/12</f>
        <v>214.33333333333334</v>
      </c>
      <c r="BD267" s="7">
        <f t="shared" ref="BD267:BD290" si="203">SUM(O267:Z267)</f>
        <v>251</v>
      </c>
      <c r="BE267" s="7">
        <f t="shared" ref="BE267:BE289" si="204">+BD267-BA267</f>
        <v>-2321</v>
      </c>
      <c r="BF267" s="8">
        <f t="shared" ref="BF267:BF289" si="205">(BD267/BA267)-1</f>
        <v>-0.90241057542768277</v>
      </c>
      <c r="BG267" s="7">
        <f t="shared" ref="BG267:BG289" si="206">BD267/12</f>
        <v>20.916666666666668</v>
      </c>
      <c r="BI267" s="12">
        <f t="shared" ref="BI267:BI290" si="207">+SUM(AA267:AL267)</f>
        <v>1641</v>
      </c>
      <c r="BJ267" s="12">
        <f t="shared" ref="BJ267:BJ289" si="208">+BI267-BD267</f>
        <v>1390</v>
      </c>
      <c r="BK267" s="13">
        <f t="shared" ref="BK267:BK289" si="209">(BI267/BD267)-1</f>
        <v>5.5378486055776897</v>
      </c>
      <c r="BL267" s="24">
        <f t="shared" ref="BL267:BL290" si="210">SUM(AA267:AH267)/8</f>
        <v>156.125</v>
      </c>
      <c r="BM267" s="24">
        <f t="shared" ref="BM267:BM290" si="211">SUM(AI267:AL267)/4</f>
        <v>98</v>
      </c>
      <c r="BO267" s="17">
        <f t="shared" ref="BO267:BO290" si="212">+SUM(AM267:AX267)</f>
        <v>2</v>
      </c>
      <c r="BP267" s="17">
        <f t="shared" ref="BP267:BP289" si="213">+BO267-BI267</f>
        <v>-1639</v>
      </c>
      <c r="BQ267" s="18">
        <f t="shared" ref="BQ267:BQ289" si="214">(BO267/BI267)-1</f>
        <v>-0.99878123095673366</v>
      </c>
      <c r="BR267" s="25">
        <f t="shared" ref="BR267:BR289" si="215">BO267/12</f>
        <v>0.16666666666666666</v>
      </c>
    </row>
    <row r="268" spans="1:70">
      <c r="A268" t="s">
        <v>439</v>
      </c>
      <c r="B268">
        <v>220605</v>
      </c>
      <c r="C268" s="1">
        <v>11149</v>
      </c>
      <c r="D268" s="1">
        <v>12189</v>
      </c>
      <c r="E268" s="1">
        <v>16206</v>
      </c>
      <c r="F268" s="1">
        <v>17898</v>
      </c>
      <c r="G268" s="1">
        <v>18376</v>
      </c>
      <c r="H268" s="1">
        <v>19372</v>
      </c>
      <c r="I268" s="1">
        <v>25283</v>
      </c>
      <c r="J268" s="1">
        <v>29246</v>
      </c>
      <c r="K268" s="1">
        <v>30812</v>
      </c>
      <c r="L268" s="1">
        <v>33175</v>
      </c>
      <c r="M268" s="1">
        <v>30496</v>
      </c>
      <c r="N268" s="1">
        <v>30243</v>
      </c>
      <c r="O268" s="1">
        <v>29906</v>
      </c>
      <c r="P268" s="1">
        <v>31217</v>
      </c>
      <c r="Q268" s="1">
        <v>42241</v>
      </c>
      <c r="R268" s="1">
        <v>37987</v>
      </c>
      <c r="S268" s="1">
        <v>39164</v>
      </c>
      <c r="T268" s="1">
        <v>37092</v>
      </c>
      <c r="U268" s="1">
        <v>37055</v>
      </c>
      <c r="V268" s="1">
        <v>42187</v>
      </c>
      <c r="W268" s="1">
        <v>44655</v>
      </c>
      <c r="X268" s="1">
        <v>48471</v>
      </c>
      <c r="Y268" s="1">
        <v>48758</v>
      </c>
      <c r="Z268" s="1">
        <v>53118</v>
      </c>
      <c r="AA268" s="1">
        <v>52689</v>
      </c>
      <c r="AB268" s="1">
        <v>48408</v>
      </c>
      <c r="AC268" s="1">
        <v>48054</v>
      </c>
      <c r="AD268" s="1">
        <v>44158</v>
      </c>
      <c r="AE268" s="1">
        <v>44758</v>
      </c>
      <c r="AF268" s="1">
        <v>41895</v>
      </c>
      <c r="AG268" s="1">
        <v>42381</v>
      </c>
      <c r="AH268" s="1">
        <v>36530</v>
      </c>
      <c r="AI268" s="1">
        <v>33000</v>
      </c>
      <c r="AJ268" s="1">
        <v>34306</v>
      </c>
      <c r="AK268" s="1">
        <v>33903</v>
      </c>
      <c r="AL268" s="1">
        <v>36237</v>
      </c>
      <c r="AM268" s="1">
        <v>37618</v>
      </c>
      <c r="AN268" s="1">
        <v>35010</v>
      </c>
      <c r="AO268" s="1">
        <v>39350</v>
      </c>
      <c r="AP268" s="1">
        <v>38281</v>
      </c>
      <c r="AQ268" s="1">
        <v>41282</v>
      </c>
      <c r="AR268" s="1">
        <v>42453</v>
      </c>
      <c r="AS268" s="1">
        <v>44836</v>
      </c>
      <c r="AT268" s="1">
        <v>44553</v>
      </c>
      <c r="AU268" s="1">
        <v>42760</v>
      </c>
      <c r="AV268" s="1">
        <v>44105</v>
      </c>
      <c r="AW268" s="1">
        <v>42681</v>
      </c>
      <c r="AX268" s="1">
        <v>43894</v>
      </c>
      <c r="AY268" s="1"/>
      <c r="BA268" s="21">
        <f t="shared" si="201"/>
        <v>274445</v>
      </c>
      <c r="BB268" s="22">
        <f t="shared" si="202"/>
        <v>22870.416666666668</v>
      </c>
      <c r="BD268" s="7">
        <f t="shared" si="203"/>
        <v>491851</v>
      </c>
      <c r="BE268" s="7">
        <f t="shared" si="204"/>
        <v>217406</v>
      </c>
      <c r="BF268" s="8">
        <f t="shared" si="205"/>
        <v>0.7921660077611179</v>
      </c>
      <c r="BG268" s="7">
        <f t="shared" si="206"/>
        <v>40987.583333333336</v>
      </c>
      <c r="BI268" s="12">
        <f t="shared" si="207"/>
        <v>496319</v>
      </c>
      <c r="BJ268" s="12">
        <f t="shared" si="208"/>
        <v>4468</v>
      </c>
      <c r="BK268" s="13">
        <f t="shared" si="209"/>
        <v>9.0840518774994994E-3</v>
      </c>
      <c r="BL268" s="24">
        <f t="shared" si="210"/>
        <v>44859.125</v>
      </c>
      <c r="BM268" s="24">
        <f t="shared" si="211"/>
        <v>34361.5</v>
      </c>
      <c r="BO268" s="17">
        <f t="shared" si="212"/>
        <v>496823</v>
      </c>
      <c r="BP268" s="17">
        <f t="shared" si="213"/>
        <v>504</v>
      </c>
      <c r="BQ268" s="18">
        <f t="shared" si="214"/>
        <v>1.0154759338247832E-3</v>
      </c>
      <c r="BR268" s="25">
        <f t="shared" si="215"/>
        <v>41401.916666666664</v>
      </c>
    </row>
    <row r="269" spans="1:70">
      <c r="A269" t="s">
        <v>440</v>
      </c>
      <c r="B269">
        <v>220606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329</v>
      </c>
      <c r="R269" s="1">
        <v>4400</v>
      </c>
      <c r="S269" s="1">
        <v>8295</v>
      </c>
      <c r="T269" s="1">
        <v>12177</v>
      </c>
      <c r="U269" s="1">
        <v>18985</v>
      </c>
      <c r="V269" s="1">
        <v>21913</v>
      </c>
      <c r="W269" s="1">
        <v>21351</v>
      </c>
      <c r="X269" s="1">
        <v>21896</v>
      </c>
      <c r="Y269" s="1">
        <v>17144</v>
      </c>
      <c r="Z269" s="1">
        <v>14039</v>
      </c>
      <c r="AA269" s="1">
        <v>9664</v>
      </c>
      <c r="AB269" s="1">
        <v>3192</v>
      </c>
      <c r="AC269" s="1">
        <v>390</v>
      </c>
      <c r="AD269" s="1">
        <v>804</v>
      </c>
      <c r="AE269" s="1">
        <v>3280</v>
      </c>
      <c r="AF269" s="1">
        <v>4469</v>
      </c>
      <c r="AG269" s="1">
        <v>5655</v>
      </c>
      <c r="AH269" s="1">
        <v>5659</v>
      </c>
      <c r="AI269" s="1">
        <v>5533</v>
      </c>
      <c r="AJ269" s="1">
        <v>5782</v>
      </c>
      <c r="AK269" s="1">
        <v>5150</v>
      </c>
      <c r="AL269" s="1">
        <v>3378</v>
      </c>
      <c r="AM269" s="1">
        <v>1068</v>
      </c>
      <c r="AN269" s="1">
        <v>203</v>
      </c>
      <c r="AO269" s="1">
        <v>225</v>
      </c>
      <c r="AP269" s="1">
        <v>176</v>
      </c>
      <c r="AQ269" s="1">
        <v>122</v>
      </c>
      <c r="AR269" s="1">
        <v>86</v>
      </c>
      <c r="AS269" s="1">
        <v>50</v>
      </c>
      <c r="AT269" s="1">
        <v>20</v>
      </c>
      <c r="AU269" s="1">
        <v>10</v>
      </c>
      <c r="AV269" s="1">
        <v>11</v>
      </c>
      <c r="AW269" s="1">
        <v>6</v>
      </c>
      <c r="AX269" s="1">
        <v>1</v>
      </c>
      <c r="AY269" s="1"/>
      <c r="BA269" s="21">
        <f t="shared" si="201"/>
        <v>0</v>
      </c>
      <c r="BB269" s="22">
        <f t="shared" si="202"/>
        <v>0</v>
      </c>
      <c r="BD269" s="7">
        <f t="shared" si="203"/>
        <v>140529</v>
      </c>
      <c r="BE269" s="7">
        <f t="shared" si="204"/>
        <v>140529</v>
      </c>
      <c r="BF269" s="8" t="e">
        <f t="shared" si="205"/>
        <v>#DIV/0!</v>
      </c>
      <c r="BG269" s="7">
        <f t="shared" si="206"/>
        <v>11710.75</v>
      </c>
      <c r="BI269" s="12">
        <f t="shared" si="207"/>
        <v>52956</v>
      </c>
      <c r="BJ269" s="12">
        <f t="shared" si="208"/>
        <v>-87573</v>
      </c>
      <c r="BK269" s="13">
        <f t="shared" si="209"/>
        <v>-0.62316674850030962</v>
      </c>
      <c r="BL269" s="24">
        <f t="shared" si="210"/>
        <v>4139.125</v>
      </c>
      <c r="BM269" s="24">
        <f t="shared" si="211"/>
        <v>4960.75</v>
      </c>
      <c r="BO269" s="17">
        <f t="shared" si="212"/>
        <v>1978</v>
      </c>
      <c r="BP269" s="17">
        <f t="shared" si="213"/>
        <v>-50978</v>
      </c>
      <c r="BQ269" s="18">
        <f t="shared" si="214"/>
        <v>-0.96264823627162177</v>
      </c>
      <c r="BR269" s="25">
        <f t="shared" si="215"/>
        <v>164.83333333333334</v>
      </c>
    </row>
    <row r="270" spans="1:70">
      <c r="A270" t="s">
        <v>441</v>
      </c>
      <c r="B270">
        <v>220607</v>
      </c>
      <c r="C270" s="1">
        <v>0</v>
      </c>
      <c r="D270" s="1">
        <v>0</v>
      </c>
      <c r="E270" s="1">
        <v>0</v>
      </c>
      <c r="F270" s="1">
        <v>0</v>
      </c>
      <c r="G270" s="1">
        <v>400</v>
      </c>
      <c r="H270" s="1">
        <v>1404</v>
      </c>
      <c r="I270" s="1">
        <v>1677</v>
      </c>
      <c r="J270" s="1">
        <v>1703</v>
      </c>
      <c r="K270" s="1">
        <v>1654</v>
      </c>
      <c r="L270" s="1">
        <v>1715</v>
      </c>
      <c r="M270" s="1">
        <v>1665</v>
      </c>
      <c r="N270" s="1">
        <v>1727</v>
      </c>
      <c r="O270" s="1">
        <v>1319</v>
      </c>
      <c r="P270" s="1">
        <v>243</v>
      </c>
      <c r="Q270" s="1">
        <v>127</v>
      </c>
      <c r="R270" s="1">
        <v>619</v>
      </c>
      <c r="S270" s="1">
        <v>2399</v>
      </c>
      <c r="T270" s="1">
        <v>2369</v>
      </c>
      <c r="U270" s="1">
        <v>2459</v>
      </c>
      <c r="V270" s="1">
        <v>2469</v>
      </c>
      <c r="W270" s="1">
        <v>2400</v>
      </c>
      <c r="X270" s="1">
        <v>2490</v>
      </c>
      <c r="Y270" s="1">
        <v>2367</v>
      </c>
      <c r="Z270" s="1">
        <v>1978</v>
      </c>
      <c r="AA270" s="1">
        <v>323</v>
      </c>
      <c r="AB270" s="1">
        <v>259</v>
      </c>
      <c r="AC270" s="1">
        <v>288</v>
      </c>
      <c r="AD270" s="1">
        <v>280</v>
      </c>
      <c r="AE270" s="1">
        <v>220</v>
      </c>
      <c r="AF270" s="1">
        <v>165</v>
      </c>
      <c r="AG270" s="1">
        <v>53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/>
      <c r="BA270" s="21">
        <f t="shared" si="201"/>
        <v>11945</v>
      </c>
      <c r="BB270" s="22">
        <f t="shared" si="202"/>
        <v>995.41666666666663</v>
      </c>
      <c r="BD270" s="7">
        <f t="shared" si="203"/>
        <v>21239</v>
      </c>
      <c r="BE270" s="7">
        <f t="shared" si="204"/>
        <v>9294</v>
      </c>
      <c r="BF270" s="8">
        <f t="shared" si="205"/>
        <v>0.77806613645876932</v>
      </c>
      <c r="BG270" s="7">
        <f t="shared" si="206"/>
        <v>1769.9166666666667</v>
      </c>
      <c r="BI270" s="12">
        <f t="shared" si="207"/>
        <v>1588</v>
      </c>
      <c r="BJ270" s="12">
        <f t="shared" si="208"/>
        <v>-19651</v>
      </c>
      <c r="BK270" s="13">
        <f t="shared" si="209"/>
        <v>-0.92523188474033613</v>
      </c>
      <c r="BL270" s="24">
        <f t="shared" si="210"/>
        <v>198.5</v>
      </c>
      <c r="BM270" s="24">
        <f t="shared" si="211"/>
        <v>0</v>
      </c>
      <c r="BO270" s="17">
        <f t="shared" si="212"/>
        <v>0</v>
      </c>
      <c r="BP270" s="17">
        <f t="shared" si="213"/>
        <v>-1588</v>
      </c>
      <c r="BQ270" s="18">
        <f t="shared" si="214"/>
        <v>-1</v>
      </c>
      <c r="BR270" s="25">
        <f t="shared" si="215"/>
        <v>0</v>
      </c>
    </row>
    <row r="271" spans="1:70">
      <c r="A271" t="s">
        <v>442</v>
      </c>
      <c r="B271">
        <v>220608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5145</v>
      </c>
      <c r="M271" s="1">
        <v>16138</v>
      </c>
      <c r="N271" s="1">
        <v>23649</v>
      </c>
      <c r="O271" s="1">
        <v>27891</v>
      </c>
      <c r="P271" s="1">
        <v>26237</v>
      </c>
      <c r="Q271" s="1">
        <v>28145</v>
      </c>
      <c r="R271" s="1">
        <v>27328</v>
      </c>
      <c r="S271" s="1">
        <v>28351</v>
      </c>
      <c r="T271" s="1">
        <v>27319</v>
      </c>
      <c r="U271" s="1">
        <v>22944</v>
      </c>
      <c r="V271" s="1">
        <v>10813</v>
      </c>
      <c r="W271" s="1">
        <v>3703</v>
      </c>
      <c r="X271" s="1">
        <v>728</v>
      </c>
      <c r="Y271" s="1">
        <v>674</v>
      </c>
      <c r="Z271" s="1">
        <v>695</v>
      </c>
      <c r="AA271" s="1">
        <v>626</v>
      </c>
      <c r="AB271" s="1">
        <v>556</v>
      </c>
      <c r="AC271" s="1">
        <v>379</v>
      </c>
      <c r="AD271" s="1">
        <v>3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/>
      <c r="BA271" s="21">
        <f t="shared" si="201"/>
        <v>44932</v>
      </c>
      <c r="BB271" s="22">
        <f t="shared" si="202"/>
        <v>3744.3333333333335</v>
      </c>
      <c r="BD271" s="7">
        <f t="shared" si="203"/>
        <v>204828</v>
      </c>
      <c r="BE271" s="7">
        <f t="shared" si="204"/>
        <v>159896</v>
      </c>
      <c r="BF271" s="8">
        <f t="shared" si="205"/>
        <v>3.5586219175643192</v>
      </c>
      <c r="BG271" s="7">
        <f t="shared" si="206"/>
        <v>17069</v>
      </c>
      <c r="BI271" s="12">
        <f t="shared" si="207"/>
        <v>1564</v>
      </c>
      <c r="BJ271" s="12">
        <f t="shared" si="208"/>
        <v>-203264</v>
      </c>
      <c r="BK271" s="13">
        <f t="shared" si="209"/>
        <v>-0.99236432518991546</v>
      </c>
      <c r="BL271" s="24">
        <f t="shared" si="210"/>
        <v>195.5</v>
      </c>
      <c r="BM271" s="24">
        <f t="shared" si="211"/>
        <v>0</v>
      </c>
      <c r="BO271" s="17">
        <f t="shared" si="212"/>
        <v>0</v>
      </c>
      <c r="BP271" s="17">
        <f t="shared" si="213"/>
        <v>-1564</v>
      </c>
      <c r="BQ271" s="18">
        <f t="shared" si="214"/>
        <v>-1</v>
      </c>
      <c r="BR271" s="25">
        <f t="shared" si="215"/>
        <v>0</v>
      </c>
    </row>
    <row r="272" spans="1:70">
      <c r="A272" t="s">
        <v>443</v>
      </c>
      <c r="B272">
        <v>220609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3683</v>
      </c>
      <c r="AH272" s="1">
        <v>12850</v>
      </c>
      <c r="AI272" s="1">
        <v>14912</v>
      </c>
      <c r="AJ272" s="1">
        <v>15597</v>
      </c>
      <c r="AK272" s="1">
        <v>15212</v>
      </c>
      <c r="AL272" s="1">
        <v>15959</v>
      </c>
      <c r="AM272" s="1">
        <v>16205</v>
      </c>
      <c r="AN272" s="1">
        <v>14739</v>
      </c>
      <c r="AO272" s="1">
        <v>16378</v>
      </c>
      <c r="AP272" s="1">
        <v>15943</v>
      </c>
      <c r="AQ272" s="1">
        <v>12080</v>
      </c>
      <c r="AR272" s="1">
        <v>4616</v>
      </c>
      <c r="AS272" s="1">
        <v>1779</v>
      </c>
      <c r="AT272" s="1">
        <v>1604</v>
      </c>
      <c r="AU272" s="1">
        <v>1434</v>
      </c>
      <c r="AV272" s="1">
        <v>1243</v>
      </c>
      <c r="AW272" s="1">
        <v>967</v>
      </c>
      <c r="AX272" s="1">
        <v>886</v>
      </c>
      <c r="AY272" s="1"/>
      <c r="BA272" s="21">
        <f t="shared" si="201"/>
        <v>0</v>
      </c>
      <c r="BB272" s="22">
        <f t="shared" si="202"/>
        <v>0</v>
      </c>
      <c r="BD272" s="7">
        <f t="shared" si="203"/>
        <v>0</v>
      </c>
      <c r="BE272" s="7">
        <f t="shared" si="204"/>
        <v>0</v>
      </c>
      <c r="BF272" s="8" t="e">
        <f t="shared" si="205"/>
        <v>#DIV/0!</v>
      </c>
      <c r="BG272" s="7">
        <f t="shared" si="206"/>
        <v>0</v>
      </c>
      <c r="BI272" s="12">
        <f t="shared" si="207"/>
        <v>78213</v>
      </c>
      <c r="BJ272" s="12">
        <f t="shared" si="208"/>
        <v>78213</v>
      </c>
      <c r="BK272" s="13" t="e">
        <f t="shared" si="209"/>
        <v>#DIV/0!</v>
      </c>
      <c r="BL272" s="24">
        <f t="shared" si="210"/>
        <v>2066.625</v>
      </c>
      <c r="BM272" s="24">
        <f t="shared" si="211"/>
        <v>15420</v>
      </c>
      <c r="BO272" s="17">
        <f t="shared" si="212"/>
        <v>87874</v>
      </c>
      <c r="BP272" s="17">
        <f t="shared" si="213"/>
        <v>9661</v>
      </c>
      <c r="BQ272" s="18">
        <f t="shared" si="214"/>
        <v>0.12352166519632291</v>
      </c>
      <c r="BR272" s="25">
        <f t="shared" si="215"/>
        <v>7322.833333333333</v>
      </c>
    </row>
    <row r="273" spans="1:70">
      <c r="A273" t="s">
        <v>445</v>
      </c>
      <c r="B273">
        <v>220610</v>
      </c>
      <c r="C273" s="1">
        <v>912</v>
      </c>
      <c r="D273" s="1">
        <v>877</v>
      </c>
      <c r="E273" s="1">
        <v>1017</v>
      </c>
      <c r="F273" s="1">
        <v>1378</v>
      </c>
      <c r="G273" s="1">
        <v>1485</v>
      </c>
      <c r="H273" s="1">
        <v>1462</v>
      </c>
      <c r="I273" s="1">
        <v>1530</v>
      </c>
      <c r="J273" s="1">
        <v>1587</v>
      </c>
      <c r="K273" s="1">
        <v>1745</v>
      </c>
      <c r="L273" s="1">
        <v>2045</v>
      </c>
      <c r="M273" s="1">
        <v>1990</v>
      </c>
      <c r="N273" s="1">
        <v>2038</v>
      </c>
      <c r="O273" s="1">
        <v>2129</v>
      </c>
      <c r="P273" s="1">
        <v>2182</v>
      </c>
      <c r="Q273" s="1">
        <v>2471</v>
      </c>
      <c r="R273" s="1">
        <v>3117</v>
      </c>
      <c r="S273" s="1">
        <v>3315</v>
      </c>
      <c r="T273" s="1">
        <v>3279</v>
      </c>
      <c r="U273" s="1">
        <v>4649</v>
      </c>
      <c r="V273" s="1">
        <v>6949</v>
      </c>
      <c r="W273" s="1">
        <v>9022</v>
      </c>
      <c r="X273" s="1">
        <v>9814</v>
      </c>
      <c r="Y273" s="1">
        <v>11398</v>
      </c>
      <c r="Z273" s="1">
        <v>13674</v>
      </c>
      <c r="AA273" s="1">
        <v>18087</v>
      </c>
      <c r="AB273" s="1">
        <v>20458</v>
      </c>
      <c r="AC273" s="1">
        <v>30395</v>
      </c>
      <c r="AD273" s="1">
        <v>31219</v>
      </c>
      <c r="AE273" s="1">
        <v>32129</v>
      </c>
      <c r="AF273" s="1">
        <v>31529</v>
      </c>
      <c r="AG273" s="1">
        <v>31878</v>
      </c>
      <c r="AH273" s="1">
        <v>29581</v>
      </c>
      <c r="AI273" s="1">
        <v>28222</v>
      </c>
      <c r="AJ273" s="1">
        <v>29101</v>
      </c>
      <c r="AK273" s="1">
        <v>27945</v>
      </c>
      <c r="AL273" s="1">
        <v>28692</v>
      </c>
      <c r="AM273" s="1">
        <v>28339</v>
      </c>
      <c r="AN273" s="1">
        <v>24698</v>
      </c>
      <c r="AO273" s="1">
        <v>26078</v>
      </c>
      <c r="AP273" s="1">
        <v>24711</v>
      </c>
      <c r="AQ273" s="1">
        <v>26692</v>
      </c>
      <c r="AR273" s="1">
        <v>27500</v>
      </c>
      <c r="AS273" s="1">
        <v>29138</v>
      </c>
      <c r="AT273" s="1">
        <v>29292</v>
      </c>
      <c r="AU273" s="1">
        <v>28717</v>
      </c>
      <c r="AV273" s="1">
        <v>30091</v>
      </c>
      <c r="AW273" s="1">
        <v>29424</v>
      </c>
      <c r="AX273" s="1">
        <v>30684</v>
      </c>
      <c r="AY273" s="1"/>
      <c r="BA273" s="21">
        <f t="shared" si="201"/>
        <v>18066</v>
      </c>
      <c r="BB273" s="22">
        <f t="shared" si="202"/>
        <v>1505.5</v>
      </c>
      <c r="BD273" s="7">
        <f t="shared" si="203"/>
        <v>71999</v>
      </c>
      <c r="BE273" s="7">
        <f t="shared" si="204"/>
        <v>53933</v>
      </c>
      <c r="BF273" s="8">
        <f t="shared" si="205"/>
        <v>2.9853315620502601</v>
      </c>
      <c r="BG273" s="7">
        <f t="shared" si="206"/>
        <v>5999.916666666667</v>
      </c>
      <c r="BI273" s="12">
        <f t="shared" si="207"/>
        <v>339236</v>
      </c>
      <c r="BJ273" s="12">
        <f t="shared" si="208"/>
        <v>267237</v>
      </c>
      <c r="BK273" s="13">
        <f t="shared" si="209"/>
        <v>3.711676551063209</v>
      </c>
      <c r="BL273" s="24">
        <f t="shared" si="210"/>
        <v>28159.5</v>
      </c>
      <c r="BM273" s="24">
        <f t="shared" si="211"/>
        <v>28490</v>
      </c>
      <c r="BO273" s="17">
        <f t="shared" si="212"/>
        <v>335364</v>
      </c>
      <c r="BP273" s="17">
        <f t="shared" si="213"/>
        <v>-3872</v>
      </c>
      <c r="BQ273" s="18">
        <f t="shared" si="214"/>
        <v>-1.1413882960534805E-2</v>
      </c>
      <c r="BR273" s="25">
        <f t="shared" si="215"/>
        <v>27947</v>
      </c>
    </row>
    <row r="274" spans="1:70">
      <c r="A274" t="s">
        <v>449</v>
      </c>
      <c r="B274">
        <v>220616</v>
      </c>
      <c r="C274" s="1">
        <v>114</v>
      </c>
      <c r="D274" s="1">
        <v>103</v>
      </c>
      <c r="E274" s="1">
        <v>114</v>
      </c>
      <c r="F274" s="1">
        <v>111</v>
      </c>
      <c r="G274" s="1">
        <v>115</v>
      </c>
      <c r="H274" s="1">
        <v>111</v>
      </c>
      <c r="I274" s="1">
        <v>115</v>
      </c>
      <c r="J274" s="1">
        <v>115</v>
      </c>
      <c r="K274" s="1">
        <v>112</v>
      </c>
      <c r="L274" s="1">
        <v>116</v>
      </c>
      <c r="M274" s="1">
        <v>112</v>
      </c>
      <c r="N274" s="1">
        <v>116</v>
      </c>
      <c r="O274" s="1">
        <v>116</v>
      </c>
      <c r="P274" s="1">
        <v>107</v>
      </c>
      <c r="Q274" s="1">
        <v>114</v>
      </c>
      <c r="R274" s="1">
        <v>110</v>
      </c>
      <c r="S274" s="1">
        <v>22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/>
      <c r="BA274" s="21">
        <f t="shared" si="201"/>
        <v>1354</v>
      </c>
      <c r="BB274" s="22">
        <f t="shared" si="202"/>
        <v>112.83333333333333</v>
      </c>
      <c r="BD274" s="7">
        <f t="shared" si="203"/>
        <v>469</v>
      </c>
      <c r="BE274" s="7">
        <f t="shared" si="204"/>
        <v>-885</v>
      </c>
      <c r="BF274" s="8">
        <f t="shared" si="205"/>
        <v>-0.65361890694239289</v>
      </c>
      <c r="BG274" s="7">
        <f t="shared" si="206"/>
        <v>39.083333333333336</v>
      </c>
      <c r="BI274" s="12">
        <f t="shared" si="207"/>
        <v>0</v>
      </c>
      <c r="BJ274" s="12">
        <f t="shared" si="208"/>
        <v>-469</v>
      </c>
      <c r="BK274" s="13">
        <f t="shared" si="209"/>
        <v>-1</v>
      </c>
      <c r="BL274" s="24">
        <f t="shared" si="210"/>
        <v>0</v>
      </c>
      <c r="BM274" s="24">
        <f t="shared" si="211"/>
        <v>0</v>
      </c>
      <c r="BO274" s="17">
        <f t="shared" si="212"/>
        <v>0</v>
      </c>
      <c r="BP274" s="17">
        <f t="shared" si="213"/>
        <v>0</v>
      </c>
      <c r="BQ274" s="18" t="e">
        <f t="shared" si="214"/>
        <v>#DIV/0!</v>
      </c>
      <c r="BR274" s="25">
        <f t="shared" si="215"/>
        <v>0</v>
      </c>
    </row>
    <row r="275" spans="1:70">
      <c r="A275" t="s">
        <v>450</v>
      </c>
      <c r="B275">
        <v>220619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90</v>
      </c>
      <c r="AG275" s="1">
        <v>238</v>
      </c>
      <c r="AH275" s="1">
        <v>299</v>
      </c>
      <c r="AI275" s="1">
        <v>295</v>
      </c>
      <c r="AJ275" s="1">
        <v>308</v>
      </c>
      <c r="AK275" s="1">
        <v>300</v>
      </c>
      <c r="AL275" s="1">
        <v>314</v>
      </c>
      <c r="AM275" s="1">
        <v>318</v>
      </c>
      <c r="AN275" s="1">
        <v>289</v>
      </c>
      <c r="AO275" s="1">
        <v>321</v>
      </c>
      <c r="AP275" s="1">
        <v>312</v>
      </c>
      <c r="AQ275" s="1">
        <v>332</v>
      </c>
      <c r="AR275" s="1">
        <v>335</v>
      </c>
      <c r="AS275" s="1">
        <v>353</v>
      </c>
      <c r="AT275" s="1">
        <v>355</v>
      </c>
      <c r="AU275" s="1">
        <v>346</v>
      </c>
      <c r="AV275" s="1">
        <v>360</v>
      </c>
      <c r="AW275" s="1">
        <v>351</v>
      </c>
      <c r="AX275" s="1">
        <v>252</v>
      </c>
      <c r="AY275" s="1"/>
      <c r="BA275" s="21">
        <f t="shared" si="201"/>
        <v>0</v>
      </c>
      <c r="BB275" s="22">
        <f t="shared" si="202"/>
        <v>0</v>
      </c>
      <c r="BD275" s="7">
        <f t="shared" si="203"/>
        <v>0</v>
      </c>
      <c r="BE275" s="7">
        <f t="shared" si="204"/>
        <v>0</v>
      </c>
      <c r="BF275" s="8" t="e">
        <f t="shared" si="205"/>
        <v>#DIV/0!</v>
      </c>
      <c r="BG275" s="7">
        <f t="shared" si="206"/>
        <v>0</v>
      </c>
      <c r="BI275" s="12">
        <f t="shared" si="207"/>
        <v>1844</v>
      </c>
      <c r="BJ275" s="12">
        <f t="shared" si="208"/>
        <v>1844</v>
      </c>
      <c r="BK275" s="13" t="e">
        <f t="shared" si="209"/>
        <v>#DIV/0!</v>
      </c>
      <c r="BL275" s="24">
        <f t="shared" si="210"/>
        <v>78.375</v>
      </c>
      <c r="BM275" s="24">
        <f t="shared" si="211"/>
        <v>304.25</v>
      </c>
      <c r="BO275" s="17">
        <f t="shared" si="212"/>
        <v>3924</v>
      </c>
      <c r="BP275" s="17">
        <f t="shared" si="213"/>
        <v>2080</v>
      </c>
      <c r="BQ275" s="18">
        <f t="shared" si="214"/>
        <v>1.1279826464208242</v>
      </c>
      <c r="BR275" s="25">
        <f t="shared" si="215"/>
        <v>327</v>
      </c>
    </row>
    <row r="276" spans="1:70">
      <c r="A276" t="s">
        <v>451</v>
      </c>
      <c r="B276">
        <v>220620</v>
      </c>
      <c r="C276" s="1">
        <v>112</v>
      </c>
      <c r="D276" s="1">
        <v>111</v>
      </c>
      <c r="E276" s="1">
        <v>135</v>
      </c>
      <c r="F276" s="1">
        <v>150</v>
      </c>
      <c r="G276" s="1">
        <v>172</v>
      </c>
      <c r="H276" s="1">
        <v>179</v>
      </c>
      <c r="I276" s="1">
        <v>188</v>
      </c>
      <c r="J276" s="1">
        <v>226</v>
      </c>
      <c r="K276" s="1">
        <v>384</v>
      </c>
      <c r="L276" s="1">
        <v>476</v>
      </c>
      <c r="M276" s="1">
        <v>463</v>
      </c>
      <c r="N276" s="1">
        <v>576</v>
      </c>
      <c r="O276" s="1">
        <v>736</v>
      </c>
      <c r="P276" s="1">
        <v>743</v>
      </c>
      <c r="Q276" s="1">
        <v>804</v>
      </c>
      <c r="R276" s="1">
        <v>795</v>
      </c>
      <c r="S276" s="1">
        <v>852</v>
      </c>
      <c r="T276" s="1">
        <v>829</v>
      </c>
      <c r="U276" s="1">
        <v>869</v>
      </c>
      <c r="V276" s="1">
        <v>895</v>
      </c>
      <c r="W276" s="1">
        <v>884</v>
      </c>
      <c r="X276" s="1">
        <v>957</v>
      </c>
      <c r="Y276" s="1">
        <v>872</v>
      </c>
      <c r="Z276" s="1">
        <v>1026</v>
      </c>
      <c r="AA276" s="1">
        <v>1032</v>
      </c>
      <c r="AB276" s="1">
        <v>936</v>
      </c>
      <c r="AC276" s="1">
        <v>1041</v>
      </c>
      <c r="AD276" s="1">
        <v>1011</v>
      </c>
      <c r="AE276" s="1">
        <v>1057</v>
      </c>
      <c r="AF276" s="1">
        <v>925</v>
      </c>
      <c r="AG276" s="1">
        <v>765</v>
      </c>
      <c r="AH276" s="1">
        <v>698</v>
      </c>
      <c r="AI276" s="1">
        <v>675</v>
      </c>
      <c r="AJ276" s="1">
        <v>695</v>
      </c>
      <c r="AK276" s="1">
        <v>656</v>
      </c>
      <c r="AL276" s="1">
        <v>674</v>
      </c>
      <c r="AM276" s="1">
        <v>674</v>
      </c>
      <c r="AN276" s="1">
        <v>597</v>
      </c>
      <c r="AO276" s="1">
        <v>640</v>
      </c>
      <c r="AP276" s="1">
        <v>606</v>
      </c>
      <c r="AQ276" s="1">
        <v>613</v>
      </c>
      <c r="AR276" s="1">
        <v>592</v>
      </c>
      <c r="AS276" s="1">
        <v>626</v>
      </c>
      <c r="AT276" s="1">
        <v>608</v>
      </c>
      <c r="AU276" s="1">
        <v>531</v>
      </c>
      <c r="AV276" s="1">
        <v>512</v>
      </c>
      <c r="AW276" s="1">
        <v>500</v>
      </c>
      <c r="AX276" s="1">
        <v>521</v>
      </c>
      <c r="AY276" s="1"/>
      <c r="BA276" s="21">
        <f t="shared" si="201"/>
        <v>3172</v>
      </c>
      <c r="BB276" s="22">
        <f t="shared" si="202"/>
        <v>264.33333333333331</v>
      </c>
      <c r="BD276" s="7">
        <f t="shared" si="203"/>
        <v>10262</v>
      </c>
      <c r="BE276" s="7">
        <f t="shared" si="204"/>
        <v>7090</v>
      </c>
      <c r="BF276" s="8">
        <f t="shared" si="205"/>
        <v>2.2351828499369484</v>
      </c>
      <c r="BG276" s="7">
        <f t="shared" si="206"/>
        <v>855.16666666666663</v>
      </c>
      <c r="BI276" s="12">
        <f t="shared" si="207"/>
        <v>10165</v>
      </c>
      <c r="BJ276" s="12">
        <f t="shared" si="208"/>
        <v>-97</v>
      </c>
      <c r="BK276" s="13">
        <f t="shared" si="209"/>
        <v>-9.4523484700838045E-3</v>
      </c>
      <c r="BL276" s="24">
        <f t="shared" si="210"/>
        <v>933.125</v>
      </c>
      <c r="BM276" s="24">
        <f t="shared" si="211"/>
        <v>675</v>
      </c>
      <c r="BO276" s="17">
        <f t="shared" si="212"/>
        <v>7020</v>
      </c>
      <c r="BP276" s="17">
        <f t="shared" si="213"/>
        <v>-3145</v>
      </c>
      <c r="BQ276" s="18">
        <f t="shared" si="214"/>
        <v>-0.30939498278406297</v>
      </c>
      <c r="BR276" s="25">
        <f t="shared" si="215"/>
        <v>585</v>
      </c>
    </row>
    <row r="277" spans="1:70">
      <c r="A277" t="s">
        <v>452</v>
      </c>
      <c r="B277">
        <v>220625</v>
      </c>
      <c r="C277" s="1">
        <v>556</v>
      </c>
      <c r="D277" s="1">
        <v>430</v>
      </c>
      <c r="E277" s="1">
        <v>443</v>
      </c>
      <c r="F277" s="1">
        <v>495</v>
      </c>
      <c r="G277" s="1">
        <v>524</v>
      </c>
      <c r="H277" s="1">
        <v>493</v>
      </c>
      <c r="I277" s="1">
        <v>519</v>
      </c>
      <c r="J277" s="1">
        <v>542</v>
      </c>
      <c r="K277" s="1">
        <v>557</v>
      </c>
      <c r="L277" s="1">
        <v>751</v>
      </c>
      <c r="M277" s="1">
        <v>881</v>
      </c>
      <c r="N277" s="1">
        <v>926</v>
      </c>
      <c r="O277" s="1">
        <v>962</v>
      </c>
      <c r="P277" s="1">
        <v>984</v>
      </c>
      <c r="Q277" s="1">
        <v>1385</v>
      </c>
      <c r="R277" s="1">
        <v>1492</v>
      </c>
      <c r="S277" s="1">
        <v>1579</v>
      </c>
      <c r="T277" s="1">
        <v>1531</v>
      </c>
      <c r="U277" s="1">
        <v>1466</v>
      </c>
      <c r="V277" s="1">
        <v>1493</v>
      </c>
      <c r="W277" s="1">
        <v>1478</v>
      </c>
      <c r="X277" s="1">
        <v>1564</v>
      </c>
      <c r="Y277" s="1">
        <v>1517</v>
      </c>
      <c r="Z277" s="1">
        <v>1342</v>
      </c>
      <c r="AA277" s="1">
        <v>1479</v>
      </c>
      <c r="AB277" s="1">
        <v>1616</v>
      </c>
      <c r="AC277" s="1">
        <v>2346</v>
      </c>
      <c r="AD277" s="1">
        <v>2977</v>
      </c>
      <c r="AE277" s="1">
        <v>3951</v>
      </c>
      <c r="AF277" s="1">
        <v>4115</v>
      </c>
      <c r="AG277" s="1">
        <v>6399</v>
      </c>
      <c r="AH277" s="1">
        <v>9250</v>
      </c>
      <c r="AI277" s="1">
        <v>9114</v>
      </c>
      <c r="AJ277" s="1">
        <v>9498</v>
      </c>
      <c r="AK277" s="1">
        <v>9208</v>
      </c>
      <c r="AL277" s="1">
        <v>9618</v>
      </c>
      <c r="AM277" s="1">
        <v>9737</v>
      </c>
      <c r="AN277" s="1">
        <v>8780</v>
      </c>
      <c r="AO277" s="1">
        <v>9642</v>
      </c>
      <c r="AP277" s="1">
        <v>9307</v>
      </c>
      <c r="AQ277" s="1">
        <v>9856</v>
      </c>
      <c r="AR277" s="1">
        <v>9941</v>
      </c>
      <c r="AS277" s="1">
        <v>10485</v>
      </c>
      <c r="AT277" s="1">
        <v>10555</v>
      </c>
      <c r="AU277" s="1">
        <v>10264</v>
      </c>
      <c r="AV277" s="1">
        <v>10666</v>
      </c>
      <c r="AW277" s="1">
        <v>10392</v>
      </c>
      <c r="AX277" s="1">
        <v>10792</v>
      </c>
      <c r="AY277" s="1"/>
      <c r="BA277" s="21">
        <f t="shared" si="201"/>
        <v>7117</v>
      </c>
      <c r="BB277" s="22">
        <f t="shared" si="202"/>
        <v>593.08333333333337</v>
      </c>
      <c r="BD277" s="7">
        <f t="shared" si="203"/>
        <v>16793</v>
      </c>
      <c r="BE277" s="7">
        <f t="shared" si="204"/>
        <v>9676</v>
      </c>
      <c r="BF277" s="8">
        <f t="shared" si="205"/>
        <v>1.3595616130392019</v>
      </c>
      <c r="BG277" s="7">
        <f t="shared" si="206"/>
        <v>1399.4166666666667</v>
      </c>
      <c r="BI277" s="12">
        <f t="shared" si="207"/>
        <v>69571</v>
      </c>
      <c r="BJ277" s="12">
        <f t="shared" si="208"/>
        <v>52778</v>
      </c>
      <c r="BK277" s="13">
        <f t="shared" si="209"/>
        <v>3.1428571428571432</v>
      </c>
      <c r="BL277" s="24">
        <f t="shared" si="210"/>
        <v>4016.625</v>
      </c>
      <c r="BM277" s="24">
        <f t="shared" si="211"/>
        <v>9359.5</v>
      </c>
      <c r="BO277" s="17">
        <f t="shared" si="212"/>
        <v>120417</v>
      </c>
      <c r="BP277" s="17">
        <f t="shared" si="213"/>
        <v>50846</v>
      </c>
      <c r="BQ277" s="18">
        <f t="shared" si="214"/>
        <v>0.73085049805234936</v>
      </c>
      <c r="BR277" s="25">
        <f t="shared" si="215"/>
        <v>10034.75</v>
      </c>
    </row>
    <row r="278" spans="1:70">
      <c r="A278" t="s">
        <v>453</v>
      </c>
      <c r="B278">
        <v>220626</v>
      </c>
      <c r="C278" s="1">
        <v>11759</v>
      </c>
      <c r="D278" s="1">
        <v>13925</v>
      </c>
      <c r="E278" s="1">
        <v>18745</v>
      </c>
      <c r="F278" s="1">
        <v>24085</v>
      </c>
      <c r="G278" s="1">
        <v>31104</v>
      </c>
      <c r="H278" s="1">
        <v>30325</v>
      </c>
      <c r="I278" s="1">
        <v>31259</v>
      </c>
      <c r="J278" s="1">
        <v>31439</v>
      </c>
      <c r="K278" s="1">
        <v>30494</v>
      </c>
      <c r="L278" s="1">
        <v>31465</v>
      </c>
      <c r="M278" s="1">
        <v>30503</v>
      </c>
      <c r="N278" s="1">
        <v>31438</v>
      </c>
      <c r="O278" s="1">
        <v>31369</v>
      </c>
      <c r="P278" s="1">
        <v>29271</v>
      </c>
      <c r="Q278" s="1">
        <v>31313</v>
      </c>
      <c r="R278" s="1">
        <v>30226</v>
      </c>
      <c r="S278" s="1">
        <v>30766</v>
      </c>
      <c r="T278" s="1">
        <v>29628</v>
      </c>
      <c r="U278" s="1">
        <v>28967</v>
      </c>
      <c r="V278" s="1">
        <v>29088</v>
      </c>
      <c r="W278" s="1">
        <v>28428</v>
      </c>
      <c r="X278" s="1">
        <v>29424</v>
      </c>
      <c r="Y278" s="1">
        <v>28554</v>
      </c>
      <c r="Z278" s="1">
        <v>29430</v>
      </c>
      <c r="AA278" s="1">
        <v>28354</v>
      </c>
      <c r="AB278" s="1">
        <v>22395</v>
      </c>
      <c r="AC278" s="1">
        <v>21939</v>
      </c>
      <c r="AD278" s="1">
        <v>18648</v>
      </c>
      <c r="AE278" s="1">
        <v>15647</v>
      </c>
      <c r="AF278" s="1">
        <v>12364</v>
      </c>
      <c r="AG278" s="1">
        <v>6492</v>
      </c>
      <c r="AH278" s="1">
        <v>342</v>
      </c>
      <c r="AI278" s="1">
        <v>164</v>
      </c>
      <c r="AJ278" s="1">
        <v>171</v>
      </c>
      <c r="AK278" s="1">
        <v>166</v>
      </c>
      <c r="AL278" s="1">
        <v>174</v>
      </c>
      <c r="AM278" s="1">
        <v>175</v>
      </c>
      <c r="AN278" s="1">
        <v>159</v>
      </c>
      <c r="AO278" s="1">
        <v>177</v>
      </c>
      <c r="AP278" s="1">
        <v>172</v>
      </c>
      <c r="AQ278" s="1">
        <v>181</v>
      </c>
      <c r="AR278" s="1">
        <v>181</v>
      </c>
      <c r="AS278" s="1">
        <v>190</v>
      </c>
      <c r="AT278" s="1">
        <v>191</v>
      </c>
      <c r="AU278" s="1">
        <v>186</v>
      </c>
      <c r="AV278" s="1">
        <v>193</v>
      </c>
      <c r="AW278" s="1">
        <v>188</v>
      </c>
      <c r="AX278" s="1">
        <v>195</v>
      </c>
      <c r="AY278" s="1"/>
      <c r="BA278" s="21">
        <f t="shared" si="201"/>
        <v>316541</v>
      </c>
      <c r="BB278" s="22">
        <f t="shared" si="202"/>
        <v>26378.416666666668</v>
      </c>
      <c r="BD278" s="7">
        <f t="shared" si="203"/>
        <v>356464</v>
      </c>
      <c r="BE278" s="7">
        <f t="shared" si="204"/>
        <v>39923</v>
      </c>
      <c r="BF278" s="8">
        <f t="shared" si="205"/>
        <v>0.12612268236974034</v>
      </c>
      <c r="BG278" s="7">
        <f t="shared" si="206"/>
        <v>29705.333333333332</v>
      </c>
      <c r="BI278" s="12">
        <f t="shared" si="207"/>
        <v>126856</v>
      </c>
      <c r="BJ278" s="12">
        <f t="shared" si="208"/>
        <v>-229608</v>
      </c>
      <c r="BK278" s="13">
        <f t="shared" si="209"/>
        <v>-0.64412675613806725</v>
      </c>
      <c r="BL278" s="24">
        <f t="shared" si="210"/>
        <v>15772.625</v>
      </c>
      <c r="BM278" s="24">
        <f t="shared" si="211"/>
        <v>168.75</v>
      </c>
      <c r="BO278" s="17">
        <f t="shared" si="212"/>
        <v>2188</v>
      </c>
      <c r="BP278" s="17">
        <f t="shared" si="213"/>
        <v>-124668</v>
      </c>
      <c r="BQ278" s="18">
        <f t="shared" si="214"/>
        <v>-0.9827520968657375</v>
      </c>
      <c r="BR278" s="25">
        <f t="shared" si="215"/>
        <v>182.33333333333334</v>
      </c>
    </row>
    <row r="279" spans="1:70">
      <c r="A279" t="s">
        <v>454</v>
      </c>
      <c r="B279">
        <v>220630</v>
      </c>
      <c r="C279" s="1">
        <v>1280</v>
      </c>
      <c r="D279" s="1">
        <v>1033</v>
      </c>
      <c r="E279" s="1">
        <v>721</v>
      </c>
      <c r="F279" s="1">
        <v>583</v>
      </c>
      <c r="G279" s="1">
        <v>600</v>
      </c>
      <c r="H279" s="1">
        <v>536</v>
      </c>
      <c r="I279" s="1">
        <v>597</v>
      </c>
      <c r="J279" s="1">
        <v>599</v>
      </c>
      <c r="K279" s="1">
        <v>636</v>
      </c>
      <c r="L279" s="1">
        <v>689</v>
      </c>
      <c r="M279" s="1">
        <v>741</v>
      </c>
      <c r="N279" s="1">
        <v>727</v>
      </c>
      <c r="O279" s="1">
        <v>716</v>
      </c>
      <c r="P279" s="1">
        <v>702</v>
      </c>
      <c r="Q279" s="1">
        <v>799</v>
      </c>
      <c r="R279" s="1">
        <v>814</v>
      </c>
      <c r="S279" s="1">
        <v>881</v>
      </c>
      <c r="T279" s="1">
        <v>928</v>
      </c>
      <c r="U279" s="1">
        <v>966</v>
      </c>
      <c r="V279" s="1">
        <v>971</v>
      </c>
      <c r="W279" s="1">
        <v>1003</v>
      </c>
      <c r="X279" s="1">
        <v>1088</v>
      </c>
      <c r="Y279" s="1">
        <v>1077</v>
      </c>
      <c r="Z279" s="1">
        <v>1107</v>
      </c>
      <c r="AA279" s="1">
        <v>1056</v>
      </c>
      <c r="AB279" s="1">
        <v>942</v>
      </c>
      <c r="AC279" s="1">
        <v>1047</v>
      </c>
      <c r="AD279" s="1">
        <v>1067</v>
      </c>
      <c r="AE279" s="1">
        <v>1144</v>
      </c>
      <c r="AF279" s="1">
        <v>1166</v>
      </c>
      <c r="AG279" s="1">
        <v>1229</v>
      </c>
      <c r="AH279" s="1">
        <v>1234</v>
      </c>
      <c r="AI279" s="1">
        <v>1202</v>
      </c>
      <c r="AJ279" s="1">
        <v>1252</v>
      </c>
      <c r="AK279" s="1">
        <v>1185</v>
      </c>
      <c r="AL279" s="1">
        <v>1193</v>
      </c>
      <c r="AM279" s="1">
        <v>1189</v>
      </c>
      <c r="AN279" s="1">
        <v>1057</v>
      </c>
      <c r="AO279" s="1">
        <v>1124</v>
      </c>
      <c r="AP279" s="1">
        <v>1066</v>
      </c>
      <c r="AQ279" s="1">
        <v>1119</v>
      </c>
      <c r="AR279" s="1">
        <v>1105</v>
      </c>
      <c r="AS279" s="1">
        <v>1153</v>
      </c>
      <c r="AT279" s="1">
        <v>1140</v>
      </c>
      <c r="AU279" s="1">
        <v>1071</v>
      </c>
      <c r="AV279" s="1">
        <v>1092</v>
      </c>
      <c r="AW279" s="1">
        <v>1045</v>
      </c>
      <c r="AX279" s="1">
        <v>1067</v>
      </c>
      <c r="AY279" s="1"/>
      <c r="BA279" s="21">
        <f t="shared" si="201"/>
        <v>8742</v>
      </c>
      <c r="BB279" s="22">
        <f t="shared" si="202"/>
        <v>728.5</v>
      </c>
      <c r="BD279" s="7">
        <f t="shared" si="203"/>
        <v>11052</v>
      </c>
      <c r="BE279" s="7">
        <f t="shared" si="204"/>
        <v>2310</v>
      </c>
      <c r="BF279" s="8">
        <f t="shared" si="205"/>
        <v>0.26424159231297195</v>
      </c>
      <c r="BG279" s="7">
        <f t="shared" si="206"/>
        <v>921</v>
      </c>
      <c r="BI279" s="12">
        <f t="shared" si="207"/>
        <v>13717</v>
      </c>
      <c r="BJ279" s="12">
        <f t="shared" si="208"/>
        <v>2665</v>
      </c>
      <c r="BK279" s="13">
        <f t="shared" si="209"/>
        <v>0.24113282663771263</v>
      </c>
      <c r="BL279" s="24">
        <f t="shared" si="210"/>
        <v>1110.625</v>
      </c>
      <c r="BM279" s="24">
        <f t="shared" si="211"/>
        <v>1208</v>
      </c>
      <c r="BO279" s="17">
        <f t="shared" si="212"/>
        <v>13228</v>
      </c>
      <c r="BP279" s="17">
        <f t="shared" si="213"/>
        <v>-489</v>
      </c>
      <c r="BQ279" s="18">
        <f t="shared" si="214"/>
        <v>-3.5649194430269038E-2</v>
      </c>
      <c r="BR279" s="25">
        <f t="shared" si="215"/>
        <v>1102.3333333333333</v>
      </c>
    </row>
    <row r="280" spans="1:70">
      <c r="A280" t="s">
        <v>456</v>
      </c>
      <c r="B280">
        <v>220635</v>
      </c>
      <c r="C280" s="1">
        <v>378</v>
      </c>
      <c r="D280" s="1">
        <v>338</v>
      </c>
      <c r="E280" s="1">
        <v>357</v>
      </c>
      <c r="F280" s="1">
        <v>299</v>
      </c>
      <c r="G280" s="1">
        <v>311</v>
      </c>
      <c r="H280" s="1">
        <v>229</v>
      </c>
      <c r="I280" s="1">
        <v>282</v>
      </c>
      <c r="J280" s="1">
        <v>282</v>
      </c>
      <c r="K280" s="1">
        <v>273</v>
      </c>
      <c r="L280" s="1">
        <v>276</v>
      </c>
      <c r="M280" s="1">
        <v>257</v>
      </c>
      <c r="N280" s="1">
        <v>90</v>
      </c>
      <c r="O280" s="1">
        <v>126</v>
      </c>
      <c r="P280" s="1">
        <v>114</v>
      </c>
      <c r="Q280" s="1">
        <v>132</v>
      </c>
      <c r="R280" s="1">
        <v>123</v>
      </c>
      <c r="S280" s="1">
        <v>127</v>
      </c>
      <c r="T280" s="1">
        <v>101</v>
      </c>
      <c r="U280" s="1">
        <v>115</v>
      </c>
      <c r="V280" s="1">
        <v>129</v>
      </c>
      <c r="W280" s="1">
        <v>125</v>
      </c>
      <c r="X280" s="1">
        <v>127</v>
      </c>
      <c r="Y280" s="1">
        <v>123</v>
      </c>
      <c r="Z280" s="1">
        <v>127</v>
      </c>
      <c r="AA280" s="1">
        <v>143</v>
      </c>
      <c r="AB280" s="1">
        <v>132</v>
      </c>
      <c r="AC280" s="1">
        <v>145</v>
      </c>
      <c r="AD280" s="1">
        <v>116</v>
      </c>
      <c r="AE280" s="1">
        <v>139</v>
      </c>
      <c r="AF280" s="1">
        <v>190</v>
      </c>
      <c r="AG280" s="1">
        <v>212</v>
      </c>
      <c r="AH280" s="1">
        <v>212</v>
      </c>
      <c r="AI280" s="1">
        <v>208</v>
      </c>
      <c r="AJ280" s="1">
        <v>217</v>
      </c>
      <c r="AK280" s="1">
        <v>211</v>
      </c>
      <c r="AL280" s="1">
        <v>219</v>
      </c>
      <c r="AM280" s="1">
        <v>221</v>
      </c>
      <c r="AN280" s="1">
        <v>200</v>
      </c>
      <c r="AO280" s="1">
        <v>222</v>
      </c>
      <c r="AP280" s="1">
        <v>215</v>
      </c>
      <c r="AQ280" s="1">
        <v>226</v>
      </c>
      <c r="AR280" s="1">
        <v>224</v>
      </c>
      <c r="AS280" s="1">
        <v>235</v>
      </c>
      <c r="AT280" s="1">
        <v>235</v>
      </c>
      <c r="AU280" s="1">
        <v>229</v>
      </c>
      <c r="AV280" s="1">
        <v>235</v>
      </c>
      <c r="AW280" s="1">
        <v>227</v>
      </c>
      <c r="AX280" s="1">
        <v>235</v>
      </c>
      <c r="AY280" s="1"/>
      <c r="BA280" s="21">
        <f t="shared" si="201"/>
        <v>3372</v>
      </c>
      <c r="BB280" s="22">
        <f t="shared" si="202"/>
        <v>281</v>
      </c>
      <c r="BD280" s="7">
        <f t="shared" si="203"/>
        <v>1469</v>
      </c>
      <c r="BE280" s="7">
        <f t="shared" si="204"/>
        <v>-1903</v>
      </c>
      <c r="BF280" s="8">
        <f t="shared" si="205"/>
        <v>-0.56435349940688018</v>
      </c>
      <c r="BG280" s="7">
        <f t="shared" si="206"/>
        <v>122.41666666666667</v>
      </c>
      <c r="BI280" s="12">
        <f t="shared" si="207"/>
        <v>2144</v>
      </c>
      <c r="BJ280" s="12">
        <f t="shared" si="208"/>
        <v>675</v>
      </c>
      <c r="BK280" s="13">
        <f t="shared" si="209"/>
        <v>0.45949625595643284</v>
      </c>
      <c r="BL280" s="24">
        <f t="shared" si="210"/>
        <v>161.125</v>
      </c>
      <c r="BM280" s="24">
        <f t="shared" si="211"/>
        <v>213.75</v>
      </c>
      <c r="BO280" s="17">
        <f t="shared" si="212"/>
        <v>2704</v>
      </c>
      <c r="BP280" s="17">
        <f t="shared" si="213"/>
        <v>560</v>
      </c>
      <c r="BQ280" s="18">
        <f t="shared" si="214"/>
        <v>0.26119402985074625</v>
      </c>
      <c r="BR280" s="25">
        <f t="shared" si="215"/>
        <v>225.33333333333334</v>
      </c>
    </row>
    <row r="281" spans="1:70">
      <c r="A281" t="s">
        <v>457</v>
      </c>
      <c r="B281">
        <v>220640</v>
      </c>
      <c r="C281" s="1">
        <v>6190</v>
      </c>
      <c r="D281" s="1">
        <v>5503</v>
      </c>
      <c r="E281" s="1">
        <v>6050</v>
      </c>
      <c r="F281" s="1">
        <v>5580</v>
      </c>
      <c r="G281" s="1">
        <v>5691</v>
      </c>
      <c r="H281" s="1">
        <v>5466</v>
      </c>
      <c r="I281" s="1">
        <v>5231</v>
      </c>
      <c r="J281" s="1">
        <v>5365</v>
      </c>
      <c r="K281" s="1">
        <v>5161</v>
      </c>
      <c r="L281" s="1">
        <v>5166</v>
      </c>
      <c r="M281" s="1">
        <v>4655</v>
      </c>
      <c r="N281" s="1">
        <v>3963</v>
      </c>
      <c r="O281" s="1">
        <v>3797</v>
      </c>
      <c r="P281" s="1">
        <v>3541</v>
      </c>
      <c r="Q281" s="1">
        <v>3563</v>
      </c>
      <c r="R281" s="1">
        <v>3016</v>
      </c>
      <c r="S281" s="1">
        <v>2989</v>
      </c>
      <c r="T281" s="1">
        <v>2890</v>
      </c>
      <c r="U281" s="1">
        <v>2984</v>
      </c>
      <c r="V281" s="1">
        <v>2977</v>
      </c>
      <c r="W281" s="1">
        <v>2828</v>
      </c>
      <c r="X281" s="1">
        <v>2861</v>
      </c>
      <c r="Y281" s="1">
        <v>2699</v>
      </c>
      <c r="Z281" s="1">
        <v>2772</v>
      </c>
      <c r="AA281" s="1">
        <v>2516</v>
      </c>
      <c r="AB281" s="1">
        <v>2425</v>
      </c>
      <c r="AC281" s="1">
        <v>2616</v>
      </c>
      <c r="AD281" s="1">
        <v>2527</v>
      </c>
      <c r="AE281" s="1">
        <v>2624</v>
      </c>
      <c r="AF281" s="1">
        <v>2562</v>
      </c>
      <c r="AG281" s="1">
        <v>2655</v>
      </c>
      <c r="AH281" s="1">
        <v>2278</v>
      </c>
      <c r="AI281" s="1">
        <v>2579</v>
      </c>
      <c r="AJ281" s="1">
        <v>2720</v>
      </c>
      <c r="AK281" s="1">
        <v>2642</v>
      </c>
      <c r="AL281" s="1">
        <v>2751</v>
      </c>
      <c r="AM281" s="1">
        <v>2773</v>
      </c>
      <c r="AN281" s="1">
        <v>2514</v>
      </c>
      <c r="AO281" s="1">
        <v>2789</v>
      </c>
      <c r="AP281" s="1">
        <v>2710</v>
      </c>
      <c r="AQ281" s="1">
        <v>2858</v>
      </c>
      <c r="AR281" s="1">
        <v>2848</v>
      </c>
      <c r="AS281" s="1">
        <v>2987</v>
      </c>
      <c r="AT281" s="1">
        <v>3004</v>
      </c>
      <c r="AU281" s="1">
        <v>2920</v>
      </c>
      <c r="AV281" s="1">
        <v>3033</v>
      </c>
      <c r="AW281" s="1">
        <v>2952</v>
      </c>
      <c r="AX281" s="1">
        <v>3066</v>
      </c>
      <c r="AY281" s="1"/>
      <c r="BA281" s="21">
        <f t="shared" si="201"/>
        <v>64021</v>
      </c>
      <c r="BB281" s="22">
        <f t="shared" si="202"/>
        <v>5335.083333333333</v>
      </c>
      <c r="BD281" s="7">
        <f t="shared" si="203"/>
        <v>36917</v>
      </c>
      <c r="BE281" s="7">
        <f t="shared" si="204"/>
        <v>-27104</v>
      </c>
      <c r="BF281" s="8">
        <f t="shared" si="205"/>
        <v>-0.42336108464410116</v>
      </c>
      <c r="BG281" s="7">
        <f t="shared" si="206"/>
        <v>3076.4166666666665</v>
      </c>
      <c r="BI281" s="12">
        <f t="shared" si="207"/>
        <v>30895</v>
      </c>
      <c r="BJ281" s="12">
        <f t="shared" si="208"/>
        <v>-6022</v>
      </c>
      <c r="BK281" s="13">
        <f t="shared" si="209"/>
        <v>-0.16312268060785007</v>
      </c>
      <c r="BL281" s="24">
        <f t="shared" si="210"/>
        <v>2525.375</v>
      </c>
      <c r="BM281" s="24">
        <f t="shared" si="211"/>
        <v>2673</v>
      </c>
      <c r="BO281" s="17">
        <f t="shared" si="212"/>
        <v>34454</v>
      </c>
      <c r="BP281" s="17">
        <f t="shared" si="213"/>
        <v>3559</v>
      </c>
      <c r="BQ281" s="18">
        <f t="shared" si="214"/>
        <v>0.11519663375950806</v>
      </c>
      <c r="BR281" s="25">
        <f t="shared" si="215"/>
        <v>2871.1666666666665</v>
      </c>
    </row>
    <row r="282" spans="1:70">
      <c r="A282" t="s">
        <v>458</v>
      </c>
      <c r="B282">
        <v>220645</v>
      </c>
      <c r="C282" s="1">
        <v>197</v>
      </c>
      <c r="D282" s="1">
        <v>195</v>
      </c>
      <c r="E282" s="1">
        <v>232</v>
      </c>
      <c r="F282" s="1">
        <v>243</v>
      </c>
      <c r="G282" s="1">
        <v>249</v>
      </c>
      <c r="H282" s="1">
        <v>249</v>
      </c>
      <c r="I282" s="1">
        <v>258</v>
      </c>
      <c r="J282" s="1">
        <v>182</v>
      </c>
      <c r="K282" s="1">
        <v>186</v>
      </c>
      <c r="L282" s="1">
        <v>215</v>
      </c>
      <c r="M282" s="1">
        <v>218</v>
      </c>
      <c r="N282" s="1">
        <v>236</v>
      </c>
      <c r="O282" s="1">
        <v>263</v>
      </c>
      <c r="P282" s="1">
        <v>248</v>
      </c>
      <c r="Q282" s="1">
        <v>286</v>
      </c>
      <c r="R282" s="1">
        <v>335</v>
      </c>
      <c r="S282" s="1">
        <v>374</v>
      </c>
      <c r="T282" s="1">
        <v>419</v>
      </c>
      <c r="U282" s="1">
        <v>436</v>
      </c>
      <c r="V282" s="1">
        <v>437</v>
      </c>
      <c r="W282" s="1">
        <v>423</v>
      </c>
      <c r="X282" s="1">
        <v>438</v>
      </c>
      <c r="Y282" s="1">
        <v>425</v>
      </c>
      <c r="Z282" s="1">
        <v>435</v>
      </c>
      <c r="AA282" s="1">
        <v>436</v>
      </c>
      <c r="AB282" s="1">
        <v>390</v>
      </c>
      <c r="AC282" s="1">
        <v>403</v>
      </c>
      <c r="AD282" s="1">
        <v>555</v>
      </c>
      <c r="AE282" s="1">
        <v>621</v>
      </c>
      <c r="AF282" s="1">
        <v>489</v>
      </c>
      <c r="AG282" s="1">
        <v>489</v>
      </c>
      <c r="AH282" s="1">
        <v>490</v>
      </c>
      <c r="AI282" s="1">
        <v>478</v>
      </c>
      <c r="AJ282" s="1">
        <v>498</v>
      </c>
      <c r="AK282" s="1">
        <v>487</v>
      </c>
      <c r="AL282" s="1">
        <v>513</v>
      </c>
      <c r="AM282" s="1">
        <v>523</v>
      </c>
      <c r="AN282" s="1">
        <v>476</v>
      </c>
      <c r="AO282" s="1">
        <v>529</v>
      </c>
      <c r="AP282" s="1">
        <v>513</v>
      </c>
      <c r="AQ282" s="1">
        <v>554</v>
      </c>
      <c r="AR282" s="1">
        <v>575</v>
      </c>
      <c r="AS282" s="1">
        <v>613</v>
      </c>
      <c r="AT282" s="1">
        <v>619</v>
      </c>
      <c r="AU282" s="1">
        <v>607</v>
      </c>
      <c r="AV282" s="1">
        <v>636</v>
      </c>
      <c r="AW282" s="1">
        <v>622</v>
      </c>
      <c r="AX282" s="1">
        <v>648</v>
      </c>
      <c r="AY282" s="1"/>
      <c r="BA282" s="21">
        <f t="shared" si="201"/>
        <v>2660</v>
      </c>
      <c r="BB282" s="22">
        <f t="shared" si="202"/>
        <v>221.66666666666666</v>
      </c>
      <c r="BD282" s="7">
        <f t="shared" si="203"/>
        <v>4519</v>
      </c>
      <c r="BE282" s="7">
        <f t="shared" si="204"/>
        <v>1859</v>
      </c>
      <c r="BF282" s="8">
        <f t="shared" si="205"/>
        <v>0.69887218045112776</v>
      </c>
      <c r="BG282" s="7">
        <f t="shared" si="206"/>
        <v>376.58333333333331</v>
      </c>
      <c r="BI282" s="12">
        <f t="shared" si="207"/>
        <v>5849</v>
      </c>
      <c r="BJ282" s="12">
        <f t="shared" si="208"/>
        <v>1330</v>
      </c>
      <c r="BK282" s="13">
        <f t="shared" si="209"/>
        <v>0.29431290108431063</v>
      </c>
      <c r="BL282" s="24">
        <f t="shared" si="210"/>
        <v>484.125</v>
      </c>
      <c r="BM282" s="24">
        <f t="shared" si="211"/>
        <v>494</v>
      </c>
      <c r="BO282" s="17">
        <f t="shared" si="212"/>
        <v>6915</v>
      </c>
      <c r="BP282" s="17">
        <f t="shared" si="213"/>
        <v>1066</v>
      </c>
      <c r="BQ282" s="18">
        <f t="shared" si="214"/>
        <v>0.1822533766455805</v>
      </c>
      <c r="BR282" s="25">
        <f t="shared" si="215"/>
        <v>576.25</v>
      </c>
    </row>
    <row r="283" spans="1:70">
      <c r="A283" t="s">
        <v>459</v>
      </c>
      <c r="B283">
        <v>220650</v>
      </c>
      <c r="C283" s="1">
        <v>81</v>
      </c>
      <c r="D283" s="1">
        <v>90</v>
      </c>
      <c r="E283" s="1">
        <v>107</v>
      </c>
      <c r="F283" s="1">
        <v>122</v>
      </c>
      <c r="G283" s="1">
        <v>127</v>
      </c>
      <c r="H283" s="1">
        <v>137</v>
      </c>
      <c r="I283" s="1">
        <v>146</v>
      </c>
      <c r="J283" s="1">
        <v>156</v>
      </c>
      <c r="K283" s="1">
        <v>172</v>
      </c>
      <c r="L283" s="1">
        <v>299</v>
      </c>
      <c r="M283" s="1">
        <v>269</v>
      </c>
      <c r="N283" s="1">
        <v>275</v>
      </c>
      <c r="O283" s="1">
        <v>283</v>
      </c>
      <c r="P283" s="1">
        <v>278</v>
      </c>
      <c r="Q283" s="1">
        <v>284</v>
      </c>
      <c r="R283" s="1">
        <v>274</v>
      </c>
      <c r="S283" s="1">
        <v>193</v>
      </c>
      <c r="T283" s="1">
        <v>116</v>
      </c>
      <c r="U283" s="1">
        <v>121</v>
      </c>
      <c r="V283" s="1">
        <v>119</v>
      </c>
      <c r="W283" s="1">
        <v>115</v>
      </c>
      <c r="X283" s="1">
        <v>119</v>
      </c>
      <c r="Y283" s="1">
        <v>115</v>
      </c>
      <c r="Z283" s="1">
        <v>120</v>
      </c>
      <c r="AA283" s="1">
        <v>137</v>
      </c>
      <c r="AB283" s="1">
        <v>125</v>
      </c>
      <c r="AC283" s="1">
        <v>134</v>
      </c>
      <c r="AD283" s="1">
        <v>153</v>
      </c>
      <c r="AE283" s="1">
        <v>157</v>
      </c>
      <c r="AF283" s="1">
        <v>146</v>
      </c>
      <c r="AG283" s="1">
        <v>151</v>
      </c>
      <c r="AH283" s="1">
        <v>141</v>
      </c>
      <c r="AI283" s="1">
        <v>134</v>
      </c>
      <c r="AJ283" s="1">
        <v>140</v>
      </c>
      <c r="AK283" s="1">
        <v>134</v>
      </c>
      <c r="AL283" s="1">
        <v>136</v>
      </c>
      <c r="AM283" s="1">
        <v>136</v>
      </c>
      <c r="AN283" s="1">
        <v>121</v>
      </c>
      <c r="AO283" s="1">
        <v>131</v>
      </c>
      <c r="AP283" s="1">
        <v>127</v>
      </c>
      <c r="AQ283" s="1">
        <v>136</v>
      </c>
      <c r="AR283" s="1">
        <v>137</v>
      </c>
      <c r="AS283" s="1">
        <v>145</v>
      </c>
      <c r="AT283" s="1">
        <v>146</v>
      </c>
      <c r="AU283" s="1">
        <v>142</v>
      </c>
      <c r="AV283" s="1">
        <v>148</v>
      </c>
      <c r="AW283" s="1">
        <v>144</v>
      </c>
      <c r="AX283" s="1">
        <v>149</v>
      </c>
      <c r="AY283" s="1"/>
      <c r="BA283" s="21">
        <f t="shared" si="201"/>
        <v>1981</v>
      </c>
      <c r="BB283" s="22">
        <f t="shared" si="202"/>
        <v>165.08333333333334</v>
      </c>
      <c r="BD283" s="7">
        <f t="shared" si="203"/>
        <v>2137</v>
      </c>
      <c r="BE283" s="7">
        <f t="shared" si="204"/>
        <v>156</v>
      </c>
      <c r="BF283" s="8">
        <f t="shared" si="205"/>
        <v>7.8748107016658242E-2</v>
      </c>
      <c r="BG283" s="7">
        <f t="shared" si="206"/>
        <v>178.08333333333334</v>
      </c>
      <c r="BI283" s="12">
        <f t="shared" si="207"/>
        <v>1688</v>
      </c>
      <c r="BJ283" s="12">
        <f t="shared" si="208"/>
        <v>-449</v>
      </c>
      <c r="BK283" s="13">
        <f t="shared" si="209"/>
        <v>-0.21010762751520828</v>
      </c>
      <c r="BL283" s="24">
        <f t="shared" si="210"/>
        <v>143</v>
      </c>
      <c r="BM283" s="24">
        <f t="shared" si="211"/>
        <v>136</v>
      </c>
      <c r="BO283" s="17">
        <f t="shared" si="212"/>
        <v>1662</v>
      </c>
      <c r="BP283" s="17">
        <f t="shared" si="213"/>
        <v>-26</v>
      </c>
      <c r="BQ283" s="18">
        <f t="shared" si="214"/>
        <v>-1.5402843601895699E-2</v>
      </c>
      <c r="BR283" s="25">
        <f t="shared" si="215"/>
        <v>138.5</v>
      </c>
    </row>
    <row r="284" spans="1:70">
      <c r="A284" t="s">
        <v>460</v>
      </c>
      <c r="B284">
        <v>220655</v>
      </c>
      <c r="C284" s="1">
        <v>241</v>
      </c>
      <c r="D284" s="1">
        <v>225</v>
      </c>
      <c r="E284" s="1">
        <v>220</v>
      </c>
      <c r="F284" s="1">
        <v>167</v>
      </c>
      <c r="G284" s="1">
        <v>174</v>
      </c>
      <c r="H284" s="1">
        <v>180</v>
      </c>
      <c r="I284" s="1">
        <v>188</v>
      </c>
      <c r="J284" s="1">
        <v>188</v>
      </c>
      <c r="K284" s="1">
        <v>140</v>
      </c>
      <c r="L284" s="1">
        <v>139</v>
      </c>
      <c r="M284" s="1">
        <v>134</v>
      </c>
      <c r="N284" s="1">
        <v>137</v>
      </c>
      <c r="O284" s="1">
        <v>136</v>
      </c>
      <c r="P284" s="1">
        <v>261</v>
      </c>
      <c r="Q284" s="1">
        <v>280</v>
      </c>
      <c r="R284" s="1">
        <v>227</v>
      </c>
      <c r="S284" s="1">
        <v>234</v>
      </c>
      <c r="T284" s="1">
        <v>97</v>
      </c>
      <c r="U284" s="1">
        <v>120</v>
      </c>
      <c r="V284" s="1">
        <v>124</v>
      </c>
      <c r="W284" s="1">
        <v>130</v>
      </c>
      <c r="X284" s="1">
        <v>140</v>
      </c>
      <c r="Y284" s="1">
        <v>136</v>
      </c>
      <c r="Z284" s="1">
        <v>147</v>
      </c>
      <c r="AA284" s="1">
        <v>150</v>
      </c>
      <c r="AB284" s="1">
        <v>138</v>
      </c>
      <c r="AC284" s="1">
        <v>176</v>
      </c>
      <c r="AD284" s="1">
        <v>171</v>
      </c>
      <c r="AE284" s="1">
        <v>171</v>
      </c>
      <c r="AF284" s="1">
        <v>166</v>
      </c>
      <c r="AG284" s="1">
        <v>172</v>
      </c>
      <c r="AH284" s="1">
        <v>172</v>
      </c>
      <c r="AI284" s="1">
        <v>168</v>
      </c>
      <c r="AJ284" s="1">
        <v>176</v>
      </c>
      <c r="AK284" s="1">
        <v>171</v>
      </c>
      <c r="AL284" s="1">
        <v>177</v>
      </c>
      <c r="AM284" s="1">
        <v>178</v>
      </c>
      <c r="AN284" s="1">
        <v>155</v>
      </c>
      <c r="AO284" s="1">
        <v>165</v>
      </c>
      <c r="AP284" s="1">
        <v>158</v>
      </c>
      <c r="AQ284" s="1">
        <v>159</v>
      </c>
      <c r="AR284" s="1">
        <v>152</v>
      </c>
      <c r="AS284" s="1">
        <v>158</v>
      </c>
      <c r="AT284" s="1">
        <v>158</v>
      </c>
      <c r="AU284" s="1">
        <v>154</v>
      </c>
      <c r="AV284" s="1">
        <v>160</v>
      </c>
      <c r="AW284" s="1">
        <v>156</v>
      </c>
      <c r="AX284" s="1">
        <v>161</v>
      </c>
      <c r="AY284" s="1"/>
      <c r="BA284" s="21">
        <f t="shared" si="201"/>
        <v>2133</v>
      </c>
      <c r="BB284" s="22">
        <f t="shared" si="202"/>
        <v>177.75</v>
      </c>
      <c r="BD284" s="7">
        <f t="shared" si="203"/>
        <v>2032</v>
      </c>
      <c r="BE284" s="7">
        <f t="shared" si="204"/>
        <v>-101</v>
      </c>
      <c r="BF284" s="8">
        <f t="shared" si="205"/>
        <v>-4.7351148616971428E-2</v>
      </c>
      <c r="BG284" s="7">
        <f t="shared" si="206"/>
        <v>169.33333333333334</v>
      </c>
      <c r="BI284" s="12">
        <f t="shared" si="207"/>
        <v>2008</v>
      </c>
      <c r="BJ284" s="12">
        <f t="shared" si="208"/>
        <v>-24</v>
      </c>
      <c r="BK284" s="13">
        <f t="shared" si="209"/>
        <v>-1.1811023622047223E-2</v>
      </c>
      <c r="BL284" s="24">
        <f t="shared" si="210"/>
        <v>164.5</v>
      </c>
      <c r="BM284" s="24">
        <f t="shared" si="211"/>
        <v>173</v>
      </c>
      <c r="BO284" s="17">
        <f t="shared" si="212"/>
        <v>1914</v>
      </c>
      <c r="BP284" s="17">
        <f t="shared" si="213"/>
        <v>-94</v>
      </c>
      <c r="BQ284" s="18">
        <f t="shared" si="214"/>
        <v>-4.6812749003984022E-2</v>
      </c>
      <c r="BR284" s="25">
        <f t="shared" si="215"/>
        <v>159.5</v>
      </c>
    </row>
    <row r="285" spans="1:70">
      <c r="A285" t="s">
        <v>461</v>
      </c>
      <c r="B285">
        <v>220660</v>
      </c>
      <c r="C285" s="1">
        <v>69</v>
      </c>
      <c r="D285" s="1">
        <v>58</v>
      </c>
      <c r="E285" s="1">
        <v>64</v>
      </c>
      <c r="F285" s="1">
        <v>60</v>
      </c>
      <c r="G285" s="1">
        <v>61</v>
      </c>
      <c r="H285" s="1">
        <v>59</v>
      </c>
      <c r="I285" s="1">
        <v>61</v>
      </c>
      <c r="J285" s="1">
        <v>61</v>
      </c>
      <c r="K285" s="1">
        <v>53</v>
      </c>
      <c r="L285" s="1">
        <v>53</v>
      </c>
      <c r="M285" s="1">
        <v>53</v>
      </c>
      <c r="N285" s="1">
        <v>54</v>
      </c>
      <c r="O285" s="1">
        <v>52</v>
      </c>
      <c r="P285" s="1">
        <v>47</v>
      </c>
      <c r="Q285" s="1">
        <v>51</v>
      </c>
      <c r="R285" s="1">
        <v>49</v>
      </c>
      <c r="S285" s="1">
        <v>51</v>
      </c>
      <c r="T285" s="1">
        <v>49</v>
      </c>
      <c r="U285" s="1">
        <v>50</v>
      </c>
      <c r="V285" s="1">
        <v>50</v>
      </c>
      <c r="W285" s="1">
        <v>48</v>
      </c>
      <c r="X285" s="1">
        <v>50</v>
      </c>
      <c r="Y285" s="1">
        <v>48</v>
      </c>
      <c r="Z285" s="1">
        <v>49</v>
      </c>
      <c r="AA285" s="1">
        <v>49</v>
      </c>
      <c r="AB285" s="1">
        <v>44</v>
      </c>
      <c r="AC285" s="1">
        <v>49</v>
      </c>
      <c r="AD285" s="1">
        <v>42</v>
      </c>
      <c r="AE285" s="1">
        <v>37</v>
      </c>
      <c r="AF285" s="1">
        <v>27</v>
      </c>
      <c r="AG285" s="1">
        <v>25</v>
      </c>
      <c r="AH285" s="1">
        <v>25</v>
      </c>
      <c r="AI285" s="1">
        <v>25</v>
      </c>
      <c r="AJ285" s="1">
        <v>26</v>
      </c>
      <c r="AK285" s="1">
        <v>25</v>
      </c>
      <c r="AL285" s="1">
        <v>26</v>
      </c>
      <c r="AM285" s="1">
        <v>26</v>
      </c>
      <c r="AN285" s="1">
        <v>24</v>
      </c>
      <c r="AO285" s="1">
        <v>27</v>
      </c>
      <c r="AP285" s="1">
        <v>26</v>
      </c>
      <c r="AQ285" s="1">
        <v>27</v>
      </c>
      <c r="AR285" s="1">
        <v>27</v>
      </c>
      <c r="AS285" s="1">
        <v>29</v>
      </c>
      <c r="AT285" s="1">
        <v>29</v>
      </c>
      <c r="AU285" s="1">
        <v>28</v>
      </c>
      <c r="AV285" s="1">
        <v>29</v>
      </c>
      <c r="AW285" s="1">
        <v>28</v>
      </c>
      <c r="AX285" s="1">
        <v>29</v>
      </c>
      <c r="AY285" s="1"/>
      <c r="BA285" s="21">
        <f t="shared" si="201"/>
        <v>706</v>
      </c>
      <c r="BB285" s="22">
        <f t="shared" si="202"/>
        <v>58.833333333333336</v>
      </c>
      <c r="BD285" s="7">
        <f t="shared" si="203"/>
        <v>594</v>
      </c>
      <c r="BE285" s="7">
        <f t="shared" si="204"/>
        <v>-112</v>
      </c>
      <c r="BF285" s="8">
        <f t="shared" si="205"/>
        <v>-0.15864022662889521</v>
      </c>
      <c r="BG285" s="7">
        <f t="shared" si="206"/>
        <v>49.5</v>
      </c>
      <c r="BI285" s="12">
        <f t="shared" si="207"/>
        <v>400</v>
      </c>
      <c r="BJ285" s="12">
        <f t="shared" si="208"/>
        <v>-194</v>
      </c>
      <c r="BK285" s="13">
        <f t="shared" si="209"/>
        <v>-0.32659932659932656</v>
      </c>
      <c r="BL285" s="24">
        <f t="shared" si="210"/>
        <v>37.25</v>
      </c>
      <c r="BM285" s="24">
        <f t="shared" si="211"/>
        <v>25.5</v>
      </c>
      <c r="BO285" s="17">
        <f t="shared" si="212"/>
        <v>329</v>
      </c>
      <c r="BP285" s="17">
        <f t="shared" si="213"/>
        <v>-71</v>
      </c>
      <c r="BQ285" s="18">
        <f t="shared" si="214"/>
        <v>-0.17749999999999999</v>
      </c>
      <c r="BR285" s="25">
        <f t="shared" si="215"/>
        <v>27.416666666666668</v>
      </c>
    </row>
    <row r="286" spans="1:70">
      <c r="A286" t="s">
        <v>462</v>
      </c>
      <c r="B286">
        <v>220665</v>
      </c>
      <c r="C286" s="1">
        <v>1097</v>
      </c>
      <c r="D286" s="1">
        <v>979</v>
      </c>
      <c r="E286" s="1">
        <v>1047</v>
      </c>
      <c r="F286" s="1">
        <v>927</v>
      </c>
      <c r="G286" s="1">
        <v>971</v>
      </c>
      <c r="H286" s="1">
        <v>613</v>
      </c>
      <c r="I286" s="1">
        <v>430</v>
      </c>
      <c r="J286" s="1">
        <v>716</v>
      </c>
      <c r="K286" s="1">
        <v>677</v>
      </c>
      <c r="L286" s="1">
        <v>749</v>
      </c>
      <c r="M286" s="1">
        <v>702</v>
      </c>
      <c r="N286" s="1">
        <v>594</v>
      </c>
      <c r="O286" s="1">
        <v>594</v>
      </c>
      <c r="P286" s="1">
        <v>623</v>
      </c>
      <c r="Q286" s="1">
        <v>667</v>
      </c>
      <c r="R286" s="1">
        <v>654</v>
      </c>
      <c r="S286" s="1">
        <v>649</v>
      </c>
      <c r="T286" s="1">
        <v>620</v>
      </c>
      <c r="U286" s="1">
        <v>643</v>
      </c>
      <c r="V286" s="1">
        <v>645</v>
      </c>
      <c r="W286" s="1">
        <v>635</v>
      </c>
      <c r="X286" s="1">
        <v>669</v>
      </c>
      <c r="Y286" s="1">
        <v>648</v>
      </c>
      <c r="Z286" s="1">
        <v>670</v>
      </c>
      <c r="AA286" s="1">
        <v>659</v>
      </c>
      <c r="AB286" s="1">
        <v>597</v>
      </c>
      <c r="AC286" s="1">
        <v>648</v>
      </c>
      <c r="AD286" s="1">
        <v>621</v>
      </c>
      <c r="AE286" s="1">
        <v>635</v>
      </c>
      <c r="AF286" s="1">
        <v>609</v>
      </c>
      <c r="AG286" s="1">
        <v>629</v>
      </c>
      <c r="AH286" s="1">
        <v>626</v>
      </c>
      <c r="AI286" s="1">
        <v>615</v>
      </c>
      <c r="AJ286" s="1">
        <v>644</v>
      </c>
      <c r="AK286" s="1">
        <v>625</v>
      </c>
      <c r="AL286" s="1">
        <v>650</v>
      </c>
      <c r="AM286" s="1">
        <v>654</v>
      </c>
      <c r="AN286" s="1">
        <v>593</v>
      </c>
      <c r="AO286" s="1">
        <v>655</v>
      </c>
      <c r="AP286" s="1">
        <v>634</v>
      </c>
      <c r="AQ286" s="1">
        <v>665</v>
      </c>
      <c r="AR286" s="1">
        <v>659</v>
      </c>
      <c r="AS286" s="1">
        <v>688</v>
      </c>
      <c r="AT286" s="1">
        <v>691</v>
      </c>
      <c r="AU286" s="1">
        <v>671</v>
      </c>
      <c r="AV286" s="1">
        <v>697</v>
      </c>
      <c r="AW286" s="1">
        <v>671</v>
      </c>
      <c r="AX286" s="1">
        <v>691</v>
      </c>
      <c r="AY286" s="1"/>
      <c r="BA286" s="21">
        <f t="shared" si="201"/>
        <v>9502</v>
      </c>
      <c r="BB286" s="22">
        <f t="shared" si="202"/>
        <v>791.83333333333337</v>
      </c>
      <c r="BD286" s="7">
        <f t="shared" si="203"/>
        <v>7717</v>
      </c>
      <c r="BE286" s="7">
        <f t="shared" si="204"/>
        <v>-1785</v>
      </c>
      <c r="BF286" s="8">
        <f t="shared" si="205"/>
        <v>-0.18785518838139337</v>
      </c>
      <c r="BG286" s="7">
        <f t="shared" si="206"/>
        <v>643.08333333333337</v>
      </c>
      <c r="BI286" s="12">
        <f t="shared" si="207"/>
        <v>7558</v>
      </c>
      <c r="BJ286" s="12">
        <f t="shared" si="208"/>
        <v>-159</v>
      </c>
      <c r="BK286" s="13">
        <f t="shared" si="209"/>
        <v>-2.0603861604250318E-2</v>
      </c>
      <c r="BL286" s="24">
        <f t="shared" si="210"/>
        <v>628</v>
      </c>
      <c r="BM286" s="24">
        <f t="shared" si="211"/>
        <v>633.5</v>
      </c>
      <c r="BO286" s="17">
        <f t="shared" si="212"/>
        <v>7969</v>
      </c>
      <c r="BP286" s="17">
        <f t="shared" si="213"/>
        <v>411</v>
      </c>
      <c r="BQ286" s="18">
        <f t="shared" si="214"/>
        <v>5.4379465467054855E-2</v>
      </c>
      <c r="BR286" s="25">
        <f t="shared" si="215"/>
        <v>664.08333333333337</v>
      </c>
    </row>
    <row r="287" spans="1:70">
      <c r="A287" t="s">
        <v>463</v>
      </c>
      <c r="B287">
        <v>220670</v>
      </c>
      <c r="C287" s="1">
        <v>101</v>
      </c>
      <c r="D287" s="1">
        <v>103</v>
      </c>
      <c r="E287" s="1">
        <v>128</v>
      </c>
      <c r="F287" s="1">
        <v>143</v>
      </c>
      <c r="G287" s="1">
        <v>167</v>
      </c>
      <c r="H287" s="1">
        <v>187</v>
      </c>
      <c r="I287" s="1">
        <v>202</v>
      </c>
      <c r="J287" s="1">
        <v>208</v>
      </c>
      <c r="K287" s="1">
        <v>480</v>
      </c>
      <c r="L287" s="1">
        <v>621</v>
      </c>
      <c r="M287" s="1">
        <v>602</v>
      </c>
      <c r="N287" s="1">
        <v>630</v>
      </c>
      <c r="O287" s="1">
        <v>698</v>
      </c>
      <c r="P287" s="1">
        <v>659</v>
      </c>
      <c r="Q287" s="1">
        <v>742</v>
      </c>
      <c r="R287" s="1">
        <v>795</v>
      </c>
      <c r="S287" s="1">
        <v>862</v>
      </c>
      <c r="T287" s="1">
        <v>840</v>
      </c>
      <c r="U287" s="1">
        <v>879</v>
      </c>
      <c r="V287" s="1">
        <v>829</v>
      </c>
      <c r="W287" s="1">
        <v>845</v>
      </c>
      <c r="X287" s="1">
        <v>885</v>
      </c>
      <c r="Y287" s="1">
        <v>889</v>
      </c>
      <c r="Z287" s="1">
        <v>899</v>
      </c>
      <c r="AA287" s="1">
        <v>902</v>
      </c>
      <c r="AB287" s="1">
        <v>820</v>
      </c>
      <c r="AC287" s="1">
        <v>903</v>
      </c>
      <c r="AD287" s="1">
        <v>1031</v>
      </c>
      <c r="AE287" s="1">
        <v>1071</v>
      </c>
      <c r="AF287" s="1">
        <v>1045</v>
      </c>
      <c r="AG287" s="1">
        <v>1034</v>
      </c>
      <c r="AH287" s="1">
        <v>1095</v>
      </c>
      <c r="AI287" s="1">
        <v>1027</v>
      </c>
      <c r="AJ287" s="1">
        <v>1027</v>
      </c>
      <c r="AK287" s="1">
        <v>1004</v>
      </c>
      <c r="AL287" s="1">
        <v>1037</v>
      </c>
      <c r="AM287" s="1">
        <v>1037</v>
      </c>
      <c r="AN287" s="1">
        <v>946</v>
      </c>
      <c r="AO287" s="1">
        <v>1051</v>
      </c>
      <c r="AP287" s="1">
        <v>1024</v>
      </c>
      <c r="AQ287" s="1">
        <v>1110</v>
      </c>
      <c r="AR287" s="1">
        <v>1148</v>
      </c>
      <c r="AS287" s="1">
        <v>1225</v>
      </c>
      <c r="AT287" s="1">
        <v>1237</v>
      </c>
      <c r="AU287" s="1">
        <v>1248</v>
      </c>
      <c r="AV287" s="1">
        <v>1345</v>
      </c>
      <c r="AW287" s="1">
        <v>1314</v>
      </c>
      <c r="AX287" s="1">
        <v>1371</v>
      </c>
      <c r="AY287" s="1"/>
      <c r="BA287" s="21">
        <f t="shared" si="201"/>
        <v>3572</v>
      </c>
      <c r="BB287" s="22">
        <f t="shared" si="202"/>
        <v>297.66666666666669</v>
      </c>
      <c r="BD287" s="7">
        <f t="shared" si="203"/>
        <v>9822</v>
      </c>
      <c r="BE287" s="7">
        <f t="shared" si="204"/>
        <v>6250</v>
      </c>
      <c r="BF287" s="8">
        <f t="shared" si="205"/>
        <v>1.7497200447928329</v>
      </c>
      <c r="BG287" s="7">
        <f t="shared" si="206"/>
        <v>818.5</v>
      </c>
      <c r="BI287" s="12">
        <f t="shared" si="207"/>
        <v>11996</v>
      </c>
      <c r="BJ287" s="12">
        <f t="shared" si="208"/>
        <v>2174</v>
      </c>
      <c r="BK287" s="13">
        <f t="shared" si="209"/>
        <v>0.22133984931785777</v>
      </c>
      <c r="BL287" s="24">
        <f t="shared" si="210"/>
        <v>987.625</v>
      </c>
      <c r="BM287" s="24">
        <f t="shared" si="211"/>
        <v>1023.75</v>
      </c>
      <c r="BO287" s="17">
        <f t="shared" si="212"/>
        <v>14056</v>
      </c>
      <c r="BP287" s="17">
        <f t="shared" si="213"/>
        <v>2060</v>
      </c>
      <c r="BQ287" s="18">
        <f t="shared" si="214"/>
        <v>0.17172390796932313</v>
      </c>
      <c r="BR287" s="25">
        <f t="shared" si="215"/>
        <v>1171.3333333333333</v>
      </c>
    </row>
    <row r="288" spans="1:70">
      <c r="A288" t="s">
        <v>464</v>
      </c>
      <c r="B288">
        <v>220675</v>
      </c>
      <c r="C288" s="1">
        <v>57</v>
      </c>
      <c r="D288" s="1">
        <v>52</v>
      </c>
      <c r="E288" s="1">
        <v>59</v>
      </c>
      <c r="F288" s="1">
        <v>55</v>
      </c>
      <c r="G288" s="1">
        <v>50</v>
      </c>
      <c r="H288" s="1">
        <v>58</v>
      </c>
      <c r="I288" s="1">
        <v>54</v>
      </c>
      <c r="J288" s="1">
        <v>58</v>
      </c>
      <c r="K288" s="1">
        <v>65</v>
      </c>
      <c r="L288" s="1">
        <v>61</v>
      </c>
      <c r="M288" s="1">
        <v>69</v>
      </c>
      <c r="N288" s="1">
        <v>73</v>
      </c>
      <c r="O288" s="1">
        <v>101</v>
      </c>
      <c r="P288" s="1">
        <v>96</v>
      </c>
      <c r="Q288" s="1">
        <v>104</v>
      </c>
      <c r="R288" s="1">
        <v>104</v>
      </c>
      <c r="S288" s="1">
        <v>111</v>
      </c>
      <c r="T288" s="1">
        <v>108</v>
      </c>
      <c r="U288" s="1">
        <v>112</v>
      </c>
      <c r="V288" s="1">
        <v>113</v>
      </c>
      <c r="W288" s="1">
        <v>110</v>
      </c>
      <c r="X288" s="1">
        <v>67</v>
      </c>
      <c r="Y288" s="1">
        <v>91</v>
      </c>
      <c r="Z288" s="1">
        <v>88</v>
      </c>
      <c r="AA288" s="1">
        <v>82</v>
      </c>
      <c r="AB288" s="1">
        <v>74</v>
      </c>
      <c r="AC288" s="1">
        <v>82</v>
      </c>
      <c r="AD288" s="1">
        <v>80</v>
      </c>
      <c r="AE288" s="1">
        <v>86</v>
      </c>
      <c r="AF288" s="1">
        <v>96</v>
      </c>
      <c r="AG288" s="1">
        <v>101</v>
      </c>
      <c r="AH288" s="1">
        <v>112</v>
      </c>
      <c r="AI288" s="1">
        <v>113</v>
      </c>
      <c r="AJ288" s="1">
        <v>117</v>
      </c>
      <c r="AK288" s="1">
        <v>106</v>
      </c>
      <c r="AL288" s="1">
        <v>102</v>
      </c>
      <c r="AM288" s="1">
        <v>103</v>
      </c>
      <c r="AN288" s="1">
        <v>93</v>
      </c>
      <c r="AO288" s="1">
        <v>102</v>
      </c>
      <c r="AP288" s="1">
        <v>98</v>
      </c>
      <c r="AQ288" s="1">
        <v>104</v>
      </c>
      <c r="AR288" s="1">
        <v>106</v>
      </c>
      <c r="AS288" s="1">
        <v>112</v>
      </c>
      <c r="AT288" s="1">
        <v>113</v>
      </c>
      <c r="AU288" s="1">
        <v>110</v>
      </c>
      <c r="AV288" s="1">
        <v>113</v>
      </c>
      <c r="AW288" s="1">
        <v>109</v>
      </c>
      <c r="AX288" s="1">
        <v>112</v>
      </c>
      <c r="AY288" s="1"/>
      <c r="BA288" s="21">
        <f t="shared" si="201"/>
        <v>711</v>
      </c>
      <c r="BB288" s="22">
        <f t="shared" si="202"/>
        <v>59.25</v>
      </c>
      <c r="BD288" s="7">
        <f t="shared" si="203"/>
        <v>1205</v>
      </c>
      <c r="BE288" s="7">
        <f t="shared" si="204"/>
        <v>494</v>
      </c>
      <c r="BF288" s="8">
        <f t="shared" si="205"/>
        <v>0.69479606188466958</v>
      </c>
      <c r="BG288" s="7">
        <f t="shared" si="206"/>
        <v>100.41666666666667</v>
      </c>
      <c r="BI288" s="12">
        <f t="shared" si="207"/>
        <v>1151</v>
      </c>
      <c r="BJ288" s="12">
        <f t="shared" si="208"/>
        <v>-54</v>
      </c>
      <c r="BK288" s="13">
        <f t="shared" si="209"/>
        <v>-4.4813278008298707E-2</v>
      </c>
      <c r="BL288" s="24">
        <f t="shared" si="210"/>
        <v>89.125</v>
      </c>
      <c r="BM288" s="24">
        <f t="shared" si="211"/>
        <v>109.5</v>
      </c>
      <c r="BO288" s="17">
        <f t="shared" si="212"/>
        <v>1275</v>
      </c>
      <c r="BP288" s="17">
        <f t="shared" si="213"/>
        <v>124</v>
      </c>
      <c r="BQ288" s="18">
        <f t="shared" si="214"/>
        <v>0.10773240660295391</v>
      </c>
      <c r="BR288" s="25">
        <f t="shared" si="215"/>
        <v>106.25</v>
      </c>
    </row>
    <row r="289" spans="1:70">
      <c r="A289" t="s">
        <v>465</v>
      </c>
      <c r="B289">
        <v>220680</v>
      </c>
      <c r="C289" s="1">
        <v>574</v>
      </c>
      <c r="D289" s="1">
        <v>737</v>
      </c>
      <c r="E289" s="1">
        <v>1005</v>
      </c>
      <c r="F289" s="1">
        <v>1072</v>
      </c>
      <c r="G289" s="1">
        <v>1120</v>
      </c>
      <c r="H289" s="1">
        <v>1087</v>
      </c>
      <c r="I289" s="1">
        <v>1092</v>
      </c>
      <c r="J289" s="1">
        <v>1051</v>
      </c>
      <c r="K289" s="1">
        <v>995</v>
      </c>
      <c r="L289" s="1">
        <v>1014</v>
      </c>
      <c r="M289" s="1">
        <v>1009</v>
      </c>
      <c r="N289" s="1">
        <v>1048</v>
      </c>
      <c r="O289" s="1">
        <v>1134</v>
      </c>
      <c r="P289" s="1">
        <v>1201</v>
      </c>
      <c r="Q289" s="1">
        <v>1369</v>
      </c>
      <c r="R289" s="1">
        <v>1388</v>
      </c>
      <c r="S289" s="1">
        <v>1468</v>
      </c>
      <c r="T289" s="1">
        <v>1437</v>
      </c>
      <c r="U289" s="1">
        <v>1466</v>
      </c>
      <c r="V289" s="1">
        <v>1432</v>
      </c>
      <c r="W289" s="1">
        <v>1370</v>
      </c>
      <c r="X289" s="1">
        <v>1405</v>
      </c>
      <c r="Y289" s="1">
        <v>1338</v>
      </c>
      <c r="Z289" s="1">
        <v>1368</v>
      </c>
      <c r="AA289" s="1">
        <v>1132</v>
      </c>
      <c r="AB289" s="1">
        <v>954</v>
      </c>
      <c r="AC289" s="1">
        <v>1035</v>
      </c>
      <c r="AD289" s="1">
        <v>987</v>
      </c>
      <c r="AE289" s="1">
        <v>1994</v>
      </c>
      <c r="AF289" s="1">
        <v>2176</v>
      </c>
      <c r="AG289" s="1">
        <v>2384</v>
      </c>
      <c r="AH289" s="1">
        <v>2222</v>
      </c>
      <c r="AI289" s="1">
        <v>2118</v>
      </c>
      <c r="AJ289" s="1">
        <v>2159</v>
      </c>
      <c r="AK289" s="1">
        <v>1550</v>
      </c>
      <c r="AL289" s="1">
        <v>863</v>
      </c>
      <c r="AM289" s="1">
        <v>687</v>
      </c>
      <c r="AN289" s="1">
        <v>567</v>
      </c>
      <c r="AO289" s="1">
        <v>483</v>
      </c>
      <c r="AP289" s="1">
        <v>390</v>
      </c>
      <c r="AQ289" s="1">
        <v>449</v>
      </c>
      <c r="AR289" s="1">
        <v>496</v>
      </c>
      <c r="AS289" s="1">
        <v>537</v>
      </c>
      <c r="AT289" s="1">
        <v>545</v>
      </c>
      <c r="AU289" s="1">
        <v>538</v>
      </c>
      <c r="AV289" s="1">
        <v>566</v>
      </c>
      <c r="AW289" s="1">
        <v>575</v>
      </c>
      <c r="AX289" s="1">
        <v>632</v>
      </c>
      <c r="AY289" s="1"/>
      <c r="BA289" s="21">
        <f t="shared" si="201"/>
        <v>11804</v>
      </c>
      <c r="BB289" s="22">
        <f t="shared" si="202"/>
        <v>983.66666666666663</v>
      </c>
      <c r="BD289" s="7">
        <f t="shared" si="203"/>
        <v>16376</v>
      </c>
      <c r="BE289" s="7">
        <f t="shared" si="204"/>
        <v>4572</v>
      </c>
      <c r="BF289" s="8">
        <f t="shared" si="205"/>
        <v>0.38732633005760753</v>
      </c>
      <c r="BG289" s="7">
        <f t="shared" si="206"/>
        <v>1364.6666666666667</v>
      </c>
      <c r="BI289" s="12">
        <f t="shared" si="207"/>
        <v>19574</v>
      </c>
      <c r="BJ289" s="12">
        <f t="shared" si="208"/>
        <v>3198</v>
      </c>
      <c r="BK289" s="13">
        <f t="shared" si="209"/>
        <v>0.19528578407425501</v>
      </c>
      <c r="BL289" s="24">
        <f t="shared" si="210"/>
        <v>1610.5</v>
      </c>
      <c r="BM289" s="24">
        <f t="shared" si="211"/>
        <v>1672.5</v>
      </c>
      <c r="BO289" s="17">
        <f t="shared" si="212"/>
        <v>6465</v>
      </c>
      <c r="BP289" s="17">
        <f t="shared" si="213"/>
        <v>-13109</v>
      </c>
      <c r="BQ289" s="18">
        <f t="shared" si="214"/>
        <v>-0.66971492796566867</v>
      </c>
      <c r="BR289" s="25">
        <f t="shared" si="215"/>
        <v>538.75</v>
      </c>
    </row>
    <row r="290" spans="1:70">
      <c r="A290" t="s">
        <v>466</v>
      </c>
      <c r="B290">
        <v>220685</v>
      </c>
      <c r="C290" s="1">
        <v>438</v>
      </c>
      <c r="D290" s="1">
        <v>416</v>
      </c>
      <c r="E290" s="1">
        <v>481</v>
      </c>
      <c r="F290" s="1">
        <v>451</v>
      </c>
      <c r="G290" s="1">
        <v>466</v>
      </c>
      <c r="H290" s="1">
        <v>662</v>
      </c>
      <c r="I290" s="1">
        <v>684</v>
      </c>
      <c r="J290" s="1">
        <v>685</v>
      </c>
      <c r="K290" s="1">
        <v>663</v>
      </c>
      <c r="L290" s="1">
        <v>785</v>
      </c>
      <c r="M290" s="1">
        <v>1006</v>
      </c>
      <c r="N290" s="1">
        <v>1048</v>
      </c>
      <c r="O290" s="1">
        <v>1050</v>
      </c>
      <c r="P290" s="1">
        <v>920</v>
      </c>
      <c r="Q290" s="1">
        <v>910</v>
      </c>
      <c r="R290" s="1">
        <v>882</v>
      </c>
      <c r="S290" s="1">
        <v>955</v>
      </c>
      <c r="T290" s="1">
        <v>1517</v>
      </c>
      <c r="U290" s="1">
        <v>1572</v>
      </c>
      <c r="V290" s="1">
        <v>1576</v>
      </c>
      <c r="W290" s="1">
        <v>1551</v>
      </c>
      <c r="X290" s="1">
        <v>1988</v>
      </c>
      <c r="Y290" s="1">
        <v>2056</v>
      </c>
      <c r="Z290" s="1">
        <v>2135</v>
      </c>
      <c r="AA290" s="1">
        <v>2141</v>
      </c>
      <c r="AB290" s="1">
        <v>1904</v>
      </c>
      <c r="AC290" s="1">
        <v>1630</v>
      </c>
      <c r="AD290" s="1">
        <v>1792</v>
      </c>
      <c r="AE290" s="1">
        <v>2025</v>
      </c>
      <c r="AF290" s="1">
        <v>1978</v>
      </c>
      <c r="AG290" s="1">
        <v>2050</v>
      </c>
      <c r="AH290" s="1">
        <v>2056</v>
      </c>
      <c r="AI290" s="1">
        <v>1943</v>
      </c>
      <c r="AJ290" s="1">
        <v>1923</v>
      </c>
      <c r="AK290" s="1">
        <v>1779</v>
      </c>
      <c r="AL290" s="1">
        <v>1811</v>
      </c>
      <c r="AM290" s="1">
        <v>1850</v>
      </c>
      <c r="AN290" s="1">
        <v>1688</v>
      </c>
      <c r="AO290" s="1">
        <v>1878</v>
      </c>
      <c r="AP290" s="1">
        <v>1818</v>
      </c>
      <c r="AQ290" s="1">
        <v>1937</v>
      </c>
      <c r="AR290" s="1">
        <v>1987</v>
      </c>
      <c r="AS290" s="1">
        <v>2116</v>
      </c>
      <c r="AT290" s="1">
        <v>2137</v>
      </c>
      <c r="AU290" s="1">
        <v>2107</v>
      </c>
      <c r="AV290" s="1">
        <v>2224</v>
      </c>
      <c r="AW290" s="1">
        <v>2178</v>
      </c>
      <c r="AX290" s="1">
        <v>2272</v>
      </c>
      <c r="AY290" s="1"/>
      <c r="BA290" s="21">
        <f t="shared" si="201"/>
        <v>7785</v>
      </c>
      <c r="BB290" s="22">
        <f>+BA290/12</f>
        <v>648.75</v>
      </c>
      <c r="BD290" s="7">
        <f t="shared" si="203"/>
        <v>17112</v>
      </c>
      <c r="BE290" s="7">
        <f>+BD290-BA290</f>
        <v>9327</v>
      </c>
      <c r="BF290" s="8">
        <f>(BD290/BA290)-1</f>
        <v>1.1980732177263969</v>
      </c>
      <c r="BG290" s="7">
        <f>BD290/12</f>
        <v>1426</v>
      </c>
      <c r="BI290" s="12">
        <f t="shared" si="207"/>
        <v>23032</v>
      </c>
      <c r="BJ290" s="12">
        <f>+BI290-BD290</f>
        <v>5920</v>
      </c>
      <c r="BK290" s="13">
        <f>(BI290/BD290)-1</f>
        <v>0.34595605423094899</v>
      </c>
      <c r="BL290" s="24">
        <f t="shared" si="210"/>
        <v>1947</v>
      </c>
      <c r="BM290" s="24">
        <f t="shared" si="211"/>
        <v>1864</v>
      </c>
      <c r="BO290" s="17">
        <f t="shared" si="212"/>
        <v>24192</v>
      </c>
      <c r="BP290" s="17">
        <f>+BO290-BI290</f>
        <v>1160</v>
      </c>
      <c r="BQ290" s="18">
        <f>(BO290/BI290)-1</f>
        <v>5.0364709968739207E-2</v>
      </c>
      <c r="BR290" s="25">
        <f>BO290/12</f>
        <v>2016</v>
      </c>
    </row>
    <row r="291" spans="1:70">
      <c r="A291" t="s">
        <v>11</v>
      </c>
      <c r="B291" t="s">
        <v>12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70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BA292" s="21"/>
      <c r="BB292" s="22"/>
      <c r="BD292" s="7"/>
      <c r="BE292" s="7"/>
      <c r="BF292" s="8"/>
      <c r="BG292" s="7"/>
      <c r="BI292" s="12"/>
      <c r="BJ292" s="12"/>
      <c r="BK292" s="13"/>
      <c r="BL292" s="24"/>
      <c r="BM292" s="24"/>
      <c r="BO292" s="17"/>
      <c r="BP292" s="17"/>
      <c r="BQ292" s="18"/>
      <c r="BR292" s="25"/>
    </row>
    <row r="293" spans="1:70">
      <c r="A293" t="s">
        <v>603</v>
      </c>
      <c r="C293" s="1">
        <v>35306</v>
      </c>
      <c r="D293" s="1">
        <v>37362</v>
      </c>
      <c r="E293" s="1">
        <v>47132</v>
      </c>
      <c r="F293" s="1">
        <v>53819</v>
      </c>
      <c r="G293" s="1">
        <v>62164</v>
      </c>
      <c r="H293" s="1">
        <v>62825</v>
      </c>
      <c r="I293" s="1">
        <v>70409</v>
      </c>
      <c r="J293" s="1">
        <v>75207</v>
      </c>
      <c r="K293" s="1">
        <v>76027</v>
      </c>
      <c r="L293" s="1">
        <v>85163</v>
      </c>
      <c r="M293" s="1">
        <v>92036</v>
      </c>
      <c r="N293" s="1">
        <v>99686</v>
      </c>
      <c r="O293" s="1">
        <v>103451</v>
      </c>
      <c r="P293" s="1">
        <v>99698</v>
      </c>
      <c r="Q293" s="1">
        <v>116116</v>
      </c>
      <c r="R293" s="1">
        <v>114735</v>
      </c>
      <c r="S293" s="1">
        <v>123634</v>
      </c>
      <c r="T293" s="1">
        <v>123346</v>
      </c>
      <c r="U293" s="1">
        <v>126858</v>
      </c>
      <c r="V293" s="1">
        <v>125259</v>
      </c>
      <c r="W293" s="1">
        <v>121153</v>
      </c>
      <c r="X293" s="1">
        <v>125231</v>
      </c>
      <c r="Y293" s="1">
        <v>120933</v>
      </c>
      <c r="Z293" s="1">
        <v>125219</v>
      </c>
      <c r="AA293" s="1">
        <v>121686</v>
      </c>
      <c r="AB293" s="1">
        <v>106429</v>
      </c>
      <c r="AC293" s="1">
        <v>113854</v>
      </c>
      <c r="AD293" s="1">
        <v>108379</v>
      </c>
      <c r="AE293" s="1">
        <v>111988</v>
      </c>
      <c r="AF293" s="1">
        <v>106436</v>
      </c>
      <c r="AG293" s="1">
        <v>108883</v>
      </c>
      <c r="AH293" s="1">
        <v>106062</v>
      </c>
      <c r="AI293" s="1">
        <v>102685</v>
      </c>
      <c r="AJ293" s="1">
        <v>106514</v>
      </c>
      <c r="AK293" s="1">
        <v>102530</v>
      </c>
      <c r="AL293" s="1">
        <v>104527</v>
      </c>
      <c r="AM293" s="1">
        <v>103514</v>
      </c>
      <c r="AN293" s="1">
        <v>92911</v>
      </c>
      <c r="AO293" s="1">
        <v>101968</v>
      </c>
      <c r="AP293" s="1">
        <v>98286</v>
      </c>
      <c r="AQ293" s="1">
        <v>100502</v>
      </c>
      <c r="AR293" s="1">
        <v>95168</v>
      </c>
      <c r="AS293" s="1">
        <v>97454</v>
      </c>
      <c r="AT293" s="1">
        <v>97231</v>
      </c>
      <c r="AU293" s="1">
        <v>94073</v>
      </c>
      <c r="AV293" s="1">
        <v>97459</v>
      </c>
      <c r="AW293" s="1">
        <v>94531</v>
      </c>
      <c r="AX293" s="1">
        <v>97660</v>
      </c>
      <c r="AY293" s="1"/>
      <c r="BA293" s="21">
        <f>SUM(C293:N293)</f>
        <v>797136</v>
      </c>
      <c r="BB293" s="22">
        <f>+BA293/12</f>
        <v>66428</v>
      </c>
      <c r="BD293" s="7">
        <f>SUM(O293:Z293)</f>
        <v>1425633</v>
      </c>
      <c r="BE293" s="7">
        <f>+BD293-BA293</f>
        <v>628497</v>
      </c>
      <c r="BF293" s="8">
        <f>(BD293/BA293)-1</f>
        <v>0.78844387908713198</v>
      </c>
      <c r="BG293" s="7">
        <f>BD293/12</f>
        <v>118802.75</v>
      </c>
      <c r="BI293" s="12">
        <f>+SUM(AA293:AL293)</f>
        <v>1299973</v>
      </c>
      <c r="BJ293" s="12">
        <f>+BI293-BD293</f>
        <v>-125660</v>
      </c>
      <c r="BK293" s="13">
        <f>(BI293/BD293)-1</f>
        <v>-8.814330195779696E-2</v>
      </c>
      <c r="BL293" s="24">
        <f>SUM(AA293:AH293)/8</f>
        <v>110464.625</v>
      </c>
      <c r="BM293" s="24">
        <f>SUM(AI293:AL293)/4</f>
        <v>104064</v>
      </c>
      <c r="BO293" s="17">
        <f>+SUM(AM293:AX293)</f>
        <v>1170757</v>
      </c>
      <c r="BP293" s="17">
        <f>+BO293-BI293</f>
        <v>-129216</v>
      </c>
      <c r="BQ293" s="18">
        <f>(BO293/BI293)-1</f>
        <v>-9.9398987517433035E-2</v>
      </c>
      <c r="BR293" s="25">
        <f>BO293/12</f>
        <v>97563.083333333328</v>
      </c>
    </row>
    <row r="294" spans="1:70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BA294" s="21"/>
      <c r="BB294" s="22"/>
      <c r="BD294" s="7"/>
      <c r="BE294" s="7"/>
      <c r="BF294" s="8"/>
      <c r="BG294" s="7"/>
      <c r="BI294" s="12"/>
      <c r="BJ294" s="12"/>
      <c r="BK294" s="13"/>
      <c r="BL294" s="24"/>
      <c r="BM294" s="24"/>
      <c r="BO294" s="17"/>
      <c r="BP294" s="17"/>
      <c r="BQ294" s="18"/>
      <c r="BR294" s="25"/>
    </row>
    <row r="295" spans="1:70">
      <c r="A295" t="s">
        <v>469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14</v>
      </c>
      <c r="AJ295" s="1">
        <v>15</v>
      </c>
      <c r="AK295" s="1">
        <v>14</v>
      </c>
      <c r="AL295" s="1">
        <v>13</v>
      </c>
      <c r="AM295" s="1">
        <v>13</v>
      </c>
      <c r="AN295" s="1">
        <v>12</v>
      </c>
      <c r="AO295" s="1">
        <v>13</v>
      </c>
      <c r="AP295" s="1">
        <v>13</v>
      </c>
      <c r="AQ295" s="1">
        <v>14</v>
      </c>
      <c r="AR295" s="1">
        <v>13</v>
      </c>
      <c r="AS295" s="1">
        <v>14</v>
      </c>
      <c r="AT295" s="1">
        <v>14</v>
      </c>
      <c r="AU295" s="1">
        <v>14</v>
      </c>
      <c r="AV295" s="1">
        <v>14</v>
      </c>
      <c r="AW295" s="1">
        <v>14</v>
      </c>
      <c r="AX295" s="1">
        <v>15</v>
      </c>
      <c r="AY295" s="1"/>
      <c r="BA295" s="21">
        <f t="shared" ref="BA295:BA302" si="216">SUM(C295:N295)</f>
        <v>0</v>
      </c>
      <c r="BB295" s="22">
        <f t="shared" ref="BB295:BB302" si="217">+BA295/12</f>
        <v>0</v>
      </c>
      <c r="BD295" s="7">
        <f t="shared" ref="BD295:BD302" si="218">SUM(O295:Z295)</f>
        <v>0</v>
      </c>
      <c r="BE295" s="7">
        <f t="shared" ref="BE295:BE302" si="219">+BD295-BA295</f>
        <v>0</v>
      </c>
      <c r="BF295" s="8" t="e">
        <f t="shared" ref="BF295:BF302" si="220">(BD295/BA295)-1</f>
        <v>#DIV/0!</v>
      </c>
      <c r="BG295" s="7">
        <f t="shared" ref="BG295:BG302" si="221">BD295/12</f>
        <v>0</v>
      </c>
      <c r="BI295" s="12">
        <f t="shared" ref="BI295:BI302" si="222">+SUM(AA295:AL295)</f>
        <v>56</v>
      </c>
      <c r="BJ295" s="12">
        <f t="shared" ref="BJ295:BJ302" si="223">+BI295-BD295</f>
        <v>56</v>
      </c>
      <c r="BK295" s="13" t="e">
        <f t="shared" ref="BK295:BK302" si="224">(BI295/BD295)-1</f>
        <v>#DIV/0!</v>
      </c>
      <c r="BL295" s="24">
        <f t="shared" ref="BL295:BL302" si="225">SUM(AA295:AH295)/8</f>
        <v>0</v>
      </c>
      <c r="BM295" s="24">
        <f t="shared" ref="BM295:BM302" si="226">SUM(AI295:AL295)/4</f>
        <v>14</v>
      </c>
      <c r="BO295" s="17">
        <f t="shared" ref="BO295:BO302" si="227">+SUM(AM295:AX295)</f>
        <v>163</v>
      </c>
      <c r="BP295" s="17">
        <f t="shared" ref="BP295:BP302" si="228">+BO295-BI295</f>
        <v>107</v>
      </c>
      <c r="BQ295" s="18">
        <f t="shared" ref="BQ295:BQ302" si="229">(BO295/BI295)-1</f>
        <v>1.9107142857142856</v>
      </c>
      <c r="BR295" s="25">
        <f t="shared" ref="BR295:BR302" si="230">BO295/12</f>
        <v>13.583333333333334</v>
      </c>
    </row>
    <row r="296" spans="1:70">
      <c r="A296" t="s">
        <v>470</v>
      </c>
      <c r="B296">
        <v>220705</v>
      </c>
      <c r="C296" s="1">
        <v>314400</v>
      </c>
      <c r="D296" s="1">
        <v>275901</v>
      </c>
      <c r="E296" s="1">
        <v>395785</v>
      </c>
      <c r="F296" s="1">
        <v>365562</v>
      </c>
      <c r="G296" s="1">
        <v>357791</v>
      </c>
      <c r="H296" s="1">
        <v>336743</v>
      </c>
      <c r="I296" s="1">
        <v>332642</v>
      </c>
      <c r="J296" s="1">
        <v>191421</v>
      </c>
      <c r="K296" s="1">
        <v>10412</v>
      </c>
      <c r="L296" s="1">
        <v>10691</v>
      </c>
      <c r="M296" s="1">
        <v>10476</v>
      </c>
      <c r="N296" s="1">
        <v>10678</v>
      </c>
      <c r="O296" s="1">
        <v>10687</v>
      </c>
      <c r="P296" s="1">
        <v>10017</v>
      </c>
      <c r="Q296" s="1">
        <v>10716</v>
      </c>
      <c r="R296" s="1">
        <v>10295</v>
      </c>
      <c r="S296" s="1">
        <v>10742</v>
      </c>
      <c r="T296" s="1">
        <v>10364</v>
      </c>
      <c r="U296" s="1">
        <v>10747</v>
      </c>
      <c r="V296" s="1">
        <v>10401</v>
      </c>
      <c r="W296" s="1">
        <v>9576</v>
      </c>
      <c r="X296" s="1">
        <v>10425</v>
      </c>
      <c r="Y296" s="1">
        <v>10171</v>
      </c>
      <c r="Z296" s="1">
        <v>10433</v>
      </c>
      <c r="AA296" s="1">
        <v>5655</v>
      </c>
      <c r="AB296" s="1">
        <v>4871</v>
      </c>
      <c r="AC296" s="1">
        <v>5401</v>
      </c>
      <c r="AD296" s="1">
        <v>5293</v>
      </c>
      <c r="AE296" s="1">
        <v>4851</v>
      </c>
      <c r="AF296" s="1">
        <v>3797</v>
      </c>
      <c r="AG296" s="1">
        <v>5277</v>
      </c>
      <c r="AH296" s="1">
        <v>5319</v>
      </c>
      <c r="AI296" s="1">
        <v>13447</v>
      </c>
      <c r="AJ296" s="1">
        <v>13746</v>
      </c>
      <c r="AK296" s="1">
        <v>12596</v>
      </c>
      <c r="AL296" s="1">
        <v>12288</v>
      </c>
      <c r="AM296" s="1">
        <v>11001</v>
      </c>
      <c r="AN296" s="1">
        <v>10413</v>
      </c>
      <c r="AO296" s="1">
        <v>12080</v>
      </c>
      <c r="AP296" s="1">
        <v>12242</v>
      </c>
      <c r="AQ296" s="1">
        <v>13244</v>
      </c>
      <c r="AR296" s="1">
        <v>13432</v>
      </c>
      <c r="AS296" s="1">
        <v>14582</v>
      </c>
      <c r="AT296" s="1">
        <v>15350</v>
      </c>
      <c r="AU296" s="1">
        <v>15657</v>
      </c>
      <c r="AV296" s="1">
        <v>17061</v>
      </c>
      <c r="AW296" s="1">
        <v>17428</v>
      </c>
      <c r="AX296" s="1">
        <v>19058</v>
      </c>
      <c r="AY296" s="1"/>
      <c r="BA296" s="21">
        <f t="shared" si="216"/>
        <v>2612502</v>
      </c>
      <c r="BB296" s="22">
        <f t="shared" si="217"/>
        <v>217708.5</v>
      </c>
      <c r="BD296" s="7">
        <f t="shared" si="218"/>
        <v>124574</v>
      </c>
      <c r="BE296" s="7">
        <f t="shared" si="219"/>
        <v>-2487928</v>
      </c>
      <c r="BF296" s="8">
        <f t="shared" si="220"/>
        <v>-0.9523162087531416</v>
      </c>
      <c r="BG296" s="7">
        <f t="shared" si="221"/>
        <v>10381.166666666666</v>
      </c>
      <c r="BI296" s="12">
        <f t="shared" si="222"/>
        <v>92541</v>
      </c>
      <c r="BJ296" s="12">
        <f t="shared" si="223"/>
        <v>-32033</v>
      </c>
      <c r="BK296" s="13">
        <f t="shared" si="224"/>
        <v>-0.25714033425915517</v>
      </c>
      <c r="BL296" s="24">
        <f t="shared" si="225"/>
        <v>5058</v>
      </c>
      <c r="BM296" s="24">
        <f t="shared" si="226"/>
        <v>13019.25</v>
      </c>
      <c r="BO296" s="17">
        <f t="shared" si="227"/>
        <v>171548</v>
      </c>
      <c r="BP296" s="17">
        <f t="shared" si="228"/>
        <v>79007</v>
      </c>
      <c r="BQ296" s="18">
        <f t="shared" si="229"/>
        <v>0.85375131023006023</v>
      </c>
      <c r="BR296" s="25">
        <f t="shared" si="230"/>
        <v>14295.666666666666</v>
      </c>
    </row>
    <row r="297" spans="1:70">
      <c r="A297" t="s">
        <v>471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41482</v>
      </c>
      <c r="K297" s="1">
        <v>66367</v>
      </c>
      <c r="L297" s="1">
        <v>67589</v>
      </c>
      <c r="M297" s="1">
        <v>64898</v>
      </c>
      <c r="N297" s="1">
        <v>65626</v>
      </c>
      <c r="O297" s="1">
        <v>65647</v>
      </c>
      <c r="P297" s="1">
        <v>61420</v>
      </c>
      <c r="Q297" s="1">
        <v>66109</v>
      </c>
      <c r="R297" s="1">
        <v>63559</v>
      </c>
      <c r="S297" s="1">
        <v>65635</v>
      </c>
      <c r="T297" s="1">
        <v>62473</v>
      </c>
      <c r="U297" s="1">
        <v>64051</v>
      </c>
      <c r="V297" s="1">
        <v>60834</v>
      </c>
      <c r="W297" s="1">
        <v>55041</v>
      </c>
      <c r="X297" s="1">
        <v>59535</v>
      </c>
      <c r="Y297" s="1">
        <v>57407</v>
      </c>
      <c r="Z297" s="1">
        <v>59285</v>
      </c>
      <c r="AA297" s="1">
        <v>48972</v>
      </c>
      <c r="AB297" s="1">
        <v>42818</v>
      </c>
      <c r="AC297" s="1">
        <v>48155</v>
      </c>
      <c r="AD297" s="1">
        <v>45699</v>
      </c>
      <c r="AE297" s="1">
        <v>42556</v>
      </c>
      <c r="AF297" s="1">
        <v>42321</v>
      </c>
      <c r="AG297" s="1">
        <v>45647</v>
      </c>
      <c r="AH297" s="1">
        <v>45153</v>
      </c>
      <c r="AI297" s="1">
        <v>89263</v>
      </c>
      <c r="AJ297" s="1">
        <v>73944</v>
      </c>
      <c r="AK297" s="1">
        <v>65792</v>
      </c>
      <c r="AL297" s="1">
        <v>62300</v>
      </c>
      <c r="AM297" s="1">
        <v>58893</v>
      </c>
      <c r="AN297" s="1">
        <v>51965</v>
      </c>
      <c r="AO297" s="1">
        <v>56079</v>
      </c>
      <c r="AP297" s="1">
        <v>54363</v>
      </c>
      <c r="AQ297" s="1">
        <v>56745</v>
      </c>
      <c r="AR297" s="1">
        <v>55454</v>
      </c>
      <c r="AS297" s="1">
        <v>57924</v>
      </c>
      <c r="AT297" s="1">
        <v>58579</v>
      </c>
      <c r="AU297" s="1">
        <v>57307</v>
      </c>
      <c r="AV297" s="1">
        <v>59782</v>
      </c>
      <c r="AW297" s="1">
        <v>58348</v>
      </c>
      <c r="AX297" s="1">
        <v>60830</v>
      </c>
      <c r="AY297" s="1"/>
      <c r="BA297" s="21">
        <f t="shared" si="216"/>
        <v>305962</v>
      </c>
      <c r="BB297" s="22">
        <f t="shared" si="217"/>
        <v>25496.833333333332</v>
      </c>
      <c r="BD297" s="7">
        <f t="shared" si="218"/>
        <v>740996</v>
      </c>
      <c r="BE297" s="7">
        <f t="shared" si="219"/>
        <v>435034</v>
      </c>
      <c r="BF297" s="8">
        <f t="shared" si="220"/>
        <v>1.4218563089533993</v>
      </c>
      <c r="BG297" s="7">
        <f t="shared" si="221"/>
        <v>61749.666666666664</v>
      </c>
      <c r="BI297" s="12">
        <f t="shared" si="222"/>
        <v>652620</v>
      </c>
      <c r="BJ297" s="12">
        <f t="shared" si="223"/>
        <v>-88376</v>
      </c>
      <c r="BK297" s="13">
        <f t="shared" si="224"/>
        <v>-0.11926650076383682</v>
      </c>
      <c r="BL297" s="24">
        <f t="shared" si="225"/>
        <v>45165.125</v>
      </c>
      <c r="BM297" s="24">
        <f t="shared" si="226"/>
        <v>72824.75</v>
      </c>
      <c r="BO297" s="17">
        <f t="shared" si="227"/>
        <v>686269</v>
      </c>
      <c r="BP297" s="17">
        <f t="shared" si="228"/>
        <v>33649</v>
      </c>
      <c r="BQ297" s="18">
        <f t="shared" si="229"/>
        <v>5.1559866384726094E-2</v>
      </c>
      <c r="BR297" s="25">
        <f t="shared" si="230"/>
        <v>57189.083333333336</v>
      </c>
    </row>
    <row r="298" spans="1:70">
      <c r="A298" t="s">
        <v>472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56075</v>
      </c>
      <c r="K298" s="1">
        <v>89294</v>
      </c>
      <c r="L298" s="1">
        <v>90432</v>
      </c>
      <c r="M298" s="1">
        <v>86355</v>
      </c>
      <c r="N298" s="1">
        <v>88083</v>
      </c>
      <c r="O298" s="1">
        <v>88514</v>
      </c>
      <c r="P298" s="1">
        <v>81879</v>
      </c>
      <c r="Q298" s="1">
        <v>86379</v>
      </c>
      <c r="R298" s="1">
        <v>81904</v>
      </c>
      <c r="S298" s="1">
        <v>84468</v>
      </c>
      <c r="T298" s="1">
        <v>80777</v>
      </c>
      <c r="U298" s="1">
        <v>82782</v>
      </c>
      <c r="V298" s="1">
        <v>77765</v>
      </c>
      <c r="W298" s="1">
        <v>71988</v>
      </c>
      <c r="X298" s="1">
        <v>77844</v>
      </c>
      <c r="Y298" s="1">
        <v>73962</v>
      </c>
      <c r="Z298" s="1">
        <v>75428</v>
      </c>
      <c r="AA298" s="1">
        <v>68378</v>
      </c>
      <c r="AB298" s="1">
        <v>58799</v>
      </c>
      <c r="AC298" s="1">
        <v>65655</v>
      </c>
      <c r="AD298" s="1">
        <v>49707</v>
      </c>
      <c r="AE298" s="1">
        <v>56452</v>
      </c>
      <c r="AF298" s="1">
        <v>49065</v>
      </c>
      <c r="AG298" s="1">
        <v>47675</v>
      </c>
      <c r="AH298" s="1">
        <v>46818</v>
      </c>
      <c r="AI298" s="1">
        <v>81256</v>
      </c>
      <c r="AJ298" s="1">
        <v>70092</v>
      </c>
      <c r="AK298" s="1">
        <v>63619</v>
      </c>
      <c r="AL298" s="1">
        <v>61515</v>
      </c>
      <c r="AM298" s="1">
        <v>63236</v>
      </c>
      <c r="AN298" s="1">
        <v>57923</v>
      </c>
      <c r="AO298" s="1">
        <v>64984</v>
      </c>
      <c r="AP298" s="1">
        <v>59384</v>
      </c>
      <c r="AQ298" s="1">
        <v>61986</v>
      </c>
      <c r="AR298" s="1">
        <v>60575</v>
      </c>
      <c r="AS298" s="1">
        <v>61013</v>
      </c>
      <c r="AT298" s="1">
        <v>61704</v>
      </c>
      <c r="AU298" s="1">
        <v>60364</v>
      </c>
      <c r="AV298" s="1">
        <v>60639</v>
      </c>
      <c r="AW298" s="1">
        <v>59184</v>
      </c>
      <c r="AX298" s="1">
        <v>61702</v>
      </c>
      <c r="AY298" s="1"/>
      <c r="BA298" s="21">
        <f t="shared" si="216"/>
        <v>410239</v>
      </c>
      <c r="BB298" s="22">
        <f t="shared" si="217"/>
        <v>34186.583333333336</v>
      </c>
      <c r="BD298" s="7">
        <f t="shared" si="218"/>
        <v>963690</v>
      </c>
      <c r="BE298" s="7">
        <f t="shared" si="219"/>
        <v>553451</v>
      </c>
      <c r="BF298" s="8">
        <f t="shared" si="220"/>
        <v>1.3490940646793699</v>
      </c>
      <c r="BG298" s="7">
        <f t="shared" si="221"/>
        <v>80307.5</v>
      </c>
      <c r="BI298" s="12">
        <f t="shared" si="222"/>
        <v>719031</v>
      </c>
      <c r="BJ298" s="12">
        <f t="shared" si="223"/>
        <v>-244659</v>
      </c>
      <c r="BK298" s="13">
        <f t="shared" si="224"/>
        <v>-0.25387728418889888</v>
      </c>
      <c r="BL298" s="24">
        <f t="shared" si="225"/>
        <v>55318.625</v>
      </c>
      <c r="BM298" s="24">
        <f t="shared" si="226"/>
        <v>69120.5</v>
      </c>
      <c r="BO298" s="17">
        <f t="shared" si="227"/>
        <v>732694</v>
      </c>
      <c r="BP298" s="17">
        <f t="shared" si="228"/>
        <v>13663</v>
      </c>
      <c r="BQ298" s="18">
        <f t="shared" si="229"/>
        <v>1.9001962363236036E-2</v>
      </c>
      <c r="BR298" s="25">
        <f t="shared" si="230"/>
        <v>61057.833333333336</v>
      </c>
    </row>
    <row r="299" spans="1:70">
      <c r="A299" t="s">
        <v>473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139802</v>
      </c>
      <c r="K299" s="1">
        <v>223695</v>
      </c>
      <c r="L299" s="1">
        <v>229633</v>
      </c>
      <c r="M299" s="1">
        <v>220552</v>
      </c>
      <c r="N299" s="1">
        <v>222564</v>
      </c>
      <c r="O299" s="1">
        <v>219942</v>
      </c>
      <c r="P299" s="1">
        <v>205025</v>
      </c>
      <c r="Q299" s="1">
        <v>222776</v>
      </c>
      <c r="R299" s="1">
        <v>214378</v>
      </c>
      <c r="S299" s="1">
        <v>216151</v>
      </c>
      <c r="T299" s="1">
        <v>201729</v>
      </c>
      <c r="U299" s="1">
        <v>207951</v>
      </c>
      <c r="V299" s="1">
        <v>208302</v>
      </c>
      <c r="W299" s="1">
        <v>199280</v>
      </c>
      <c r="X299" s="1">
        <v>184024</v>
      </c>
      <c r="Y299" s="1">
        <v>177583</v>
      </c>
      <c r="Z299" s="1">
        <v>184889</v>
      </c>
      <c r="AA299" s="1">
        <v>156346</v>
      </c>
      <c r="AB299" s="1">
        <v>135225</v>
      </c>
      <c r="AC299" s="1">
        <v>149149</v>
      </c>
      <c r="AD299" s="1">
        <v>128740</v>
      </c>
      <c r="AE299" s="1">
        <v>127840</v>
      </c>
      <c r="AF299" s="1">
        <v>134859</v>
      </c>
      <c r="AG299" s="1">
        <v>122875</v>
      </c>
      <c r="AH299" s="1">
        <v>118595</v>
      </c>
      <c r="AI299" s="1">
        <v>179396</v>
      </c>
      <c r="AJ299" s="1">
        <v>176855</v>
      </c>
      <c r="AK299" s="1">
        <v>157990</v>
      </c>
      <c r="AL299" s="1">
        <v>150247</v>
      </c>
      <c r="AM299" s="1">
        <v>146591</v>
      </c>
      <c r="AN299" s="1">
        <v>131291</v>
      </c>
      <c r="AO299" s="1">
        <v>143950</v>
      </c>
      <c r="AP299" s="1">
        <v>137662</v>
      </c>
      <c r="AQ299" s="1">
        <v>140273</v>
      </c>
      <c r="AR299" s="1">
        <v>133738</v>
      </c>
      <c r="AS299" s="1">
        <v>136201</v>
      </c>
      <c r="AT299" s="1">
        <v>134211</v>
      </c>
      <c r="AU299" s="1">
        <v>127841</v>
      </c>
      <c r="AV299" s="1">
        <v>129758</v>
      </c>
      <c r="AW299" s="1">
        <v>126645</v>
      </c>
      <c r="AX299" s="1">
        <v>132033</v>
      </c>
      <c r="AY299" s="1"/>
      <c r="BA299" s="21">
        <f t="shared" si="216"/>
        <v>1036246</v>
      </c>
      <c r="BB299" s="22">
        <f t="shared" si="217"/>
        <v>86353.833333333328</v>
      </c>
      <c r="BD299" s="7">
        <f t="shared" si="218"/>
        <v>2442030</v>
      </c>
      <c r="BE299" s="7">
        <f t="shared" si="219"/>
        <v>1405784</v>
      </c>
      <c r="BF299" s="8">
        <f t="shared" si="220"/>
        <v>1.356612233002588</v>
      </c>
      <c r="BG299" s="7">
        <f t="shared" si="221"/>
        <v>203502.5</v>
      </c>
      <c r="BI299" s="12">
        <f t="shared" si="222"/>
        <v>1738117</v>
      </c>
      <c r="BJ299" s="12">
        <f t="shared" si="223"/>
        <v>-703913</v>
      </c>
      <c r="BK299" s="13">
        <f t="shared" si="224"/>
        <v>-0.28824912060867391</v>
      </c>
      <c r="BL299" s="24">
        <f t="shared" si="225"/>
        <v>134203.625</v>
      </c>
      <c r="BM299" s="24">
        <f t="shared" si="226"/>
        <v>166122</v>
      </c>
      <c r="BO299" s="17">
        <f t="shared" si="227"/>
        <v>1620194</v>
      </c>
      <c r="BP299" s="17">
        <f t="shared" si="228"/>
        <v>-117923</v>
      </c>
      <c r="BQ299" s="18">
        <f t="shared" si="229"/>
        <v>-6.7845260129208773E-2</v>
      </c>
      <c r="BR299" s="25">
        <f t="shared" si="230"/>
        <v>135016.16666666666</v>
      </c>
    </row>
    <row r="300" spans="1:70">
      <c r="A300" t="s">
        <v>474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81689</v>
      </c>
      <c r="K300" s="1">
        <v>126481</v>
      </c>
      <c r="L300" s="1">
        <v>124291</v>
      </c>
      <c r="M300" s="1">
        <v>116029</v>
      </c>
      <c r="N300" s="1">
        <v>113707</v>
      </c>
      <c r="O300" s="1">
        <v>112419</v>
      </c>
      <c r="P300" s="1">
        <v>106055</v>
      </c>
      <c r="Q300" s="1">
        <v>113882</v>
      </c>
      <c r="R300" s="1">
        <v>107387</v>
      </c>
      <c r="S300" s="1">
        <v>108949</v>
      </c>
      <c r="T300" s="1">
        <v>104471</v>
      </c>
      <c r="U300" s="1">
        <v>109028</v>
      </c>
      <c r="V300" s="1">
        <v>106970</v>
      </c>
      <c r="W300" s="1">
        <v>102386</v>
      </c>
      <c r="X300" s="1">
        <v>111402</v>
      </c>
      <c r="Y300" s="1">
        <v>107354</v>
      </c>
      <c r="Z300" s="1">
        <v>109785</v>
      </c>
      <c r="AA300" s="1">
        <v>95049</v>
      </c>
      <c r="AB300" s="1">
        <v>81362</v>
      </c>
      <c r="AC300" s="1">
        <v>91708</v>
      </c>
      <c r="AD300" s="1">
        <v>79261</v>
      </c>
      <c r="AE300" s="1">
        <v>79826</v>
      </c>
      <c r="AF300" s="1">
        <v>70960</v>
      </c>
      <c r="AG300" s="1">
        <v>73246</v>
      </c>
      <c r="AH300" s="1">
        <v>72589</v>
      </c>
      <c r="AI300" s="1">
        <v>99512</v>
      </c>
      <c r="AJ300" s="1">
        <v>98103</v>
      </c>
      <c r="AK300" s="1">
        <v>87878</v>
      </c>
      <c r="AL300" s="1">
        <v>83813</v>
      </c>
      <c r="AM300" s="1">
        <v>78851</v>
      </c>
      <c r="AN300" s="1">
        <v>70722</v>
      </c>
      <c r="AO300" s="1">
        <v>77655</v>
      </c>
      <c r="AP300" s="1">
        <v>74379</v>
      </c>
      <c r="AQ300" s="1">
        <v>75913</v>
      </c>
      <c r="AR300" s="1">
        <v>72499</v>
      </c>
      <c r="AS300" s="1">
        <v>73967</v>
      </c>
      <c r="AT300" s="1">
        <v>73023</v>
      </c>
      <c r="AU300" s="1">
        <v>69695</v>
      </c>
      <c r="AV300" s="1">
        <v>70887</v>
      </c>
      <c r="AW300" s="1">
        <v>69186</v>
      </c>
      <c r="AX300" s="1">
        <v>72130</v>
      </c>
      <c r="AY300" s="1"/>
      <c r="BA300" s="21">
        <f t="shared" si="216"/>
        <v>562197</v>
      </c>
      <c r="BB300" s="22">
        <f t="shared" si="217"/>
        <v>46849.75</v>
      </c>
      <c r="BD300" s="7">
        <f t="shared" si="218"/>
        <v>1300088</v>
      </c>
      <c r="BE300" s="7">
        <f t="shared" si="219"/>
        <v>737891</v>
      </c>
      <c r="BF300" s="8">
        <f t="shared" si="220"/>
        <v>1.3125132293484314</v>
      </c>
      <c r="BG300" s="7">
        <f t="shared" si="221"/>
        <v>108340.66666666667</v>
      </c>
      <c r="BI300" s="12">
        <f t="shared" si="222"/>
        <v>1013307</v>
      </c>
      <c r="BJ300" s="12">
        <f t="shared" si="223"/>
        <v>-286781</v>
      </c>
      <c r="BK300" s="13">
        <f t="shared" si="224"/>
        <v>-0.22058583726640046</v>
      </c>
      <c r="BL300" s="24">
        <f t="shared" si="225"/>
        <v>80500.125</v>
      </c>
      <c r="BM300" s="24">
        <f t="shared" si="226"/>
        <v>92326.5</v>
      </c>
      <c r="BO300" s="17">
        <f t="shared" si="227"/>
        <v>878907</v>
      </c>
      <c r="BP300" s="17">
        <f t="shared" si="228"/>
        <v>-134400</v>
      </c>
      <c r="BQ300" s="18">
        <f t="shared" si="229"/>
        <v>-0.13263502571283925</v>
      </c>
      <c r="BR300" s="25">
        <f t="shared" si="230"/>
        <v>73242.25</v>
      </c>
    </row>
    <row r="301" spans="1:70">
      <c r="A301" t="s">
        <v>475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20606</v>
      </c>
      <c r="K301" s="1">
        <v>31418</v>
      </c>
      <c r="L301" s="1">
        <v>29927</v>
      </c>
      <c r="M301" s="1">
        <v>27389</v>
      </c>
      <c r="N301" s="1">
        <v>26655</v>
      </c>
      <c r="O301" s="1">
        <v>27076</v>
      </c>
      <c r="P301" s="1">
        <v>26455</v>
      </c>
      <c r="Q301" s="1">
        <v>28772</v>
      </c>
      <c r="R301" s="1">
        <v>27027</v>
      </c>
      <c r="S301" s="1">
        <v>27583</v>
      </c>
      <c r="T301" s="1">
        <v>26788</v>
      </c>
      <c r="U301" s="1">
        <v>26785</v>
      </c>
      <c r="V301" s="1">
        <v>23968</v>
      </c>
      <c r="W301" s="1">
        <v>22530</v>
      </c>
      <c r="X301" s="1">
        <v>26112</v>
      </c>
      <c r="Y301" s="1">
        <v>25556</v>
      </c>
      <c r="Z301" s="1">
        <v>25812</v>
      </c>
      <c r="AA301" s="1">
        <v>22519</v>
      </c>
      <c r="AB301" s="1">
        <v>20518</v>
      </c>
      <c r="AC301" s="1">
        <v>23572</v>
      </c>
      <c r="AD301" s="1">
        <v>20001</v>
      </c>
      <c r="AE301" s="1">
        <v>20499</v>
      </c>
      <c r="AF301" s="1">
        <v>16941</v>
      </c>
      <c r="AG301" s="1">
        <v>23443</v>
      </c>
      <c r="AH301" s="1">
        <v>19529</v>
      </c>
      <c r="AI301" s="1">
        <v>23191</v>
      </c>
      <c r="AJ301" s="1">
        <v>21989</v>
      </c>
      <c r="AK301" s="1">
        <v>18773</v>
      </c>
      <c r="AL301" s="1">
        <v>17045</v>
      </c>
      <c r="AM301" s="1">
        <v>16494</v>
      </c>
      <c r="AN301" s="1">
        <v>14787</v>
      </c>
      <c r="AO301" s="1">
        <v>16229</v>
      </c>
      <c r="AP301" s="1">
        <v>15536</v>
      </c>
      <c r="AQ301" s="1">
        <v>15848</v>
      </c>
      <c r="AR301" s="1">
        <v>15128</v>
      </c>
      <c r="AS301" s="1">
        <v>15425</v>
      </c>
      <c r="AT301" s="1">
        <v>15219</v>
      </c>
      <c r="AU301" s="1">
        <v>14889</v>
      </c>
      <c r="AV301" s="1">
        <v>15532</v>
      </c>
      <c r="AW301" s="1">
        <v>15159</v>
      </c>
      <c r="AX301" s="1">
        <v>15804</v>
      </c>
      <c r="AY301" s="1"/>
      <c r="BA301" s="21">
        <f t="shared" si="216"/>
        <v>135995</v>
      </c>
      <c r="BB301" s="22">
        <f t="shared" si="217"/>
        <v>11332.916666666666</v>
      </c>
      <c r="BD301" s="7">
        <f t="shared" si="218"/>
        <v>314464</v>
      </c>
      <c r="BE301" s="7">
        <f t="shared" si="219"/>
        <v>178469</v>
      </c>
      <c r="BF301" s="8">
        <f t="shared" si="220"/>
        <v>1.312320305893599</v>
      </c>
      <c r="BG301" s="7">
        <f t="shared" si="221"/>
        <v>26205.333333333332</v>
      </c>
      <c r="BI301" s="12">
        <f t="shared" si="222"/>
        <v>248020</v>
      </c>
      <c r="BJ301" s="12">
        <f t="shared" si="223"/>
        <v>-66444</v>
      </c>
      <c r="BK301" s="13">
        <f t="shared" si="224"/>
        <v>-0.21129286659204238</v>
      </c>
      <c r="BL301" s="24">
        <f t="shared" si="225"/>
        <v>20877.75</v>
      </c>
      <c r="BM301" s="24">
        <f t="shared" si="226"/>
        <v>20249.5</v>
      </c>
      <c r="BO301" s="17">
        <f t="shared" si="227"/>
        <v>186050</v>
      </c>
      <c r="BP301" s="17">
        <f t="shared" si="228"/>
        <v>-61970</v>
      </c>
      <c r="BQ301" s="18">
        <f t="shared" si="229"/>
        <v>-0.24985888234819775</v>
      </c>
      <c r="BR301" s="25">
        <f t="shared" si="230"/>
        <v>15504.166666666666</v>
      </c>
    </row>
    <row r="302" spans="1:70">
      <c r="A302" t="s">
        <v>476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1789</v>
      </c>
      <c r="K302" s="1">
        <v>2872</v>
      </c>
      <c r="L302" s="1">
        <v>2963</v>
      </c>
      <c r="M302" s="1">
        <v>2878</v>
      </c>
      <c r="N302" s="1">
        <v>2990</v>
      </c>
      <c r="O302" s="1">
        <v>4458</v>
      </c>
      <c r="P302" s="1">
        <v>4171</v>
      </c>
      <c r="Q302" s="1">
        <v>2993</v>
      </c>
      <c r="R302" s="1">
        <v>2909</v>
      </c>
      <c r="S302" s="1">
        <v>3061</v>
      </c>
      <c r="T302" s="1">
        <v>2962</v>
      </c>
      <c r="U302" s="1">
        <v>3048</v>
      </c>
      <c r="V302" s="1">
        <v>3104</v>
      </c>
      <c r="W302" s="1">
        <v>2565</v>
      </c>
      <c r="X302" s="1">
        <v>2793</v>
      </c>
      <c r="Y302" s="1">
        <v>2687</v>
      </c>
      <c r="Z302" s="1">
        <v>2791</v>
      </c>
      <c r="AA302" s="1">
        <v>2579</v>
      </c>
      <c r="AB302" s="1">
        <v>2194</v>
      </c>
      <c r="AC302" s="1">
        <v>2470</v>
      </c>
      <c r="AD302" s="1">
        <v>2181</v>
      </c>
      <c r="AE302" s="1">
        <v>2197</v>
      </c>
      <c r="AF302" s="1">
        <v>955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/>
      <c r="BA302" s="21">
        <f t="shared" si="216"/>
        <v>13492</v>
      </c>
      <c r="BB302" s="22">
        <f t="shared" si="217"/>
        <v>1124.3333333333333</v>
      </c>
      <c r="BD302" s="7">
        <f t="shared" si="218"/>
        <v>37542</v>
      </c>
      <c r="BE302" s="7">
        <f t="shared" si="219"/>
        <v>24050</v>
      </c>
      <c r="BF302" s="8">
        <f t="shared" si="220"/>
        <v>1.7825378001778831</v>
      </c>
      <c r="BG302" s="7">
        <f t="shared" si="221"/>
        <v>3128.5</v>
      </c>
      <c r="BI302" s="12">
        <f t="shared" si="222"/>
        <v>12576</v>
      </c>
      <c r="BJ302" s="12">
        <f t="shared" si="223"/>
        <v>-24966</v>
      </c>
      <c r="BK302" s="13">
        <f t="shared" si="224"/>
        <v>-0.66501518299504547</v>
      </c>
      <c r="BL302" s="24">
        <f t="shared" si="225"/>
        <v>1572</v>
      </c>
      <c r="BM302" s="24">
        <f t="shared" si="226"/>
        <v>0</v>
      </c>
      <c r="BO302" s="17">
        <f t="shared" si="227"/>
        <v>0</v>
      </c>
      <c r="BP302" s="17">
        <f t="shared" si="228"/>
        <v>-12576</v>
      </c>
      <c r="BQ302" s="18">
        <f t="shared" si="229"/>
        <v>-1</v>
      </c>
      <c r="BR302" s="25">
        <f t="shared" si="230"/>
        <v>0</v>
      </c>
    </row>
    <row r="303" spans="1:70">
      <c r="A303" t="s">
        <v>11</v>
      </c>
      <c r="B303" t="s">
        <v>12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70">
      <c r="A304" t="s">
        <v>477</v>
      </c>
      <c r="C304" s="1">
        <v>314400</v>
      </c>
      <c r="D304" s="1">
        <v>275901</v>
      </c>
      <c r="E304" s="1">
        <v>395785</v>
      </c>
      <c r="F304" s="1">
        <v>365562</v>
      </c>
      <c r="G304" s="1">
        <v>357791</v>
      </c>
      <c r="H304" s="1">
        <v>336743</v>
      </c>
      <c r="I304" s="1">
        <v>332642</v>
      </c>
      <c r="J304" s="1">
        <v>532864</v>
      </c>
      <c r="K304" s="1">
        <v>550540</v>
      </c>
      <c r="L304" s="1">
        <v>555526</v>
      </c>
      <c r="M304" s="1">
        <v>528576</v>
      </c>
      <c r="N304" s="1">
        <v>530303</v>
      </c>
      <c r="O304" s="1">
        <v>528744</v>
      </c>
      <c r="P304" s="1">
        <v>495022</v>
      </c>
      <c r="Q304" s="1">
        <v>531626</v>
      </c>
      <c r="R304" s="1">
        <v>507459</v>
      </c>
      <c r="S304" s="1">
        <v>516589</v>
      </c>
      <c r="T304" s="1">
        <v>489564</v>
      </c>
      <c r="U304" s="1">
        <v>504391</v>
      </c>
      <c r="V304" s="1">
        <v>491344</v>
      </c>
      <c r="W304" s="1">
        <v>463365</v>
      </c>
      <c r="X304" s="1">
        <v>472134</v>
      </c>
      <c r="Y304" s="1">
        <v>454720</v>
      </c>
      <c r="Z304" s="1">
        <v>468422</v>
      </c>
      <c r="AA304" s="1">
        <v>399498</v>
      </c>
      <c r="AB304" s="1">
        <v>345787</v>
      </c>
      <c r="AC304" s="1">
        <v>386109</v>
      </c>
      <c r="AD304" s="1">
        <v>330881</v>
      </c>
      <c r="AE304" s="1">
        <v>334223</v>
      </c>
      <c r="AF304" s="1">
        <v>318898</v>
      </c>
      <c r="AG304" s="1">
        <v>318163</v>
      </c>
      <c r="AH304" s="1">
        <v>308003</v>
      </c>
      <c r="AI304" s="1">
        <v>486079</v>
      </c>
      <c r="AJ304" s="1">
        <v>454744</v>
      </c>
      <c r="AK304" s="1">
        <v>406661</v>
      </c>
      <c r="AL304" s="1">
        <v>387221</v>
      </c>
      <c r="AM304" s="1">
        <v>375079</v>
      </c>
      <c r="AN304" s="1">
        <v>337113</v>
      </c>
      <c r="AO304" s="1">
        <v>370990</v>
      </c>
      <c r="AP304" s="1">
        <v>353580</v>
      </c>
      <c r="AQ304" s="1">
        <v>364023</v>
      </c>
      <c r="AR304" s="1">
        <v>350840</v>
      </c>
      <c r="AS304" s="1">
        <v>359125</v>
      </c>
      <c r="AT304" s="1">
        <v>358100</v>
      </c>
      <c r="AU304" s="1">
        <v>345767</v>
      </c>
      <c r="AV304" s="1">
        <v>353673</v>
      </c>
      <c r="AW304" s="1">
        <v>345964</v>
      </c>
      <c r="AX304" s="1">
        <v>361571</v>
      </c>
      <c r="AY304" s="1"/>
      <c r="BA304" s="21">
        <f>SUM(C304:N304)</f>
        <v>5076633</v>
      </c>
      <c r="BB304" s="22">
        <f>+BA304/12</f>
        <v>423052.75</v>
      </c>
      <c r="BD304" s="7">
        <f>SUM(O304:Z304)</f>
        <v>5923380</v>
      </c>
      <c r="BE304" s="7">
        <f>+BD304-BA304</f>
        <v>846747</v>
      </c>
      <c r="BF304" s="8">
        <f>(BD304/BA304)-1</f>
        <v>0.16679302994721112</v>
      </c>
      <c r="BG304" s="7">
        <f>BD304/12</f>
        <v>493615</v>
      </c>
      <c r="BI304" s="12">
        <f>+SUM(AA304:AL304)</f>
        <v>4476267</v>
      </c>
      <c r="BJ304" s="12">
        <f>+BI304-BD304</f>
        <v>-1447113</v>
      </c>
      <c r="BK304" s="13">
        <f>(BI304/BD304)-1</f>
        <v>-0.24430527840523486</v>
      </c>
      <c r="BL304" s="24">
        <f>SUM(AA304:AH304)/8</f>
        <v>342695.25</v>
      </c>
      <c r="BM304" s="24">
        <f>SUM(AI304:AL304)/4</f>
        <v>433676.25</v>
      </c>
      <c r="BO304" s="17">
        <f>+SUM(AM304:AX304)</f>
        <v>4275825</v>
      </c>
      <c r="BP304" s="17">
        <f>+BO304-BI304</f>
        <v>-200442</v>
      </c>
      <c r="BQ304" s="18">
        <f>(BO304/BI304)-1</f>
        <v>-4.477883021723239E-2</v>
      </c>
      <c r="BR304" s="25">
        <f>BO304/12</f>
        <v>356318.75</v>
      </c>
    </row>
    <row r="305" spans="1:70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70">
      <c r="A306" t="s">
        <v>478</v>
      </c>
      <c r="B306">
        <v>220706</v>
      </c>
      <c r="C306" s="1">
        <v>68415</v>
      </c>
      <c r="D306" s="1">
        <v>58923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43925</v>
      </c>
      <c r="AG306" s="1">
        <v>201755</v>
      </c>
      <c r="AH306" s="1">
        <v>295489</v>
      </c>
      <c r="AI306" s="1">
        <v>297219</v>
      </c>
      <c r="AJ306" s="1">
        <v>385267</v>
      </c>
      <c r="AK306" s="1">
        <v>514040</v>
      </c>
      <c r="AL306" s="1">
        <v>988513</v>
      </c>
      <c r="AM306" s="1">
        <v>1284803</v>
      </c>
      <c r="AN306" s="1">
        <v>1112815</v>
      </c>
      <c r="AO306" s="1">
        <v>1249081</v>
      </c>
      <c r="AP306" s="1">
        <v>1223855</v>
      </c>
      <c r="AQ306" s="1">
        <v>1278701</v>
      </c>
      <c r="AR306" s="1">
        <v>1162859</v>
      </c>
      <c r="AS306" s="1">
        <v>1215977</v>
      </c>
      <c r="AT306" s="1">
        <v>1231242</v>
      </c>
      <c r="AU306" s="1">
        <v>1106900</v>
      </c>
      <c r="AV306" s="1">
        <v>1157458</v>
      </c>
      <c r="AW306" s="1">
        <v>1133569</v>
      </c>
      <c r="AX306" s="1">
        <v>1182614</v>
      </c>
      <c r="AY306" s="1"/>
      <c r="BA306" s="21">
        <f>SUM(C306:N306)</f>
        <v>127338</v>
      </c>
      <c r="BB306" s="22">
        <f>+BA306/12</f>
        <v>10611.5</v>
      </c>
      <c r="BD306" s="7">
        <f>SUM(O306:Z306)</f>
        <v>0</v>
      </c>
      <c r="BE306" s="7">
        <f>+BD306-BA306</f>
        <v>-127338</v>
      </c>
      <c r="BF306" s="8">
        <f>(BD306/BA306)-1</f>
        <v>-1</v>
      </c>
      <c r="BG306" s="7">
        <f>BD306/12</f>
        <v>0</v>
      </c>
      <c r="BI306" s="12">
        <f>+SUM(AA306:AL306)</f>
        <v>2726208</v>
      </c>
      <c r="BJ306" s="12">
        <f>+BI306-BD306</f>
        <v>2726208</v>
      </c>
      <c r="BK306" s="13" t="e">
        <f>(BI306/BD306)-1</f>
        <v>#DIV/0!</v>
      </c>
      <c r="BL306" s="24">
        <f>SUM(AA306:AH306)/8</f>
        <v>67646.125</v>
      </c>
      <c r="BM306" s="24">
        <f>SUM(AI306:AL306)/4</f>
        <v>546259.75</v>
      </c>
      <c r="BO306" s="17">
        <f>+SUM(AM306:AX306)</f>
        <v>14339874</v>
      </c>
      <c r="BP306" s="17">
        <f>+BO306-BI306</f>
        <v>11613666</v>
      </c>
      <c r="BQ306" s="18">
        <f>(BO306/BI306)-1</f>
        <v>4.2600073068525957</v>
      </c>
      <c r="BR306" s="25">
        <f>BO306/12</f>
        <v>1194989.5</v>
      </c>
    </row>
    <row r="307" spans="1:70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BA307" s="21"/>
      <c r="BB307" s="22"/>
      <c r="BD307" s="7"/>
      <c r="BE307" s="7"/>
      <c r="BF307" s="8"/>
      <c r="BG307" s="7"/>
      <c r="BI307" s="12"/>
      <c r="BJ307" s="12"/>
      <c r="BK307" s="13"/>
      <c r="BL307" s="24"/>
      <c r="BM307" s="24"/>
      <c r="BO307" s="17"/>
      <c r="BP307" s="17"/>
      <c r="BQ307" s="18"/>
      <c r="BR307" s="25"/>
    </row>
    <row r="308" spans="1:70">
      <c r="A308" t="s">
        <v>480</v>
      </c>
      <c r="B308">
        <v>220711</v>
      </c>
      <c r="C308" s="1">
        <v>31946</v>
      </c>
      <c r="D308" s="1">
        <v>26830</v>
      </c>
      <c r="E308" s="1">
        <v>0</v>
      </c>
      <c r="F308" s="1">
        <v>28494</v>
      </c>
      <c r="G308" s="1">
        <v>89028</v>
      </c>
      <c r="H308" s="1">
        <v>99289</v>
      </c>
      <c r="I308" s="1">
        <v>100687</v>
      </c>
      <c r="J308" s="1">
        <v>34802</v>
      </c>
      <c r="K308" s="1">
        <v>234</v>
      </c>
      <c r="L308" s="1">
        <v>304</v>
      </c>
      <c r="M308" s="1">
        <v>350</v>
      </c>
      <c r="N308" s="1">
        <v>405</v>
      </c>
      <c r="O308" s="1">
        <v>466</v>
      </c>
      <c r="P308" s="1">
        <v>523</v>
      </c>
      <c r="Q308" s="1">
        <v>698</v>
      </c>
      <c r="R308" s="1">
        <v>791</v>
      </c>
      <c r="S308" s="1">
        <v>1009</v>
      </c>
      <c r="T308" s="1">
        <v>1107</v>
      </c>
      <c r="U308" s="1">
        <v>1247</v>
      </c>
      <c r="V308" s="1">
        <v>1284</v>
      </c>
      <c r="W308" s="1">
        <v>1455</v>
      </c>
      <c r="X308" s="1">
        <v>1650</v>
      </c>
      <c r="Y308" s="1">
        <v>1676</v>
      </c>
      <c r="Z308" s="1">
        <v>1910</v>
      </c>
      <c r="AA308" s="1">
        <v>2904</v>
      </c>
      <c r="AB308" s="1">
        <v>2668</v>
      </c>
      <c r="AC308" s="1">
        <v>2108</v>
      </c>
      <c r="AD308" s="1">
        <v>3596</v>
      </c>
      <c r="AE308" s="1">
        <v>26151</v>
      </c>
      <c r="AF308" s="1">
        <v>2255</v>
      </c>
      <c r="AG308" s="1">
        <v>3340</v>
      </c>
      <c r="AH308" s="1">
        <v>2725</v>
      </c>
      <c r="AI308" s="1">
        <v>3558</v>
      </c>
      <c r="AJ308" s="1">
        <v>3112</v>
      </c>
      <c r="AK308" s="1">
        <v>2464</v>
      </c>
      <c r="AL308" s="1">
        <v>1034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/>
      <c r="BA308" s="21">
        <f t="shared" ref="BA308:BA314" si="231">SUM(C308:N308)</f>
        <v>412369</v>
      </c>
      <c r="BB308" s="22">
        <f t="shared" ref="BB308:BB314" si="232">+BA308/12</f>
        <v>34364.083333333336</v>
      </c>
      <c r="BD308" s="7">
        <f t="shared" ref="BD308:BD314" si="233">SUM(O308:Z308)</f>
        <v>13816</v>
      </c>
      <c r="BE308" s="7">
        <f t="shared" ref="BE308:BE314" si="234">+BD308-BA308</f>
        <v>-398553</v>
      </c>
      <c r="BF308" s="8">
        <f t="shared" ref="BF308:BF314" si="235">(BD308/BA308)-1</f>
        <v>-0.96649602661693779</v>
      </c>
      <c r="BG308" s="7">
        <f t="shared" ref="BG308:BG314" si="236">BD308/12</f>
        <v>1151.3333333333333</v>
      </c>
      <c r="BI308" s="12">
        <f t="shared" ref="BI308:BI314" si="237">+SUM(AA308:AL308)</f>
        <v>55915</v>
      </c>
      <c r="BJ308" s="12">
        <f t="shared" ref="BJ308:BJ314" si="238">+BI308-BD308</f>
        <v>42099</v>
      </c>
      <c r="BK308" s="13">
        <f t="shared" ref="BK308:BK314" si="239">(BI308/BD308)-1</f>
        <v>3.0471192819918933</v>
      </c>
      <c r="BL308" s="24">
        <f t="shared" ref="BL308:BL314" si="240">SUM(AA308:AH308)/8</f>
        <v>5718.375</v>
      </c>
      <c r="BM308" s="24">
        <f t="shared" ref="BM308:BM314" si="241">SUM(AI308:AL308)/4</f>
        <v>2542</v>
      </c>
      <c r="BO308" s="17">
        <f t="shared" ref="BO308:BO314" si="242">+SUM(AM308:AX308)</f>
        <v>0</v>
      </c>
      <c r="BP308" s="17">
        <f t="shared" ref="BP308:BP314" si="243">+BO308-BI308</f>
        <v>-55915</v>
      </c>
      <c r="BQ308" s="18">
        <f t="shared" ref="BQ308:BQ314" si="244">(BO308/BI308)-1</f>
        <v>-1</v>
      </c>
      <c r="BR308" s="25">
        <f t="shared" ref="BR308:BR314" si="245">BO308/12</f>
        <v>0</v>
      </c>
    </row>
    <row r="309" spans="1:70">
      <c r="A309" t="s">
        <v>481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4819</v>
      </c>
      <c r="K309" s="1">
        <v>7432</v>
      </c>
      <c r="L309" s="1">
        <v>8594</v>
      </c>
      <c r="M309" s="1">
        <v>9815</v>
      </c>
      <c r="N309" s="1">
        <v>12002</v>
      </c>
      <c r="O309" s="1">
        <v>13836</v>
      </c>
      <c r="P309" s="1">
        <v>14803</v>
      </c>
      <c r="Q309" s="1">
        <v>18111</v>
      </c>
      <c r="R309" s="1">
        <v>18976</v>
      </c>
      <c r="S309" s="1">
        <v>21935</v>
      </c>
      <c r="T309" s="1">
        <v>24403</v>
      </c>
      <c r="U309" s="1">
        <v>28957</v>
      </c>
      <c r="V309" s="1">
        <v>28604</v>
      </c>
      <c r="W309" s="1">
        <v>19757</v>
      </c>
      <c r="X309" s="1">
        <v>23123</v>
      </c>
      <c r="Y309" s="1">
        <v>23469</v>
      </c>
      <c r="Z309" s="1">
        <v>25410</v>
      </c>
      <c r="AA309" s="1">
        <v>36144</v>
      </c>
      <c r="AB309" s="1">
        <v>34632</v>
      </c>
      <c r="AC309" s="1">
        <v>40628</v>
      </c>
      <c r="AD309" s="1">
        <v>30860</v>
      </c>
      <c r="AE309" s="1">
        <v>44319</v>
      </c>
      <c r="AF309" s="1">
        <v>105519</v>
      </c>
      <c r="AG309" s="1">
        <v>106338</v>
      </c>
      <c r="AH309" s="1">
        <v>97536</v>
      </c>
      <c r="AI309" s="1">
        <v>51460</v>
      </c>
      <c r="AJ309" s="1">
        <v>47501</v>
      </c>
      <c r="AK309" s="1">
        <v>40466</v>
      </c>
      <c r="AL309" s="1">
        <v>18598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/>
      <c r="BA309" s="21">
        <f t="shared" si="231"/>
        <v>42662</v>
      </c>
      <c r="BB309" s="22">
        <f t="shared" si="232"/>
        <v>3555.1666666666665</v>
      </c>
      <c r="BD309" s="7">
        <f t="shared" si="233"/>
        <v>261384</v>
      </c>
      <c r="BE309" s="7">
        <f t="shared" si="234"/>
        <v>218722</v>
      </c>
      <c r="BF309" s="8">
        <f t="shared" si="235"/>
        <v>5.1268576250527405</v>
      </c>
      <c r="BG309" s="7">
        <f t="shared" si="236"/>
        <v>21782</v>
      </c>
      <c r="BI309" s="12">
        <f t="shared" si="237"/>
        <v>654001</v>
      </c>
      <c r="BJ309" s="12">
        <f t="shared" si="238"/>
        <v>392617</v>
      </c>
      <c r="BK309" s="13">
        <f t="shared" si="239"/>
        <v>1.5020697517828174</v>
      </c>
      <c r="BL309" s="24">
        <f t="shared" si="240"/>
        <v>61997</v>
      </c>
      <c r="BM309" s="24">
        <f t="shared" si="241"/>
        <v>39506.25</v>
      </c>
      <c r="BO309" s="17">
        <f t="shared" si="242"/>
        <v>0</v>
      </c>
      <c r="BP309" s="17">
        <f t="shared" si="243"/>
        <v>-654001</v>
      </c>
      <c r="BQ309" s="18">
        <f t="shared" si="244"/>
        <v>-1</v>
      </c>
      <c r="BR309" s="25">
        <f t="shared" si="245"/>
        <v>0</v>
      </c>
    </row>
    <row r="310" spans="1:70">
      <c r="A310" t="s">
        <v>482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7479</v>
      </c>
      <c r="K310" s="1">
        <v>12054</v>
      </c>
      <c r="L310" s="1">
        <v>15340</v>
      </c>
      <c r="M310" s="1">
        <v>18335</v>
      </c>
      <c r="N310" s="1">
        <v>22786</v>
      </c>
      <c r="O310" s="1">
        <v>24229</v>
      </c>
      <c r="P310" s="1">
        <v>23293</v>
      </c>
      <c r="Q310" s="1">
        <v>27821</v>
      </c>
      <c r="R310" s="1">
        <v>30728</v>
      </c>
      <c r="S310" s="1">
        <v>36549</v>
      </c>
      <c r="T310" s="1">
        <v>37395</v>
      </c>
      <c r="U310" s="1">
        <v>42281</v>
      </c>
      <c r="V310" s="1">
        <v>42355</v>
      </c>
      <c r="W310" s="1">
        <v>35094</v>
      </c>
      <c r="X310" s="1">
        <v>40674</v>
      </c>
      <c r="Y310" s="1">
        <v>41280</v>
      </c>
      <c r="Z310" s="1">
        <v>45752</v>
      </c>
      <c r="AA310" s="1">
        <v>52268</v>
      </c>
      <c r="AB310" s="1">
        <v>50571</v>
      </c>
      <c r="AC310" s="1">
        <v>59147</v>
      </c>
      <c r="AD310" s="1">
        <v>48489</v>
      </c>
      <c r="AE310" s="1">
        <v>61133</v>
      </c>
      <c r="AF310" s="1">
        <v>117257</v>
      </c>
      <c r="AG310" s="1">
        <v>117011</v>
      </c>
      <c r="AH310" s="1">
        <v>110602</v>
      </c>
      <c r="AI310" s="1">
        <v>74894</v>
      </c>
      <c r="AJ310" s="1">
        <v>70946</v>
      </c>
      <c r="AK310" s="1">
        <v>62374</v>
      </c>
      <c r="AL310" s="1">
        <v>29706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/>
      <c r="BA310" s="21">
        <f t="shared" si="231"/>
        <v>75994</v>
      </c>
      <c r="BB310" s="22">
        <f t="shared" si="232"/>
        <v>6332.833333333333</v>
      </c>
      <c r="BD310" s="7">
        <f t="shared" si="233"/>
        <v>427451</v>
      </c>
      <c r="BE310" s="7">
        <f t="shared" si="234"/>
        <v>351457</v>
      </c>
      <c r="BF310" s="8">
        <f t="shared" si="235"/>
        <v>4.6247993262625995</v>
      </c>
      <c r="BG310" s="7">
        <f t="shared" si="236"/>
        <v>35620.916666666664</v>
      </c>
      <c r="BI310" s="12">
        <f t="shared" si="237"/>
        <v>854398</v>
      </c>
      <c r="BJ310" s="12">
        <f t="shared" si="238"/>
        <v>426947</v>
      </c>
      <c r="BK310" s="13">
        <f t="shared" si="239"/>
        <v>0.99882091748527913</v>
      </c>
      <c r="BL310" s="24">
        <f t="shared" si="240"/>
        <v>77059.75</v>
      </c>
      <c r="BM310" s="24">
        <f t="shared" si="241"/>
        <v>59480</v>
      </c>
      <c r="BO310" s="17">
        <f t="shared" si="242"/>
        <v>0</v>
      </c>
      <c r="BP310" s="17">
        <f t="shared" si="243"/>
        <v>-854398</v>
      </c>
      <c r="BQ310" s="18">
        <f t="shared" si="244"/>
        <v>-1</v>
      </c>
      <c r="BR310" s="25">
        <f t="shared" si="245"/>
        <v>0</v>
      </c>
    </row>
    <row r="311" spans="1:70">
      <c r="A311" t="s">
        <v>483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35201</v>
      </c>
      <c r="K311" s="1">
        <v>54369</v>
      </c>
      <c r="L311" s="1">
        <v>61971</v>
      </c>
      <c r="M311" s="1">
        <v>69207</v>
      </c>
      <c r="N311" s="1">
        <v>80082</v>
      </c>
      <c r="O311" s="1">
        <v>85879</v>
      </c>
      <c r="P311" s="1">
        <v>86831</v>
      </c>
      <c r="Q311" s="1">
        <v>98450</v>
      </c>
      <c r="R311" s="1">
        <v>98729</v>
      </c>
      <c r="S311" s="1">
        <v>113139</v>
      </c>
      <c r="T311" s="1">
        <v>122640</v>
      </c>
      <c r="U311" s="1">
        <v>141339</v>
      </c>
      <c r="V311" s="1">
        <v>142999</v>
      </c>
      <c r="W311" s="1">
        <v>148133</v>
      </c>
      <c r="X311" s="1">
        <v>145643</v>
      </c>
      <c r="Y311" s="1">
        <v>147745</v>
      </c>
      <c r="Z311" s="1">
        <v>162595</v>
      </c>
      <c r="AA311" s="1">
        <v>168286</v>
      </c>
      <c r="AB311" s="1">
        <v>157647</v>
      </c>
      <c r="AC311" s="1">
        <v>181856</v>
      </c>
      <c r="AD311" s="1">
        <v>180081</v>
      </c>
      <c r="AE311" s="1">
        <v>193230</v>
      </c>
      <c r="AF311" s="1">
        <v>152942</v>
      </c>
      <c r="AG311" s="1">
        <v>156139</v>
      </c>
      <c r="AH311" s="1">
        <v>161911</v>
      </c>
      <c r="AI311" s="1">
        <v>264986</v>
      </c>
      <c r="AJ311" s="1">
        <v>251987</v>
      </c>
      <c r="AK311" s="1">
        <v>203922</v>
      </c>
      <c r="AL311" s="1">
        <v>97320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/>
      <c r="BA311" s="21">
        <f t="shared" si="231"/>
        <v>300830</v>
      </c>
      <c r="BB311" s="22">
        <f t="shared" si="232"/>
        <v>25069.166666666668</v>
      </c>
      <c r="BD311" s="7">
        <f t="shared" si="233"/>
        <v>1494122</v>
      </c>
      <c r="BE311" s="7">
        <f t="shared" si="234"/>
        <v>1193292</v>
      </c>
      <c r="BF311" s="8">
        <f t="shared" si="235"/>
        <v>3.9666655586211483</v>
      </c>
      <c r="BG311" s="7">
        <f t="shared" si="236"/>
        <v>124510.16666666667</v>
      </c>
      <c r="BI311" s="12">
        <f t="shared" si="237"/>
        <v>2170307</v>
      </c>
      <c r="BJ311" s="12">
        <f t="shared" si="238"/>
        <v>676185</v>
      </c>
      <c r="BK311" s="13">
        <f t="shared" si="239"/>
        <v>0.4525634452876004</v>
      </c>
      <c r="BL311" s="24">
        <f t="shared" si="240"/>
        <v>169011.5</v>
      </c>
      <c r="BM311" s="24">
        <f t="shared" si="241"/>
        <v>204553.75</v>
      </c>
      <c r="BO311" s="17">
        <f t="shared" si="242"/>
        <v>0</v>
      </c>
      <c r="BP311" s="17">
        <f t="shared" si="243"/>
        <v>-2170307</v>
      </c>
      <c r="BQ311" s="18">
        <f t="shared" si="244"/>
        <v>-1</v>
      </c>
      <c r="BR311" s="25">
        <f t="shared" si="245"/>
        <v>0</v>
      </c>
    </row>
    <row r="312" spans="1:70">
      <c r="A312" t="s">
        <v>484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21947</v>
      </c>
      <c r="K312" s="1">
        <v>34742</v>
      </c>
      <c r="L312" s="1">
        <v>40224</v>
      </c>
      <c r="M312" s="1">
        <v>46888</v>
      </c>
      <c r="N312" s="1">
        <v>60451</v>
      </c>
      <c r="O312" s="1">
        <v>68960</v>
      </c>
      <c r="P312" s="1">
        <v>72786</v>
      </c>
      <c r="Q312" s="1">
        <v>88624</v>
      </c>
      <c r="R312" s="1">
        <v>90061</v>
      </c>
      <c r="S312" s="1">
        <v>99988</v>
      </c>
      <c r="T312" s="1">
        <v>103105</v>
      </c>
      <c r="U312" s="1">
        <v>109483</v>
      </c>
      <c r="V312" s="1">
        <v>105472</v>
      </c>
      <c r="W312" s="1">
        <v>111676</v>
      </c>
      <c r="X312" s="1">
        <v>130442</v>
      </c>
      <c r="Y312" s="1">
        <v>136100</v>
      </c>
      <c r="Z312" s="1">
        <v>147303</v>
      </c>
      <c r="AA312" s="1">
        <v>127072</v>
      </c>
      <c r="AB312" s="1">
        <v>117978</v>
      </c>
      <c r="AC312" s="1">
        <v>130738</v>
      </c>
      <c r="AD312" s="1">
        <v>142614</v>
      </c>
      <c r="AE312" s="1">
        <v>136926</v>
      </c>
      <c r="AF312" s="1">
        <v>107774</v>
      </c>
      <c r="AG312" s="1">
        <v>109522</v>
      </c>
      <c r="AH312" s="1">
        <v>114908</v>
      </c>
      <c r="AI312" s="1">
        <v>171621</v>
      </c>
      <c r="AJ312" s="1">
        <v>163444</v>
      </c>
      <c r="AK312" s="1">
        <v>144781</v>
      </c>
      <c r="AL312" s="1">
        <v>69431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/>
      <c r="BA312" s="21">
        <f t="shared" si="231"/>
        <v>204252</v>
      </c>
      <c r="BB312" s="22">
        <f t="shared" si="232"/>
        <v>17021</v>
      </c>
      <c r="BD312" s="7">
        <f t="shared" si="233"/>
        <v>1264000</v>
      </c>
      <c r="BE312" s="7">
        <f t="shared" si="234"/>
        <v>1059748</v>
      </c>
      <c r="BF312" s="8">
        <f t="shared" si="235"/>
        <v>5.1884338953841329</v>
      </c>
      <c r="BG312" s="7">
        <f t="shared" si="236"/>
        <v>105333.33333333333</v>
      </c>
      <c r="BI312" s="12">
        <f t="shared" si="237"/>
        <v>1536809</v>
      </c>
      <c r="BJ312" s="12">
        <f t="shared" si="238"/>
        <v>272809</v>
      </c>
      <c r="BK312" s="13">
        <f t="shared" si="239"/>
        <v>0.21582990506329125</v>
      </c>
      <c r="BL312" s="24">
        <f t="shared" si="240"/>
        <v>123441.5</v>
      </c>
      <c r="BM312" s="24">
        <f t="shared" si="241"/>
        <v>137319.25</v>
      </c>
      <c r="BO312" s="17">
        <f t="shared" si="242"/>
        <v>0</v>
      </c>
      <c r="BP312" s="17">
        <f t="shared" si="243"/>
        <v>-1536809</v>
      </c>
      <c r="BQ312" s="18">
        <f t="shared" si="244"/>
        <v>-1</v>
      </c>
      <c r="BR312" s="25">
        <f t="shared" si="245"/>
        <v>0</v>
      </c>
    </row>
    <row r="313" spans="1:70">
      <c r="A313" t="s">
        <v>485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23272</v>
      </c>
      <c r="K313" s="1">
        <v>40661</v>
      </c>
      <c r="L313" s="1">
        <v>49643</v>
      </c>
      <c r="M313" s="1">
        <v>50544</v>
      </c>
      <c r="N313" s="1">
        <v>56240</v>
      </c>
      <c r="O313" s="1">
        <v>55306</v>
      </c>
      <c r="P313" s="1">
        <v>49643</v>
      </c>
      <c r="Q313" s="1">
        <v>52061</v>
      </c>
      <c r="R313" s="1">
        <v>47912</v>
      </c>
      <c r="S313" s="1">
        <v>46608</v>
      </c>
      <c r="T313" s="1">
        <v>43630</v>
      </c>
      <c r="U313" s="1">
        <v>48650</v>
      </c>
      <c r="V313" s="1">
        <v>51319</v>
      </c>
      <c r="W313" s="1">
        <v>63013</v>
      </c>
      <c r="X313" s="1">
        <v>70015</v>
      </c>
      <c r="Y313" s="1">
        <v>73669</v>
      </c>
      <c r="Z313" s="1">
        <v>89482</v>
      </c>
      <c r="AA313" s="1">
        <v>76646</v>
      </c>
      <c r="AB313" s="1">
        <v>65864</v>
      </c>
      <c r="AC313" s="1">
        <v>75670</v>
      </c>
      <c r="AD313" s="1">
        <v>87090</v>
      </c>
      <c r="AE313" s="1">
        <v>77463</v>
      </c>
      <c r="AF313" s="1">
        <v>64224</v>
      </c>
      <c r="AG313" s="1">
        <v>65980</v>
      </c>
      <c r="AH313" s="1">
        <v>66734</v>
      </c>
      <c r="AI313" s="1">
        <v>91843</v>
      </c>
      <c r="AJ313" s="1">
        <v>87467</v>
      </c>
      <c r="AK313" s="1">
        <v>77480</v>
      </c>
      <c r="AL313" s="1">
        <v>37156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/>
      <c r="BA313" s="21">
        <f t="shared" si="231"/>
        <v>220360</v>
      </c>
      <c r="BB313" s="22">
        <f t="shared" si="232"/>
        <v>18363.333333333332</v>
      </c>
      <c r="BD313" s="7">
        <f t="shared" si="233"/>
        <v>691308</v>
      </c>
      <c r="BE313" s="7">
        <f t="shared" si="234"/>
        <v>470948</v>
      </c>
      <c r="BF313" s="8">
        <f t="shared" si="235"/>
        <v>2.1371755309493556</v>
      </c>
      <c r="BG313" s="7">
        <f t="shared" si="236"/>
        <v>57609</v>
      </c>
      <c r="BI313" s="12">
        <f t="shared" si="237"/>
        <v>873617</v>
      </c>
      <c r="BJ313" s="12">
        <f t="shared" si="238"/>
        <v>182309</v>
      </c>
      <c r="BK313" s="13">
        <f t="shared" si="239"/>
        <v>0.26371602816689532</v>
      </c>
      <c r="BL313" s="24">
        <f t="shared" si="240"/>
        <v>72458.875</v>
      </c>
      <c r="BM313" s="24">
        <f t="shared" si="241"/>
        <v>73486.5</v>
      </c>
      <c r="BO313" s="17">
        <f t="shared" si="242"/>
        <v>0</v>
      </c>
      <c r="BP313" s="17">
        <f t="shared" si="243"/>
        <v>-873617</v>
      </c>
      <c r="BQ313" s="18">
        <f t="shared" si="244"/>
        <v>-1</v>
      </c>
      <c r="BR313" s="25">
        <f t="shared" si="245"/>
        <v>0</v>
      </c>
    </row>
    <row r="314" spans="1:70">
      <c r="A314" t="s">
        <v>486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21566</v>
      </c>
      <c r="K314" s="1">
        <v>28621</v>
      </c>
      <c r="L314" s="1">
        <v>28503</v>
      </c>
      <c r="M314" s="1">
        <v>27695</v>
      </c>
      <c r="N314" s="1">
        <v>29310</v>
      </c>
      <c r="O314" s="1">
        <v>31334</v>
      </c>
      <c r="P314" s="1">
        <v>29768</v>
      </c>
      <c r="Q314" s="1">
        <v>31715</v>
      </c>
      <c r="R314" s="1">
        <v>30948</v>
      </c>
      <c r="S314" s="1">
        <v>34903</v>
      </c>
      <c r="T314" s="1">
        <v>36340</v>
      </c>
      <c r="U314" s="1">
        <v>37457</v>
      </c>
      <c r="V314" s="1">
        <v>41937</v>
      </c>
      <c r="W314" s="1">
        <v>58514</v>
      </c>
      <c r="X314" s="1">
        <v>61375</v>
      </c>
      <c r="Y314" s="1">
        <v>47849</v>
      </c>
      <c r="Z314" s="1">
        <v>50251</v>
      </c>
      <c r="AA314" s="1">
        <v>40238</v>
      </c>
      <c r="AB314" s="1">
        <v>34672</v>
      </c>
      <c r="AC314" s="1">
        <v>39030</v>
      </c>
      <c r="AD314" s="1">
        <v>42837</v>
      </c>
      <c r="AE314" s="1">
        <v>38867</v>
      </c>
      <c r="AF314" s="1">
        <v>33541</v>
      </c>
      <c r="AG314" s="1">
        <v>38265</v>
      </c>
      <c r="AH314" s="1">
        <v>41286</v>
      </c>
      <c r="AI314" s="1">
        <v>60790</v>
      </c>
      <c r="AJ314" s="1">
        <v>58221</v>
      </c>
      <c r="AK314" s="1">
        <v>47514</v>
      </c>
      <c r="AL314" s="1">
        <v>22880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/>
      <c r="BA314" s="21">
        <f t="shared" si="231"/>
        <v>135695</v>
      </c>
      <c r="BB314" s="22">
        <f t="shared" si="232"/>
        <v>11307.916666666666</v>
      </c>
      <c r="BD314" s="7">
        <f t="shared" si="233"/>
        <v>492391</v>
      </c>
      <c r="BE314" s="7">
        <f t="shared" si="234"/>
        <v>356696</v>
      </c>
      <c r="BF314" s="8">
        <f t="shared" si="235"/>
        <v>2.6286598621909429</v>
      </c>
      <c r="BG314" s="7">
        <f t="shared" si="236"/>
        <v>41032.583333333336</v>
      </c>
      <c r="BI314" s="12">
        <f t="shared" si="237"/>
        <v>498141</v>
      </c>
      <c r="BJ314" s="12">
        <f t="shared" si="238"/>
        <v>5750</v>
      </c>
      <c r="BK314" s="13">
        <f t="shared" si="239"/>
        <v>1.1677711412271918E-2</v>
      </c>
      <c r="BL314" s="24">
        <f t="shared" si="240"/>
        <v>38592</v>
      </c>
      <c r="BM314" s="24">
        <f t="shared" si="241"/>
        <v>47351.25</v>
      </c>
      <c r="BO314" s="17">
        <f t="shared" si="242"/>
        <v>0</v>
      </c>
      <c r="BP314" s="17">
        <f t="shared" si="243"/>
        <v>-498141</v>
      </c>
      <c r="BQ314" s="18">
        <f t="shared" si="244"/>
        <v>-1</v>
      </c>
      <c r="BR314" s="25">
        <f t="shared" si="245"/>
        <v>0</v>
      </c>
    </row>
    <row r="315" spans="1:70">
      <c r="A315" t="s">
        <v>11</v>
      </c>
      <c r="B315" t="s">
        <v>12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70">
      <c r="A316" t="s">
        <v>487</v>
      </c>
      <c r="C316" s="1">
        <v>31946</v>
      </c>
      <c r="D316" s="1">
        <v>26830</v>
      </c>
      <c r="E316" s="1">
        <v>0</v>
      </c>
      <c r="F316" s="1">
        <v>28494</v>
      </c>
      <c r="G316" s="1">
        <v>89028</v>
      </c>
      <c r="H316" s="1">
        <v>99289</v>
      </c>
      <c r="I316" s="1">
        <v>100687</v>
      </c>
      <c r="J316" s="1">
        <v>149086</v>
      </c>
      <c r="K316" s="1">
        <v>178112</v>
      </c>
      <c r="L316" s="1">
        <v>204579</v>
      </c>
      <c r="M316" s="1">
        <v>222835</v>
      </c>
      <c r="N316" s="1">
        <v>261277</v>
      </c>
      <c r="O316" s="1">
        <v>280009</v>
      </c>
      <c r="P316" s="1">
        <v>277647</v>
      </c>
      <c r="Q316" s="1">
        <v>317480</v>
      </c>
      <c r="R316" s="1">
        <v>318145</v>
      </c>
      <c r="S316" s="1">
        <v>354131</v>
      </c>
      <c r="T316" s="1">
        <v>368621</v>
      </c>
      <c r="U316" s="1">
        <v>409414</v>
      </c>
      <c r="V316" s="1">
        <v>413970</v>
      </c>
      <c r="W316" s="1">
        <v>437642</v>
      </c>
      <c r="X316" s="1">
        <v>472923</v>
      </c>
      <c r="Y316" s="1">
        <v>471787</v>
      </c>
      <c r="Z316" s="1">
        <v>522702</v>
      </c>
      <c r="AA316" s="1">
        <v>503557</v>
      </c>
      <c r="AB316" s="1">
        <v>464031</v>
      </c>
      <c r="AC316" s="1">
        <v>529177</v>
      </c>
      <c r="AD316" s="1">
        <v>535567</v>
      </c>
      <c r="AE316" s="1">
        <v>578089</v>
      </c>
      <c r="AF316" s="1">
        <v>583513</v>
      </c>
      <c r="AG316" s="1">
        <v>596595</v>
      </c>
      <c r="AH316" s="1">
        <v>595702</v>
      </c>
      <c r="AI316" s="1">
        <v>719152</v>
      </c>
      <c r="AJ316" s="1">
        <v>682677</v>
      </c>
      <c r="AK316" s="1">
        <v>579000</v>
      </c>
      <c r="AL316" s="1">
        <v>276125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/>
      <c r="BA316" s="21">
        <f>SUM(C316:N316)</f>
        <v>1392163</v>
      </c>
      <c r="BB316" s="22">
        <f>+BA316/12</f>
        <v>116013.58333333333</v>
      </c>
      <c r="BD316" s="7">
        <f>SUM(O316:Z316)</f>
        <v>4644471</v>
      </c>
      <c r="BE316" s="7">
        <f>+BD316-BA316</f>
        <v>3252308</v>
      </c>
      <c r="BF316" s="8">
        <f>(BD316/BA316)-1</f>
        <v>2.3361546025860478</v>
      </c>
      <c r="BG316" s="7">
        <f>BD316/12</f>
        <v>387039.25</v>
      </c>
      <c r="BI316" s="12">
        <f>+SUM(AA316:AL316)</f>
        <v>6643185</v>
      </c>
      <c r="BJ316" s="12">
        <f>+BI316-BD316</f>
        <v>1998714</v>
      </c>
      <c r="BK316" s="13">
        <f>(BI316/BD316)-1</f>
        <v>0.4303426590455619</v>
      </c>
      <c r="BL316" s="24">
        <f>SUM(AA316:AH316)/8</f>
        <v>548278.875</v>
      </c>
      <c r="BM316" s="24">
        <f>SUM(AI316:AL316)/4</f>
        <v>564238.5</v>
      </c>
      <c r="BO316" s="17">
        <f>+SUM(AM316:AX316)</f>
        <v>0</v>
      </c>
      <c r="BP316" s="17">
        <f>+BO316-BI316</f>
        <v>-6643185</v>
      </c>
      <c r="BQ316" s="18">
        <f>(BO316/BI316)-1</f>
        <v>-1</v>
      </c>
      <c r="BR316" s="25">
        <f>BO316/12</f>
        <v>0</v>
      </c>
    </row>
    <row r="317" spans="1:70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BA317" s="21"/>
      <c r="BB317" s="22"/>
      <c r="BD317" s="7"/>
      <c r="BE317" s="7"/>
      <c r="BF317" s="8"/>
      <c r="BG317" s="7"/>
      <c r="BI317" s="12"/>
      <c r="BJ317" s="12"/>
      <c r="BK317" s="13"/>
      <c r="BL317" s="24"/>
      <c r="BM317" s="24"/>
      <c r="BO317" s="17"/>
      <c r="BP317" s="17"/>
      <c r="BQ317" s="18"/>
      <c r="BR317" s="25"/>
    </row>
    <row r="318" spans="1:70">
      <c r="A318" t="s">
        <v>488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/>
      <c r="BA318" s="21">
        <f t="shared" ref="BA318:BA324" si="246">SUM(C318:N318)</f>
        <v>0</v>
      </c>
      <c r="BB318" s="22">
        <f t="shared" ref="BB318:BB324" si="247">+BA318/12</f>
        <v>0</v>
      </c>
      <c r="BD318" s="7">
        <f t="shared" ref="BD318:BD324" si="248">SUM(O318:Z318)</f>
        <v>0</v>
      </c>
      <c r="BE318" s="7">
        <f t="shared" ref="BE318:BE324" si="249">+BD318-BA318</f>
        <v>0</v>
      </c>
      <c r="BF318" s="8" t="e">
        <f t="shared" ref="BF318:BF324" si="250">(BD318/BA318)-1</f>
        <v>#DIV/0!</v>
      </c>
      <c r="BG318" s="7">
        <f t="shared" ref="BG318:BG324" si="251">BD318/12</f>
        <v>0</v>
      </c>
      <c r="BI318" s="12">
        <f t="shared" ref="BI318:BI324" si="252">+SUM(AA318:AL318)</f>
        <v>0</v>
      </c>
      <c r="BJ318" s="12">
        <f t="shared" ref="BJ318:BJ324" si="253">+BI318-BD318</f>
        <v>0</v>
      </c>
      <c r="BK318" s="13" t="e">
        <f t="shared" ref="BK318:BK324" si="254">(BI318/BD318)-1</f>
        <v>#DIV/0!</v>
      </c>
      <c r="BL318" s="24">
        <f t="shared" ref="BL318:BL324" si="255">SUM(AA318:AH318)/8</f>
        <v>0</v>
      </c>
      <c r="BM318" s="24">
        <f t="shared" ref="BM318:BM324" si="256">SUM(AI318:AL318)/4</f>
        <v>0</v>
      </c>
      <c r="BO318" s="17">
        <f t="shared" ref="BO318:BO324" si="257">+SUM(AM318:AX318)</f>
        <v>0</v>
      </c>
      <c r="BP318" s="17">
        <f t="shared" ref="BP318:BP324" si="258">+BO318-BI318</f>
        <v>0</v>
      </c>
      <c r="BQ318" s="18" t="e">
        <f t="shared" ref="BQ318:BQ324" si="259">(BO318/BI318)-1</f>
        <v>#DIV/0!</v>
      </c>
      <c r="BR318" s="25">
        <f t="shared" ref="BR318:BR324" si="260">BO318/12</f>
        <v>0</v>
      </c>
    </row>
    <row r="319" spans="1:70">
      <c r="A319" t="s">
        <v>489</v>
      </c>
      <c r="B319">
        <v>220710</v>
      </c>
      <c r="C319" s="1">
        <v>6624</v>
      </c>
      <c r="D319" s="1">
        <v>5938</v>
      </c>
      <c r="E319" s="1">
        <v>5084</v>
      </c>
      <c r="F319" s="1">
        <v>5306</v>
      </c>
      <c r="G319" s="1">
        <v>13289</v>
      </c>
      <c r="H319" s="1">
        <v>7254</v>
      </c>
      <c r="I319" s="1">
        <v>7292</v>
      </c>
      <c r="J319" s="1">
        <v>4370</v>
      </c>
      <c r="K319" s="1">
        <v>206</v>
      </c>
      <c r="L319" s="1">
        <v>193</v>
      </c>
      <c r="M319" s="1">
        <v>172</v>
      </c>
      <c r="N319" s="1">
        <v>190</v>
      </c>
      <c r="O319" s="1">
        <v>193</v>
      </c>
      <c r="P319" s="1">
        <v>169</v>
      </c>
      <c r="Q319" s="1">
        <v>206</v>
      </c>
      <c r="R319" s="1">
        <v>210</v>
      </c>
      <c r="S319" s="1">
        <v>222</v>
      </c>
      <c r="T319" s="1">
        <v>226</v>
      </c>
      <c r="U319" s="1">
        <v>245</v>
      </c>
      <c r="V319" s="1">
        <v>247</v>
      </c>
      <c r="W319" s="1">
        <v>250</v>
      </c>
      <c r="X319" s="1">
        <v>267</v>
      </c>
      <c r="Y319" s="1">
        <v>268</v>
      </c>
      <c r="Z319" s="1">
        <v>259</v>
      </c>
      <c r="AA319" s="1">
        <v>157</v>
      </c>
      <c r="AB319" s="1">
        <v>137</v>
      </c>
      <c r="AC319" s="1">
        <v>1546</v>
      </c>
      <c r="AD319" s="1">
        <v>131</v>
      </c>
      <c r="AE319" s="1">
        <v>130</v>
      </c>
      <c r="AF319" s="1">
        <v>215</v>
      </c>
      <c r="AG319" s="1">
        <v>187</v>
      </c>
      <c r="AH319" s="1">
        <v>152</v>
      </c>
      <c r="AI319" s="1">
        <v>283</v>
      </c>
      <c r="AJ319" s="1">
        <v>265</v>
      </c>
      <c r="AK319" s="1">
        <v>230</v>
      </c>
      <c r="AL319" s="1">
        <v>214</v>
      </c>
      <c r="AM319" s="1">
        <v>193</v>
      </c>
      <c r="AN319" s="1">
        <v>161</v>
      </c>
      <c r="AO319" s="1">
        <v>164</v>
      </c>
      <c r="AP319" s="1">
        <v>146</v>
      </c>
      <c r="AQ319" s="1">
        <v>138</v>
      </c>
      <c r="AR319" s="1">
        <v>121</v>
      </c>
      <c r="AS319" s="1">
        <v>112</v>
      </c>
      <c r="AT319" s="1">
        <v>100</v>
      </c>
      <c r="AU319" s="1">
        <v>85</v>
      </c>
      <c r="AV319" s="1">
        <v>76</v>
      </c>
      <c r="AW319" s="1">
        <v>62</v>
      </c>
      <c r="AX319" s="1">
        <v>53</v>
      </c>
      <c r="AY319" s="1"/>
      <c r="BA319" s="21">
        <f t="shared" si="246"/>
        <v>55918</v>
      </c>
      <c r="BB319" s="22">
        <f t="shared" si="247"/>
        <v>4659.833333333333</v>
      </c>
      <c r="BD319" s="7">
        <f t="shared" si="248"/>
        <v>2762</v>
      </c>
      <c r="BE319" s="7">
        <f t="shared" si="249"/>
        <v>-53156</v>
      </c>
      <c r="BF319" s="8">
        <f t="shared" si="250"/>
        <v>-0.95060624485854284</v>
      </c>
      <c r="BG319" s="7">
        <f t="shared" si="251"/>
        <v>230.16666666666666</v>
      </c>
      <c r="BI319" s="12">
        <f t="shared" si="252"/>
        <v>3647</v>
      </c>
      <c r="BJ319" s="12">
        <f t="shared" si="253"/>
        <v>885</v>
      </c>
      <c r="BK319" s="13">
        <f t="shared" si="254"/>
        <v>0.32041998551774076</v>
      </c>
      <c r="BL319" s="24">
        <f t="shared" si="255"/>
        <v>331.875</v>
      </c>
      <c r="BM319" s="24">
        <f t="shared" si="256"/>
        <v>248</v>
      </c>
      <c r="BO319" s="17">
        <f t="shared" si="257"/>
        <v>1411</v>
      </c>
      <c r="BP319" s="17">
        <f t="shared" si="258"/>
        <v>-2236</v>
      </c>
      <c r="BQ319" s="18">
        <f t="shared" si="259"/>
        <v>-0.61310666301069372</v>
      </c>
      <c r="BR319" s="25">
        <f t="shared" si="260"/>
        <v>117.58333333333333</v>
      </c>
    </row>
    <row r="320" spans="1:70">
      <c r="A320" t="s">
        <v>490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303</v>
      </c>
      <c r="K320" s="1">
        <v>486</v>
      </c>
      <c r="L320" s="1">
        <v>507</v>
      </c>
      <c r="M320" s="1">
        <v>494</v>
      </c>
      <c r="N320" s="1">
        <v>533</v>
      </c>
      <c r="O320" s="1">
        <v>504</v>
      </c>
      <c r="P320" s="1">
        <v>408</v>
      </c>
      <c r="Q320" s="1">
        <v>418</v>
      </c>
      <c r="R320" s="1">
        <v>369</v>
      </c>
      <c r="S320" s="1">
        <v>419</v>
      </c>
      <c r="T320" s="1">
        <v>456</v>
      </c>
      <c r="U320" s="1">
        <v>501</v>
      </c>
      <c r="V320" s="1">
        <v>454</v>
      </c>
      <c r="W320" s="1">
        <v>405</v>
      </c>
      <c r="X320" s="1">
        <v>513</v>
      </c>
      <c r="Y320" s="1">
        <v>524</v>
      </c>
      <c r="Z320" s="1">
        <v>528</v>
      </c>
      <c r="AA320" s="1">
        <v>412</v>
      </c>
      <c r="AB320" s="1">
        <v>376</v>
      </c>
      <c r="AC320" s="1">
        <v>393</v>
      </c>
      <c r="AD320" s="1">
        <v>416</v>
      </c>
      <c r="AE320" s="1">
        <v>377</v>
      </c>
      <c r="AF320" s="1">
        <v>378</v>
      </c>
      <c r="AG320" s="1">
        <v>410</v>
      </c>
      <c r="AH320" s="1">
        <v>430</v>
      </c>
      <c r="AI320" s="1">
        <v>599</v>
      </c>
      <c r="AJ320" s="1">
        <v>562</v>
      </c>
      <c r="AK320" s="1">
        <v>487</v>
      </c>
      <c r="AL320" s="1">
        <v>452</v>
      </c>
      <c r="AM320" s="1">
        <v>409</v>
      </c>
      <c r="AN320" s="1">
        <v>342</v>
      </c>
      <c r="AO320" s="1">
        <v>347</v>
      </c>
      <c r="AP320" s="1">
        <v>308</v>
      </c>
      <c r="AQ320" s="1">
        <v>291</v>
      </c>
      <c r="AR320" s="1">
        <v>256</v>
      </c>
      <c r="AS320" s="1">
        <v>237</v>
      </c>
      <c r="AT320" s="1">
        <v>211</v>
      </c>
      <c r="AU320" s="1">
        <v>180</v>
      </c>
      <c r="AV320" s="1">
        <v>160</v>
      </c>
      <c r="AW320" s="1">
        <v>131</v>
      </c>
      <c r="AX320" s="1">
        <v>112</v>
      </c>
      <c r="AY320" s="1"/>
      <c r="BA320" s="21">
        <f t="shared" si="246"/>
        <v>2323</v>
      </c>
      <c r="BB320" s="22">
        <f t="shared" si="247"/>
        <v>193.58333333333334</v>
      </c>
      <c r="BD320" s="7">
        <f t="shared" si="248"/>
        <v>5499</v>
      </c>
      <c r="BE320" s="7">
        <f t="shared" si="249"/>
        <v>3176</v>
      </c>
      <c r="BF320" s="8">
        <f t="shared" si="250"/>
        <v>1.3671975893241499</v>
      </c>
      <c r="BG320" s="7">
        <f t="shared" si="251"/>
        <v>458.25</v>
      </c>
      <c r="BI320" s="12">
        <f t="shared" si="252"/>
        <v>5292</v>
      </c>
      <c r="BJ320" s="12">
        <f t="shared" si="253"/>
        <v>-207</v>
      </c>
      <c r="BK320" s="13">
        <f t="shared" si="254"/>
        <v>-3.7643207855973859E-2</v>
      </c>
      <c r="BL320" s="24">
        <f t="shared" si="255"/>
        <v>399</v>
      </c>
      <c r="BM320" s="24">
        <f t="shared" si="256"/>
        <v>525</v>
      </c>
      <c r="BO320" s="17">
        <f t="shared" si="257"/>
        <v>2984</v>
      </c>
      <c r="BP320" s="17">
        <f t="shared" si="258"/>
        <v>-2308</v>
      </c>
      <c r="BQ320" s="18">
        <f t="shared" si="259"/>
        <v>-0.436130007558579</v>
      </c>
      <c r="BR320" s="25">
        <f t="shared" si="260"/>
        <v>248.66666666666666</v>
      </c>
    </row>
    <row r="321" spans="1:70">
      <c r="A321" t="s">
        <v>491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1354</v>
      </c>
      <c r="K321" s="1">
        <v>2266</v>
      </c>
      <c r="L321" s="1">
        <v>2356</v>
      </c>
      <c r="M321" s="1">
        <v>2066</v>
      </c>
      <c r="N321" s="1">
        <v>2257</v>
      </c>
      <c r="O321" s="1">
        <v>2469</v>
      </c>
      <c r="P321" s="1">
        <v>2326</v>
      </c>
      <c r="Q321" s="1">
        <v>2549</v>
      </c>
      <c r="R321" s="1">
        <v>2426</v>
      </c>
      <c r="S321" s="1">
        <v>2397</v>
      </c>
      <c r="T321" s="1">
        <v>2181</v>
      </c>
      <c r="U321" s="1">
        <v>2326</v>
      </c>
      <c r="V321" s="1">
        <v>2274</v>
      </c>
      <c r="W321" s="1">
        <v>2410</v>
      </c>
      <c r="X321" s="1">
        <v>2657</v>
      </c>
      <c r="Y321" s="1">
        <v>2451</v>
      </c>
      <c r="Z321" s="1">
        <v>2601</v>
      </c>
      <c r="AA321" s="1">
        <v>2031</v>
      </c>
      <c r="AB321" s="1">
        <v>1764</v>
      </c>
      <c r="AC321" s="1">
        <v>2075</v>
      </c>
      <c r="AD321" s="1">
        <v>1744</v>
      </c>
      <c r="AE321" s="1">
        <v>2068</v>
      </c>
      <c r="AF321" s="1">
        <v>1963</v>
      </c>
      <c r="AG321" s="1">
        <v>1843</v>
      </c>
      <c r="AH321" s="1">
        <v>1763</v>
      </c>
      <c r="AI321" s="1">
        <v>2547</v>
      </c>
      <c r="AJ321" s="1">
        <v>2454</v>
      </c>
      <c r="AK321" s="1">
        <v>2188</v>
      </c>
      <c r="AL321" s="1">
        <v>2096</v>
      </c>
      <c r="AM321" s="1">
        <v>1960</v>
      </c>
      <c r="AN321" s="1">
        <v>1693</v>
      </c>
      <c r="AO321" s="1">
        <v>1785</v>
      </c>
      <c r="AP321" s="1">
        <v>1648</v>
      </c>
      <c r="AQ321" s="1">
        <v>1625</v>
      </c>
      <c r="AR321" s="1">
        <v>1492</v>
      </c>
      <c r="AS321" s="1">
        <v>1456</v>
      </c>
      <c r="AT321" s="1">
        <v>1367</v>
      </c>
      <c r="AU321" s="1">
        <v>1231</v>
      </c>
      <c r="AV321" s="1">
        <v>1171</v>
      </c>
      <c r="AW321" s="1">
        <v>1029</v>
      </c>
      <c r="AX321" s="1">
        <v>950</v>
      </c>
      <c r="AY321" s="1"/>
      <c r="BA321" s="21">
        <f t="shared" si="246"/>
        <v>10299</v>
      </c>
      <c r="BB321" s="22">
        <f t="shared" si="247"/>
        <v>858.25</v>
      </c>
      <c r="BD321" s="7">
        <f t="shared" si="248"/>
        <v>29067</v>
      </c>
      <c r="BE321" s="7">
        <f t="shared" si="249"/>
        <v>18768</v>
      </c>
      <c r="BF321" s="8">
        <f t="shared" si="250"/>
        <v>1.8223128459073696</v>
      </c>
      <c r="BG321" s="7">
        <f t="shared" si="251"/>
        <v>2422.25</v>
      </c>
      <c r="BI321" s="12">
        <f t="shared" si="252"/>
        <v>24536</v>
      </c>
      <c r="BJ321" s="12">
        <f t="shared" si="253"/>
        <v>-4531</v>
      </c>
      <c r="BK321" s="13">
        <f t="shared" si="254"/>
        <v>-0.1558812398940379</v>
      </c>
      <c r="BL321" s="24">
        <f t="shared" si="255"/>
        <v>1906.375</v>
      </c>
      <c r="BM321" s="24">
        <f t="shared" si="256"/>
        <v>2321.25</v>
      </c>
      <c r="BO321" s="17">
        <f t="shared" si="257"/>
        <v>17407</v>
      </c>
      <c r="BP321" s="17">
        <f t="shared" si="258"/>
        <v>-7129</v>
      </c>
      <c r="BQ321" s="18">
        <f t="shared" si="259"/>
        <v>-0.29055265731985658</v>
      </c>
      <c r="BR321" s="25">
        <f t="shared" si="260"/>
        <v>1450.5833333333333</v>
      </c>
    </row>
    <row r="322" spans="1:70">
      <c r="A322" t="s">
        <v>492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4289</v>
      </c>
      <c r="K322" s="1">
        <v>6220</v>
      </c>
      <c r="L322" s="1">
        <v>6403</v>
      </c>
      <c r="M322" s="1">
        <v>6617</v>
      </c>
      <c r="N322" s="1">
        <v>7300</v>
      </c>
      <c r="O322" s="1">
        <v>6688</v>
      </c>
      <c r="P322" s="1">
        <v>5796</v>
      </c>
      <c r="Q322" s="1">
        <v>6697</v>
      </c>
      <c r="R322" s="1">
        <v>5988</v>
      </c>
      <c r="S322" s="1">
        <v>5505</v>
      </c>
      <c r="T322" s="1">
        <v>4839</v>
      </c>
      <c r="U322" s="1">
        <v>5381</v>
      </c>
      <c r="V322" s="1">
        <v>5429</v>
      </c>
      <c r="W322" s="1">
        <v>5941</v>
      </c>
      <c r="X322" s="1">
        <v>6028</v>
      </c>
      <c r="Y322" s="1">
        <v>5326</v>
      </c>
      <c r="Z322" s="1">
        <v>4668</v>
      </c>
      <c r="AA322" s="1">
        <v>3853</v>
      </c>
      <c r="AB322" s="1">
        <v>3571</v>
      </c>
      <c r="AC322" s="1">
        <v>4113</v>
      </c>
      <c r="AD322" s="1">
        <v>3685</v>
      </c>
      <c r="AE322" s="1">
        <v>3608</v>
      </c>
      <c r="AF322" s="1">
        <v>3939</v>
      </c>
      <c r="AG322" s="1">
        <v>3438</v>
      </c>
      <c r="AH322" s="1">
        <v>3564</v>
      </c>
      <c r="AI322" s="1">
        <v>5575</v>
      </c>
      <c r="AJ322" s="1">
        <v>5291</v>
      </c>
      <c r="AK322" s="1">
        <v>4643</v>
      </c>
      <c r="AL322" s="1">
        <v>4374</v>
      </c>
      <c r="AM322" s="1">
        <v>4020</v>
      </c>
      <c r="AN322" s="1">
        <v>3409</v>
      </c>
      <c r="AO322" s="1">
        <v>3528</v>
      </c>
      <c r="AP322" s="1">
        <v>3191</v>
      </c>
      <c r="AQ322" s="1">
        <v>3082</v>
      </c>
      <c r="AR322" s="1">
        <v>2767</v>
      </c>
      <c r="AS322" s="1">
        <v>2638</v>
      </c>
      <c r="AT322" s="1">
        <v>2416</v>
      </c>
      <c r="AU322" s="1">
        <v>2120</v>
      </c>
      <c r="AV322" s="1">
        <v>1962</v>
      </c>
      <c r="AW322" s="1">
        <v>1673</v>
      </c>
      <c r="AX322" s="1">
        <v>1497</v>
      </c>
      <c r="AY322" s="1"/>
      <c r="BA322" s="21">
        <f t="shared" si="246"/>
        <v>30829</v>
      </c>
      <c r="BB322" s="22">
        <f t="shared" si="247"/>
        <v>2569.0833333333335</v>
      </c>
      <c r="BD322" s="7">
        <f t="shared" si="248"/>
        <v>68286</v>
      </c>
      <c r="BE322" s="7">
        <f t="shared" si="249"/>
        <v>37457</v>
      </c>
      <c r="BF322" s="8">
        <f t="shared" si="250"/>
        <v>1.2149923773070812</v>
      </c>
      <c r="BG322" s="7">
        <f t="shared" si="251"/>
        <v>5690.5</v>
      </c>
      <c r="BI322" s="12">
        <f t="shared" si="252"/>
        <v>49654</v>
      </c>
      <c r="BJ322" s="12">
        <f t="shared" si="253"/>
        <v>-18632</v>
      </c>
      <c r="BK322" s="13">
        <f t="shared" si="254"/>
        <v>-0.27285241484345257</v>
      </c>
      <c r="BL322" s="24">
        <f t="shared" si="255"/>
        <v>3721.375</v>
      </c>
      <c r="BM322" s="24">
        <f t="shared" si="256"/>
        <v>4970.75</v>
      </c>
      <c r="BO322" s="17">
        <f t="shared" si="257"/>
        <v>32303</v>
      </c>
      <c r="BP322" s="17">
        <f t="shared" si="258"/>
        <v>-17351</v>
      </c>
      <c r="BQ322" s="18">
        <f t="shared" si="259"/>
        <v>-0.34943811173319372</v>
      </c>
      <c r="BR322" s="25">
        <f t="shared" si="260"/>
        <v>2691.9166666666665</v>
      </c>
    </row>
    <row r="323" spans="1:70">
      <c r="A323" t="s">
        <v>493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1314</v>
      </c>
      <c r="K323" s="1">
        <v>1969</v>
      </c>
      <c r="L323" s="1">
        <v>1368</v>
      </c>
      <c r="M323" s="1">
        <v>1442</v>
      </c>
      <c r="N323" s="1">
        <v>2131</v>
      </c>
      <c r="O323" s="1">
        <v>1820</v>
      </c>
      <c r="P323" s="1">
        <v>1821</v>
      </c>
      <c r="Q323" s="1">
        <v>1813</v>
      </c>
      <c r="R323" s="1">
        <v>1649</v>
      </c>
      <c r="S323" s="1">
        <v>2533</v>
      </c>
      <c r="T323" s="1">
        <v>3023</v>
      </c>
      <c r="U323" s="1">
        <v>2202</v>
      </c>
      <c r="V323" s="1">
        <v>894</v>
      </c>
      <c r="W323" s="1">
        <v>824</v>
      </c>
      <c r="X323" s="1">
        <v>1216</v>
      </c>
      <c r="Y323" s="1">
        <v>1645</v>
      </c>
      <c r="Z323" s="1">
        <v>1949</v>
      </c>
      <c r="AA323" s="1">
        <v>1590</v>
      </c>
      <c r="AB323" s="1">
        <v>1535</v>
      </c>
      <c r="AC323" s="1">
        <v>1431</v>
      </c>
      <c r="AD323" s="1">
        <v>1310</v>
      </c>
      <c r="AE323" s="1">
        <v>1371</v>
      </c>
      <c r="AF323" s="1">
        <v>941</v>
      </c>
      <c r="AG323" s="1">
        <v>621</v>
      </c>
      <c r="AH323" s="1">
        <v>436</v>
      </c>
      <c r="AI323" s="1">
        <v>601</v>
      </c>
      <c r="AJ323" s="1">
        <v>572</v>
      </c>
      <c r="AK323" s="1">
        <v>503</v>
      </c>
      <c r="AL323" s="1">
        <v>475</v>
      </c>
      <c r="AM323" s="1">
        <v>438</v>
      </c>
      <c r="AN323" s="1">
        <v>373</v>
      </c>
      <c r="AO323" s="1">
        <v>387</v>
      </c>
      <c r="AP323" s="1">
        <v>352</v>
      </c>
      <c r="AQ323" s="1">
        <v>341</v>
      </c>
      <c r="AR323" s="1">
        <v>307</v>
      </c>
      <c r="AS323" s="1">
        <v>294</v>
      </c>
      <c r="AT323" s="1">
        <v>271</v>
      </c>
      <c r="AU323" s="1">
        <v>239</v>
      </c>
      <c r="AV323" s="1">
        <v>222</v>
      </c>
      <c r="AW323" s="1">
        <v>191</v>
      </c>
      <c r="AX323" s="1">
        <v>172</v>
      </c>
      <c r="AY323" s="1"/>
      <c r="BA323" s="21">
        <f t="shared" si="246"/>
        <v>8224</v>
      </c>
      <c r="BB323" s="22">
        <f t="shared" si="247"/>
        <v>685.33333333333337</v>
      </c>
      <c r="BD323" s="7">
        <f t="shared" si="248"/>
        <v>21389</v>
      </c>
      <c r="BE323" s="7">
        <f t="shared" si="249"/>
        <v>13165</v>
      </c>
      <c r="BF323" s="8">
        <f t="shared" si="250"/>
        <v>1.6008025291828796</v>
      </c>
      <c r="BG323" s="7">
        <f t="shared" si="251"/>
        <v>1782.4166666666667</v>
      </c>
      <c r="BI323" s="12">
        <f t="shared" si="252"/>
        <v>11386</v>
      </c>
      <c r="BJ323" s="12">
        <f t="shared" si="253"/>
        <v>-10003</v>
      </c>
      <c r="BK323" s="13">
        <f t="shared" si="254"/>
        <v>-0.46767029781663472</v>
      </c>
      <c r="BL323" s="24">
        <f t="shared" si="255"/>
        <v>1154.375</v>
      </c>
      <c r="BM323" s="24">
        <f t="shared" si="256"/>
        <v>537.75</v>
      </c>
      <c r="BO323" s="17">
        <f t="shared" si="257"/>
        <v>3587</v>
      </c>
      <c r="BP323" s="17">
        <f t="shared" si="258"/>
        <v>-7799</v>
      </c>
      <c r="BQ323" s="18">
        <f t="shared" si="259"/>
        <v>-0.6849639908659757</v>
      </c>
      <c r="BR323" s="25">
        <f t="shared" si="260"/>
        <v>298.91666666666669</v>
      </c>
    </row>
    <row r="324" spans="1:70">
      <c r="A324" t="s">
        <v>494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909</v>
      </c>
      <c r="K324" s="1">
        <v>1536</v>
      </c>
      <c r="L324" s="1">
        <v>1550</v>
      </c>
      <c r="M324" s="1">
        <v>1518</v>
      </c>
      <c r="N324" s="1">
        <v>2646</v>
      </c>
      <c r="O324" s="1">
        <v>3145</v>
      </c>
      <c r="P324" s="1">
        <v>2464</v>
      </c>
      <c r="Q324" s="1">
        <v>3418</v>
      </c>
      <c r="R324" s="1">
        <v>2492</v>
      </c>
      <c r="S324" s="1">
        <v>648</v>
      </c>
      <c r="T324" s="1">
        <v>0</v>
      </c>
      <c r="U324" s="1">
        <v>699</v>
      </c>
      <c r="V324" s="1">
        <v>1287</v>
      </c>
      <c r="W324" s="1">
        <v>1340</v>
      </c>
      <c r="X324" s="1">
        <v>1460</v>
      </c>
      <c r="Y324" s="1">
        <v>1441</v>
      </c>
      <c r="Z324" s="1">
        <v>1510</v>
      </c>
      <c r="AA324" s="1">
        <v>1329</v>
      </c>
      <c r="AB324" s="1">
        <v>1061</v>
      </c>
      <c r="AC324" s="1">
        <v>1175</v>
      </c>
      <c r="AD324" s="1">
        <v>1063</v>
      </c>
      <c r="AE324" s="1">
        <v>1172</v>
      </c>
      <c r="AF324" s="1">
        <v>207</v>
      </c>
      <c r="AG324" s="1">
        <v>1298</v>
      </c>
      <c r="AH324" s="1">
        <v>1378</v>
      </c>
      <c r="AI324" s="1">
        <v>1823</v>
      </c>
      <c r="AJ324" s="1">
        <v>1666</v>
      </c>
      <c r="AK324" s="1">
        <v>1397</v>
      </c>
      <c r="AL324" s="1">
        <v>1257</v>
      </c>
      <c r="AM324" s="1">
        <v>1092</v>
      </c>
      <c r="AN324" s="1">
        <v>873</v>
      </c>
      <c r="AO324" s="1">
        <v>840</v>
      </c>
      <c r="AP324" s="1">
        <v>704</v>
      </c>
      <c r="AQ324" s="1">
        <v>621</v>
      </c>
      <c r="AR324" s="1">
        <v>497</v>
      </c>
      <c r="AS324" s="1">
        <v>415</v>
      </c>
      <c r="AT324" s="1">
        <v>318</v>
      </c>
      <c r="AU324" s="1">
        <v>224</v>
      </c>
      <c r="AV324" s="1">
        <v>148</v>
      </c>
      <c r="AW324" s="1">
        <v>74</v>
      </c>
      <c r="AX324" s="1">
        <v>29</v>
      </c>
      <c r="AY324" s="1"/>
      <c r="BA324" s="21">
        <f t="shared" si="246"/>
        <v>8159</v>
      </c>
      <c r="BB324" s="22">
        <f t="shared" si="247"/>
        <v>679.91666666666663</v>
      </c>
      <c r="BD324" s="7">
        <f t="shared" si="248"/>
        <v>19904</v>
      </c>
      <c r="BE324" s="7">
        <f t="shared" si="249"/>
        <v>11745</v>
      </c>
      <c r="BF324" s="8">
        <f t="shared" si="250"/>
        <v>1.4395146464027455</v>
      </c>
      <c r="BG324" s="7">
        <f t="shared" si="251"/>
        <v>1658.6666666666667</v>
      </c>
      <c r="BI324" s="12">
        <f t="shared" si="252"/>
        <v>14826</v>
      </c>
      <c r="BJ324" s="12">
        <f t="shared" si="253"/>
        <v>-5078</v>
      </c>
      <c r="BK324" s="13">
        <f t="shared" si="254"/>
        <v>-0.25512459807073951</v>
      </c>
      <c r="BL324" s="24">
        <f t="shared" si="255"/>
        <v>1085.375</v>
      </c>
      <c r="BM324" s="24">
        <f t="shared" si="256"/>
        <v>1535.75</v>
      </c>
      <c r="BO324" s="17">
        <f t="shared" si="257"/>
        <v>5835</v>
      </c>
      <c r="BP324" s="17">
        <f t="shared" si="258"/>
        <v>-8991</v>
      </c>
      <c r="BQ324" s="18">
        <f t="shared" si="259"/>
        <v>-0.60643464184540674</v>
      </c>
      <c r="BR324" s="25">
        <f t="shared" si="260"/>
        <v>486.25</v>
      </c>
    </row>
    <row r="325" spans="1:70">
      <c r="A325" t="s">
        <v>11</v>
      </c>
      <c r="B325" t="s">
        <v>12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70">
      <c r="A326" t="s">
        <v>496</v>
      </c>
      <c r="C326" s="1">
        <v>6624</v>
      </c>
      <c r="D326" s="1">
        <v>5938</v>
      </c>
      <c r="E326" s="1">
        <v>5084</v>
      </c>
      <c r="F326" s="1">
        <v>5306</v>
      </c>
      <c r="G326" s="1">
        <v>13289</v>
      </c>
      <c r="H326" s="1">
        <v>7254</v>
      </c>
      <c r="I326" s="1">
        <v>7292</v>
      </c>
      <c r="J326" s="1">
        <v>12539</v>
      </c>
      <c r="K326" s="1">
        <v>12682</v>
      </c>
      <c r="L326" s="1">
        <v>12377</v>
      </c>
      <c r="M326" s="1">
        <v>12309</v>
      </c>
      <c r="N326" s="1">
        <v>15057</v>
      </c>
      <c r="O326" s="1">
        <v>14819</v>
      </c>
      <c r="P326" s="1">
        <v>12984</v>
      </c>
      <c r="Q326" s="1">
        <v>15100</v>
      </c>
      <c r="R326" s="1">
        <v>13134</v>
      </c>
      <c r="S326" s="1">
        <v>11724</v>
      </c>
      <c r="T326" s="1">
        <v>10725</v>
      </c>
      <c r="U326" s="1">
        <v>11354</v>
      </c>
      <c r="V326" s="1">
        <v>10585</v>
      </c>
      <c r="W326" s="1">
        <v>11170</v>
      </c>
      <c r="X326" s="1">
        <v>12142</v>
      </c>
      <c r="Y326" s="1">
        <v>11654</v>
      </c>
      <c r="Z326" s="1">
        <v>11515</v>
      </c>
      <c r="AA326" s="1">
        <v>9372</v>
      </c>
      <c r="AB326" s="1">
        <v>8444</v>
      </c>
      <c r="AC326" s="1">
        <v>10733</v>
      </c>
      <c r="AD326" s="1">
        <v>8349</v>
      </c>
      <c r="AE326" s="1">
        <v>8726</v>
      </c>
      <c r="AF326" s="1">
        <v>7642</v>
      </c>
      <c r="AG326" s="1">
        <v>7796</v>
      </c>
      <c r="AH326" s="1">
        <v>7724</v>
      </c>
      <c r="AI326" s="1">
        <v>11429</v>
      </c>
      <c r="AJ326" s="1">
        <v>10810</v>
      </c>
      <c r="AK326" s="1">
        <v>9449</v>
      </c>
      <c r="AL326" s="1">
        <v>8868</v>
      </c>
      <c r="AM326" s="1">
        <v>8112</v>
      </c>
      <c r="AN326" s="1">
        <v>6851</v>
      </c>
      <c r="AO326" s="1">
        <v>7052</v>
      </c>
      <c r="AP326" s="1">
        <v>6348</v>
      </c>
      <c r="AQ326" s="1">
        <v>6097</v>
      </c>
      <c r="AR326" s="1">
        <v>5439</v>
      </c>
      <c r="AS326" s="1">
        <v>5152</v>
      </c>
      <c r="AT326" s="1">
        <v>4683</v>
      </c>
      <c r="AU326" s="1">
        <v>4079</v>
      </c>
      <c r="AV326" s="1">
        <v>3739</v>
      </c>
      <c r="AW326" s="1">
        <v>3159</v>
      </c>
      <c r="AX326" s="1">
        <v>2812</v>
      </c>
      <c r="AY326" s="1"/>
      <c r="BA326" s="21">
        <f>SUM(C326:N326)</f>
        <v>115751</v>
      </c>
      <c r="BB326" s="22">
        <f>+BA326/12</f>
        <v>9645.9166666666661</v>
      </c>
      <c r="BD326" s="7">
        <f>SUM(O326:Z326)</f>
        <v>146906</v>
      </c>
      <c r="BE326" s="7">
        <f>+BD326-BA326</f>
        <v>31155</v>
      </c>
      <c r="BF326" s="8">
        <f>(BD326/BA326)-1</f>
        <v>0.26915534207047886</v>
      </c>
      <c r="BG326" s="7">
        <f>BD326/12</f>
        <v>12242.166666666666</v>
      </c>
      <c r="BI326" s="12">
        <f>+SUM(AA326:AL326)</f>
        <v>109342</v>
      </c>
      <c r="BJ326" s="12">
        <f>+BI326-BD326</f>
        <v>-37564</v>
      </c>
      <c r="BK326" s="13">
        <f>(BI326/BD326)-1</f>
        <v>-0.25570092440063719</v>
      </c>
      <c r="BL326" s="24">
        <f>SUM(AA326:AH326)/8</f>
        <v>8598.25</v>
      </c>
      <c r="BM326" s="24">
        <f>SUM(AI326:AL326)/4</f>
        <v>10139</v>
      </c>
      <c r="BO326" s="17">
        <f>+SUM(AM326:AX326)</f>
        <v>63523</v>
      </c>
      <c r="BP326" s="17">
        <f>+BO326-BI326</f>
        <v>-45819</v>
      </c>
      <c r="BQ326" s="18">
        <f>(BO326/BI326)-1</f>
        <v>-0.41904300268881123</v>
      </c>
      <c r="BR326" s="25">
        <f>BO326/12</f>
        <v>5293.583333333333</v>
      </c>
    </row>
    <row r="327" spans="1:70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70">
      <c r="A328" t="s">
        <v>497</v>
      </c>
      <c r="B328">
        <v>220709</v>
      </c>
      <c r="C328" s="1">
        <v>789</v>
      </c>
      <c r="D328" s="1">
        <v>710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2113</v>
      </c>
      <c r="AG328" s="1">
        <v>10277</v>
      </c>
      <c r="AH328" s="1">
        <v>13193</v>
      </c>
      <c r="AI328" s="1">
        <v>14781</v>
      </c>
      <c r="AJ328" s="1">
        <v>20754</v>
      </c>
      <c r="AK328" s="1">
        <v>25171</v>
      </c>
      <c r="AL328" s="1">
        <v>42774</v>
      </c>
      <c r="AM328" s="1">
        <v>57435</v>
      </c>
      <c r="AN328" s="1">
        <v>51963</v>
      </c>
      <c r="AO328" s="1">
        <v>54374</v>
      </c>
      <c r="AP328" s="1">
        <v>52707</v>
      </c>
      <c r="AQ328" s="1">
        <v>54555</v>
      </c>
      <c r="AR328" s="1">
        <v>49719</v>
      </c>
      <c r="AS328" s="1">
        <v>51462</v>
      </c>
      <c r="AT328" s="1">
        <v>51548</v>
      </c>
      <c r="AU328" s="1">
        <v>46789</v>
      </c>
      <c r="AV328" s="1">
        <v>47332</v>
      </c>
      <c r="AW328" s="1">
        <v>45881</v>
      </c>
      <c r="AX328" s="1">
        <v>46861</v>
      </c>
      <c r="AY328" s="1"/>
      <c r="BA328" s="21">
        <f>SUM(C328:N328)</f>
        <v>1499</v>
      </c>
      <c r="BB328" s="22">
        <f>+BA328/12</f>
        <v>124.91666666666667</v>
      </c>
      <c r="BD328" s="7">
        <f>SUM(O328:Z328)</f>
        <v>0</v>
      </c>
      <c r="BE328" s="7">
        <f>+BD328-BA328</f>
        <v>-1499</v>
      </c>
      <c r="BF328" s="8">
        <f>(BD328/BA328)-1</f>
        <v>-1</v>
      </c>
      <c r="BG328" s="7">
        <f>BD328/12</f>
        <v>0</v>
      </c>
      <c r="BI328" s="12">
        <f>+SUM(AA328:AL328)</f>
        <v>129063</v>
      </c>
      <c r="BJ328" s="12">
        <f>+BI328-BD328</f>
        <v>129063</v>
      </c>
      <c r="BK328" s="13" t="e">
        <f>(BI328/BD328)-1</f>
        <v>#DIV/0!</v>
      </c>
      <c r="BL328" s="24">
        <f>SUM(AA328:AH328)/8</f>
        <v>3197.875</v>
      </c>
      <c r="BM328" s="24">
        <f>SUM(AI328:AL328)/4</f>
        <v>25870</v>
      </c>
      <c r="BO328" s="17">
        <f>+SUM(AM328:AX328)</f>
        <v>610626</v>
      </c>
      <c r="BP328" s="17">
        <f>+BO328-BI328</f>
        <v>481563</v>
      </c>
      <c r="BQ328" s="18">
        <f>(BO328/BI328)-1</f>
        <v>3.7312242858139051</v>
      </c>
      <c r="BR328" s="25">
        <f>BO328/12</f>
        <v>50885.5</v>
      </c>
    </row>
    <row r="329" spans="1:70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BA329" s="21"/>
      <c r="BB329" s="22"/>
      <c r="BD329" s="7"/>
      <c r="BE329" s="7"/>
      <c r="BF329" s="8"/>
      <c r="BG329" s="7"/>
      <c r="BI329" s="12"/>
      <c r="BJ329" s="12"/>
      <c r="BK329" s="13"/>
      <c r="BL329" s="24"/>
      <c r="BM329" s="24"/>
      <c r="BO329" s="17"/>
      <c r="BP329" s="17"/>
      <c r="BQ329" s="18"/>
      <c r="BR329" s="25"/>
    </row>
    <row r="330" spans="1:70">
      <c r="A330" t="s">
        <v>499</v>
      </c>
      <c r="B330">
        <v>220712</v>
      </c>
      <c r="C330" s="1">
        <v>620</v>
      </c>
      <c r="D330" s="1">
        <v>516</v>
      </c>
      <c r="E330" s="1">
        <v>0</v>
      </c>
      <c r="F330" s="1">
        <v>1560</v>
      </c>
      <c r="G330" s="1">
        <v>3037</v>
      </c>
      <c r="H330" s="1">
        <v>3945</v>
      </c>
      <c r="I330" s="1">
        <v>4352</v>
      </c>
      <c r="J330" s="1">
        <v>1799</v>
      </c>
      <c r="K330" s="1">
        <v>10</v>
      </c>
      <c r="L330" s="1">
        <v>10</v>
      </c>
      <c r="M330" s="1">
        <v>8</v>
      </c>
      <c r="N330" s="1">
        <v>11</v>
      </c>
      <c r="O330" s="1">
        <v>14</v>
      </c>
      <c r="P330" s="1">
        <v>12</v>
      </c>
      <c r="Q330" s="1">
        <v>6733</v>
      </c>
      <c r="R330" s="1">
        <v>48</v>
      </c>
      <c r="S330" s="1">
        <v>40</v>
      </c>
      <c r="T330" s="1">
        <v>10160</v>
      </c>
      <c r="U330" s="1">
        <v>48</v>
      </c>
      <c r="V330" s="1">
        <v>44</v>
      </c>
      <c r="W330" s="1">
        <v>44</v>
      </c>
      <c r="X330" s="1">
        <v>61</v>
      </c>
      <c r="Y330" s="1">
        <v>888</v>
      </c>
      <c r="Z330" s="1">
        <v>74</v>
      </c>
      <c r="AA330" s="1">
        <v>4961</v>
      </c>
      <c r="AB330" s="1">
        <v>5299</v>
      </c>
      <c r="AC330" s="1">
        <v>1483</v>
      </c>
      <c r="AD330" s="1">
        <v>61</v>
      </c>
      <c r="AE330" s="1">
        <v>111</v>
      </c>
      <c r="AF330" s="1">
        <v>86</v>
      </c>
      <c r="AG330" s="1">
        <v>5245</v>
      </c>
      <c r="AH330" s="1">
        <v>89</v>
      </c>
      <c r="AI330" s="1">
        <v>178</v>
      </c>
      <c r="AJ330" s="1">
        <v>164</v>
      </c>
      <c r="AK330" s="1">
        <v>140</v>
      </c>
      <c r="AL330" s="1">
        <v>64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/>
      <c r="BA330" s="21">
        <f t="shared" ref="BA330:BA336" si="261">SUM(C330:N330)</f>
        <v>15868</v>
      </c>
      <c r="BB330" s="22">
        <f t="shared" ref="BB330:BB336" si="262">+BA330/12</f>
        <v>1322.3333333333333</v>
      </c>
      <c r="BD330" s="7">
        <f t="shared" ref="BD330:BD336" si="263">SUM(O330:Z330)</f>
        <v>18166</v>
      </c>
      <c r="BE330" s="7">
        <f t="shared" ref="BE330:BE336" si="264">+BD330-BA330</f>
        <v>2298</v>
      </c>
      <c r="BF330" s="8">
        <f t="shared" ref="BF330:BF336" si="265">(BD330/BA330)-1</f>
        <v>0.14481976304512223</v>
      </c>
      <c r="BG330" s="7">
        <f t="shared" ref="BG330:BG336" si="266">BD330/12</f>
        <v>1513.8333333333333</v>
      </c>
      <c r="BI330" s="12">
        <f t="shared" ref="BI330:BI336" si="267">+SUM(AA330:AL330)</f>
        <v>17881</v>
      </c>
      <c r="BJ330" s="12">
        <f t="shared" ref="BJ330:BJ336" si="268">+BI330-BD330</f>
        <v>-285</v>
      </c>
      <c r="BK330" s="13">
        <f t="shared" ref="BK330:BK336" si="269">(BI330/BD330)-1</f>
        <v>-1.5688649124738552E-2</v>
      </c>
      <c r="BL330" s="24">
        <f t="shared" ref="BL330:BL336" si="270">SUM(AA330:AH330)/8</f>
        <v>2166.875</v>
      </c>
      <c r="BM330" s="24">
        <f t="shared" ref="BM330:BM336" si="271">SUM(AI330:AL330)/4</f>
        <v>136.5</v>
      </c>
      <c r="BO330" s="17">
        <f t="shared" ref="BO330:BO336" si="272">+SUM(AM330:AX330)</f>
        <v>0</v>
      </c>
      <c r="BP330" s="17">
        <f t="shared" ref="BP330:BP336" si="273">+BO330-BI330</f>
        <v>-17881</v>
      </c>
      <c r="BQ330" s="18">
        <f t="shared" ref="BQ330:BQ336" si="274">(BO330/BI330)-1</f>
        <v>-1</v>
      </c>
      <c r="BR330" s="25">
        <f t="shared" ref="BR330:BR336" si="275">BO330/12</f>
        <v>0</v>
      </c>
    </row>
    <row r="331" spans="1:70">
      <c r="A331" t="s">
        <v>500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169</v>
      </c>
      <c r="K331" s="1">
        <v>380</v>
      </c>
      <c r="L331" s="1">
        <v>483</v>
      </c>
      <c r="M331" s="1">
        <v>888</v>
      </c>
      <c r="N331" s="1">
        <v>565</v>
      </c>
      <c r="O331" s="1">
        <v>633</v>
      </c>
      <c r="P331" s="1">
        <v>597</v>
      </c>
      <c r="Q331" s="1">
        <v>422</v>
      </c>
      <c r="R331" s="1">
        <v>1063</v>
      </c>
      <c r="S331" s="1">
        <v>1052</v>
      </c>
      <c r="T331" s="1">
        <v>442</v>
      </c>
      <c r="U331" s="1">
        <v>1260</v>
      </c>
      <c r="V331" s="1">
        <v>1099</v>
      </c>
      <c r="W331" s="1">
        <v>711</v>
      </c>
      <c r="X331" s="1">
        <v>725</v>
      </c>
      <c r="Y331" s="1">
        <v>757</v>
      </c>
      <c r="Z331" s="1">
        <v>986</v>
      </c>
      <c r="AA331" s="1">
        <v>1199</v>
      </c>
      <c r="AB331" s="1">
        <v>1100</v>
      </c>
      <c r="AC331" s="1">
        <v>1538</v>
      </c>
      <c r="AD331" s="1">
        <v>1384</v>
      </c>
      <c r="AE331" s="1">
        <v>2046</v>
      </c>
      <c r="AF331" s="1">
        <v>4917</v>
      </c>
      <c r="AG331" s="1">
        <v>3732</v>
      </c>
      <c r="AH331" s="1">
        <v>4099</v>
      </c>
      <c r="AI331" s="1">
        <v>2597</v>
      </c>
      <c r="AJ331" s="1">
        <v>2439</v>
      </c>
      <c r="AK331" s="1">
        <v>2123</v>
      </c>
      <c r="AL331" s="1">
        <v>1000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/>
      <c r="BA331" s="21">
        <f t="shared" si="261"/>
        <v>2485</v>
      </c>
      <c r="BB331" s="22">
        <f t="shared" si="262"/>
        <v>207.08333333333334</v>
      </c>
      <c r="BD331" s="7">
        <f t="shared" si="263"/>
        <v>9747</v>
      </c>
      <c r="BE331" s="7">
        <f t="shared" si="264"/>
        <v>7262</v>
      </c>
      <c r="BF331" s="8">
        <f t="shared" si="265"/>
        <v>2.9223340040241448</v>
      </c>
      <c r="BG331" s="7">
        <f t="shared" si="266"/>
        <v>812.25</v>
      </c>
      <c r="BI331" s="12">
        <f t="shared" si="267"/>
        <v>28174</v>
      </c>
      <c r="BJ331" s="12">
        <f t="shared" si="268"/>
        <v>18427</v>
      </c>
      <c r="BK331" s="13">
        <f t="shared" si="269"/>
        <v>1.890530419616292</v>
      </c>
      <c r="BL331" s="24">
        <f t="shared" si="270"/>
        <v>2501.875</v>
      </c>
      <c r="BM331" s="24">
        <f t="shared" si="271"/>
        <v>2039.75</v>
      </c>
      <c r="BO331" s="17">
        <f t="shared" si="272"/>
        <v>0</v>
      </c>
      <c r="BP331" s="17">
        <f t="shared" si="273"/>
        <v>-28174</v>
      </c>
      <c r="BQ331" s="18">
        <f t="shared" si="274"/>
        <v>-1</v>
      </c>
      <c r="BR331" s="25">
        <f t="shared" si="275"/>
        <v>0</v>
      </c>
    </row>
    <row r="332" spans="1:70">
      <c r="A332" t="s">
        <v>501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587</v>
      </c>
      <c r="K332" s="1">
        <v>859</v>
      </c>
      <c r="L332" s="1">
        <v>931</v>
      </c>
      <c r="M332" s="1">
        <v>1621</v>
      </c>
      <c r="N332" s="1">
        <v>1384</v>
      </c>
      <c r="O332" s="1">
        <v>1534</v>
      </c>
      <c r="P332" s="1">
        <v>1069</v>
      </c>
      <c r="Q332" s="1">
        <v>344</v>
      </c>
      <c r="R332" s="1">
        <v>1172</v>
      </c>
      <c r="S332" s="1">
        <v>1494</v>
      </c>
      <c r="T332" s="1">
        <v>712</v>
      </c>
      <c r="U332" s="1">
        <v>2109</v>
      </c>
      <c r="V332" s="1">
        <v>1977</v>
      </c>
      <c r="W332" s="1">
        <v>1706</v>
      </c>
      <c r="X332" s="1">
        <v>1939</v>
      </c>
      <c r="Y332" s="1">
        <v>1858</v>
      </c>
      <c r="Z332" s="1">
        <v>2283</v>
      </c>
      <c r="AA332" s="1">
        <v>2348</v>
      </c>
      <c r="AB332" s="1">
        <v>2123</v>
      </c>
      <c r="AC332" s="1">
        <v>2135</v>
      </c>
      <c r="AD332" s="1">
        <v>2046</v>
      </c>
      <c r="AE332" s="1">
        <v>3070</v>
      </c>
      <c r="AF332" s="1">
        <v>6549</v>
      </c>
      <c r="AG332" s="1">
        <v>5489</v>
      </c>
      <c r="AH332" s="1">
        <v>5444</v>
      </c>
      <c r="AI332" s="1">
        <v>4944</v>
      </c>
      <c r="AJ332" s="1">
        <v>4775</v>
      </c>
      <c r="AK332" s="1">
        <v>4297</v>
      </c>
      <c r="AL332" s="1">
        <v>2097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/>
      <c r="BA332" s="21">
        <f t="shared" si="261"/>
        <v>5382</v>
      </c>
      <c r="BB332" s="22">
        <f t="shared" si="262"/>
        <v>448.5</v>
      </c>
      <c r="BD332" s="7">
        <f t="shared" si="263"/>
        <v>18197</v>
      </c>
      <c r="BE332" s="7">
        <f t="shared" si="264"/>
        <v>12815</v>
      </c>
      <c r="BF332" s="8">
        <f t="shared" si="265"/>
        <v>2.3810850984764027</v>
      </c>
      <c r="BG332" s="7">
        <f t="shared" si="266"/>
        <v>1516.4166666666667</v>
      </c>
      <c r="BI332" s="12">
        <f t="shared" si="267"/>
        <v>45317</v>
      </c>
      <c r="BJ332" s="12">
        <f t="shared" si="268"/>
        <v>27120</v>
      </c>
      <c r="BK332" s="13">
        <f t="shared" si="269"/>
        <v>1.4903555531131505</v>
      </c>
      <c r="BL332" s="24">
        <f t="shared" si="270"/>
        <v>3650.5</v>
      </c>
      <c r="BM332" s="24">
        <f t="shared" si="271"/>
        <v>4028.25</v>
      </c>
      <c r="BO332" s="17">
        <f t="shared" si="272"/>
        <v>0</v>
      </c>
      <c r="BP332" s="17">
        <f t="shared" si="273"/>
        <v>-45317</v>
      </c>
      <c r="BQ332" s="18">
        <f t="shared" si="274"/>
        <v>-1</v>
      </c>
      <c r="BR332" s="25">
        <f t="shared" si="275"/>
        <v>0</v>
      </c>
    </row>
    <row r="333" spans="1:70">
      <c r="A333" t="s">
        <v>502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1827</v>
      </c>
      <c r="K333" s="1">
        <v>2201</v>
      </c>
      <c r="L333" s="1">
        <v>2590</v>
      </c>
      <c r="M333" s="1">
        <v>3773</v>
      </c>
      <c r="N333" s="1">
        <v>3496</v>
      </c>
      <c r="O333" s="1">
        <v>3299</v>
      </c>
      <c r="P333" s="1">
        <v>2477</v>
      </c>
      <c r="Q333" s="1">
        <v>2916</v>
      </c>
      <c r="R333" s="1">
        <v>5061</v>
      </c>
      <c r="S333" s="1">
        <v>5887</v>
      </c>
      <c r="T333" s="1">
        <v>3235</v>
      </c>
      <c r="U333" s="1">
        <v>6933</v>
      </c>
      <c r="V333" s="1">
        <v>6585</v>
      </c>
      <c r="W333" s="1">
        <v>8234</v>
      </c>
      <c r="X333" s="1">
        <v>8068</v>
      </c>
      <c r="Y333" s="1">
        <v>6855</v>
      </c>
      <c r="Z333" s="1">
        <v>8151</v>
      </c>
      <c r="AA333" s="1">
        <v>7267</v>
      </c>
      <c r="AB333" s="1">
        <v>6219</v>
      </c>
      <c r="AC333" s="1">
        <v>9220</v>
      </c>
      <c r="AD333" s="1">
        <v>8528</v>
      </c>
      <c r="AE333" s="1">
        <v>8365</v>
      </c>
      <c r="AF333" s="1">
        <v>7350</v>
      </c>
      <c r="AG333" s="1">
        <v>5731</v>
      </c>
      <c r="AH333" s="1">
        <v>9121</v>
      </c>
      <c r="AI333" s="1">
        <v>14057</v>
      </c>
      <c r="AJ333" s="1">
        <v>13387</v>
      </c>
      <c r="AK333" s="1">
        <v>11858</v>
      </c>
      <c r="AL333" s="1">
        <v>5687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/>
      <c r="BA333" s="21">
        <f t="shared" si="261"/>
        <v>13887</v>
      </c>
      <c r="BB333" s="22">
        <f t="shared" si="262"/>
        <v>1157.25</v>
      </c>
      <c r="BD333" s="7">
        <f t="shared" si="263"/>
        <v>67701</v>
      </c>
      <c r="BE333" s="7">
        <f t="shared" si="264"/>
        <v>53814</v>
      </c>
      <c r="BF333" s="8">
        <f t="shared" si="265"/>
        <v>3.8751350183624975</v>
      </c>
      <c r="BG333" s="7">
        <f t="shared" si="266"/>
        <v>5641.75</v>
      </c>
      <c r="BI333" s="12">
        <f t="shared" si="267"/>
        <v>106790</v>
      </c>
      <c r="BJ333" s="12">
        <f t="shared" si="268"/>
        <v>39089</v>
      </c>
      <c r="BK333" s="13">
        <f t="shared" si="269"/>
        <v>0.57737699590848002</v>
      </c>
      <c r="BL333" s="24">
        <f t="shared" si="270"/>
        <v>7725.125</v>
      </c>
      <c r="BM333" s="24">
        <f t="shared" si="271"/>
        <v>11247.25</v>
      </c>
      <c r="BO333" s="17">
        <f t="shared" si="272"/>
        <v>0</v>
      </c>
      <c r="BP333" s="17">
        <f t="shared" si="273"/>
        <v>-106790</v>
      </c>
      <c r="BQ333" s="18">
        <f t="shared" si="274"/>
        <v>-1</v>
      </c>
      <c r="BR333" s="25">
        <f t="shared" si="275"/>
        <v>0</v>
      </c>
    </row>
    <row r="334" spans="1:70">
      <c r="A334" t="s">
        <v>503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2016</v>
      </c>
      <c r="K334" s="1">
        <v>3425</v>
      </c>
      <c r="L334" s="1">
        <v>3849</v>
      </c>
      <c r="M334" s="1">
        <v>3842</v>
      </c>
      <c r="N334" s="1">
        <v>4095</v>
      </c>
      <c r="O334" s="1">
        <v>3414</v>
      </c>
      <c r="P334" s="1">
        <v>2983</v>
      </c>
      <c r="Q334" s="1">
        <v>807</v>
      </c>
      <c r="R334" s="1">
        <v>4913</v>
      </c>
      <c r="S334" s="1">
        <v>3901</v>
      </c>
      <c r="T334" s="1">
        <v>788</v>
      </c>
      <c r="U334" s="1">
        <v>4540</v>
      </c>
      <c r="V334" s="1">
        <v>3912</v>
      </c>
      <c r="W334" s="1">
        <v>2996</v>
      </c>
      <c r="X334" s="1">
        <v>2476</v>
      </c>
      <c r="Y334" s="1">
        <v>4143</v>
      </c>
      <c r="Z334" s="1">
        <v>7000</v>
      </c>
      <c r="AA334" s="1">
        <v>5133</v>
      </c>
      <c r="AB334" s="1">
        <v>6181</v>
      </c>
      <c r="AC334" s="1">
        <v>9137</v>
      </c>
      <c r="AD334" s="1">
        <v>10023</v>
      </c>
      <c r="AE334" s="1">
        <v>9190</v>
      </c>
      <c r="AF334" s="1">
        <v>6885</v>
      </c>
      <c r="AG334" s="1">
        <v>4968</v>
      </c>
      <c r="AH334" s="1">
        <v>5362</v>
      </c>
      <c r="AI334" s="1">
        <v>8304</v>
      </c>
      <c r="AJ334" s="1">
        <v>7908</v>
      </c>
      <c r="AK334" s="1">
        <v>7005</v>
      </c>
      <c r="AL334" s="1">
        <v>3360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/>
      <c r="BA334" s="21">
        <f t="shared" si="261"/>
        <v>17227</v>
      </c>
      <c r="BB334" s="22">
        <f t="shared" si="262"/>
        <v>1435.5833333333333</v>
      </c>
      <c r="BD334" s="7">
        <f t="shared" si="263"/>
        <v>41873</v>
      </c>
      <c r="BE334" s="7">
        <f t="shared" si="264"/>
        <v>24646</v>
      </c>
      <c r="BF334" s="8">
        <f t="shared" si="265"/>
        <v>1.4306611714169617</v>
      </c>
      <c r="BG334" s="7">
        <f t="shared" si="266"/>
        <v>3489.4166666666665</v>
      </c>
      <c r="BI334" s="12">
        <f t="shared" si="267"/>
        <v>83456</v>
      </c>
      <c r="BJ334" s="12">
        <f t="shared" si="268"/>
        <v>41583</v>
      </c>
      <c r="BK334" s="13">
        <f t="shared" si="269"/>
        <v>0.99307429608578324</v>
      </c>
      <c r="BL334" s="24">
        <f t="shared" si="270"/>
        <v>7109.875</v>
      </c>
      <c r="BM334" s="24">
        <f t="shared" si="271"/>
        <v>6644.25</v>
      </c>
      <c r="BO334" s="17">
        <f t="shared" si="272"/>
        <v>0</v>
      </c>
      <c r="BP334" s="17">
        <f t="shared" si="273"/>
        <v>-83456</v>
      </c>
      <c r="BQ334" s="18">
        <f t="shared" si="274"/>
        <v>-1</v>
      </c>
      <c r="BR334" s="25">
        <f t="shared" si="275"/>
        <v>0</v>
      </c>
    </row>
    <row r="335" spans="1:70">
      <c r="A335" t="s">
        <v>504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1400</v>
      </c>
      <c r="O335" s="1">
        <v>892</v>
      </c>
      <c r="P335" s="1">
        <v>698</v>
      </c>
      <c r="Q335" s="1">
        <v>0</v>
      </c>
      <c r="R335" s="1">
        <v>0</v>
      </c>
      <c r="S335" s="1">
        <v>2059</v>
      </c>
      <c r="T335" s="1">
        <v>0</v>
      </c>
      <c r="U335" s="1">
        <v>2107</v>
      </c>
      <c r="V335" s="1">
        <v>1713</v>
      </c>
      <c r="W335" s="1">
        <v>3089</v>
      </c>
      <c r="X335" s="1">
        <v>4217</v>
      </c>
      <c r="Y335" s="1">
        <v>2641</v>
      </c>
      <c r="Z335" s="1">
        <v>3980</v>
      </c>
      <c r="AA335" s="1">
        <v>3707</v>
      </c>
      <c r="AB335" s="1">
        <v>2984</v>
      </c>
      <c r="AC335" s="1">
        <v>4047</v>
      </c>
      <c r="AD335" s="1">
        <v>5540</v>
      </c>
      <c r="AE335" s="1">
        <v>6693</v>
      </c>
      <c r="AF335" s="1">
        <v>6049</v>
      </c>
      <c r="AG335" s="1">
        <v>6199</v>
      </c>
      <c r="AH335" s="1">
        <v>7167</v>
      </c>
      <c r="AI335" s="1">
        <v>9194</v>
      </c>
      <c r="AJ335" s="1">
        <v>8712</v>
      </c>
      <c r="AK335" s="1">
        <v>7671</v>
      </c>
      <c r="AL335" s="1">
        <v>3655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/>
      <c r="BA335" s="21">
        <f t="shared" si="261"/>
        <v>1400</v>
      </c>
      <c r="BB335" s="22">
        <f t="shared" si="262"/>
        <v>116.66666666666667</v>
      </c>
      <c r="BD335" s="7">
        <f t="shared" si="263"/>
        <v>21396</v>
      </c>
      <c r="BE335" s="7">
        <f t="shared" si="264"/>
        <v>19996</v>
      </c>
      <c r="BF335" s="8">
        <f t="shared" si="265"/>
        <v>14.282857142857143</v>
      </c>
      <c r="BG335" s="7">
        <f t="shared" si="266"/>
        <v>1783</v>
      </c>
      <c r="BI335" s="12">
        <f t="shared" si="267"/>
        <v>71618</v>
      </c>
      <c r="BJ335" s="12">
        <f t="shared" si="268"/>
        <v>50222</v>
      </c>
      <c r="BK335" s="13">
        <f t="shared" si="269"/>
        <v>2.3472611703122079</v>
      </c>
      <c r="BL335" s="24">
        <f t="shared" si="270"/>
        <v>5298.25</v>
      </c>
      <c r="BM335" s="24">
        <f t="shared" si="271"/>
        <v>7308</v>
      </c>
      <c r="BO335" s="17">
        <f t="shared" si="272"/>
        <v>0</v>
      </c>
      <c r="BP335" s="17">
        <f t="shared" si="273"/>
        <v>-71618</v>
      </c>
      <c r="BQ335" s="18">
        <f t="shared" si="274"/>
        <v>-1</v>
      </c>
      <c r="BR335" s="25">
        <f t="shared" si="275"/>
        <v>0</v>
      </c>
    </row>
    <row r="336" spans="1:70">
      <c r="A336" t="s">
        <v>505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1692</v>
      </c>
      <c r="O336" s="1">
        <v>3421</v>
      </c>
      <c r="P336" s="1">
        <v>1340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1647</v>
      </c>
      <c r="W336" s="1">
        <v>1777</v>
      </c>
      <c r="X336" s="1">
        <v>2377</v>
      </c>
      <c r="Y336" s="1">
        <v>4664</v>
      </c>
      <c r="Z336" s="1">
        <v>7609</v>
      </c>
      <c r="AA336" s="1">
        <v>8997</v>
      </c>
      <c r="AB336" s="1">
        <v>8648</v>
      </c>
      <c r="AC336" s="1">
        <v>10055</v>
      </c>
      <c r="AD336" s="1">
        <v>10796</v>
      </c>
      <c r="AE336" s="1">
        <v>10331</v>
      </c>
      <c r="AF336" s="1">
        <v>8286</v>
      </c>
      <c r="AG336" s="1">
        <v>8493</v>
      </c>
      <c r="AH336" s="1">
        <v>8023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/>
      <c r="BA336" s="21">
        <f t="shared" si="261"/>
        <v>1692</v>
      </c>
      <c r="BB336" s="22">
        <f t="shared" si="262"/>
        <v>141</v>
      </c>
      <c r="BD336" s="7">
        <f t="shared" si="263"/>
        <v>22835</v>
      </c>
      <c r="BE336" s="7">
        <f t="shared" si="264"/>
        <v>21143</v>
      </c>
      <c r="BF336" s="8">
        <f t="shared" si="265"/>
        <v>12.495862884160756</v>
      </c>
      <c r="BG336" s="7">
        <f t="shared" si="266"/>
        <v>1902.9166666666667</v>
      </c>
      <c r="BI336" s="12">
        <f t="shared" si="267"/>
        <v>73629</v>
      </c>
      <c r="BJ336" s="12">
        <f t="shared" si="268"/>
        <v>50794</v>
      </c>
      <c r="BK336" s="13">
        <f t="shared" si="269"/>
        <v>2.2243923801182395</v>
      </c>
      <c r="BL336" s="24">
        <f t="shared" si="270"/>
        <v>9203.625</v>
      </c>
      <c r="BM336" s="24">
        <f t="shared" si="271"/>
        <v>0</v>
      </c>
      <c r="BO336" s="17">
        <f t="shared" si="272"/>
        <v>0</v>
      </c>
      <c r="BP336" s="17">
        <f t="shared" si="273"/>
        <v>-73629</v>
      </c>
      <c r="BQ336" s="18">
        <f t="shared" si="274"/>
        <v>-1</v>
      </c>
      <c r="BR336" s="25">
        <f t="shared" si="275"/>
        <v>0</v>
      </c>
    </row>
    <row r="337" spans="1:70">
      <c r="A337" t="s">
        <v>11</v>
      </c>
      <c r="B337" t="s">
        <v>12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70">
      <c r="A338" t="s">
        <v>506</v>
      </c>
      <c r="C338" s="1">
        <v>620</v>
      </c>
      <c r="D338" s="1">
        <v>516</v>
      </c>
      <c r="E338" s="1">
        <v>0</v>
      </c>
      <c r="F338" s="1">
        <v>1560</v>
      </c>
      <c r="G338" s="1">
        <v>3037</v>
      </c>
      <c r="H338" s="1">
        <v>3945</v>
      </c>
      <c r="I338" s="1">
        <v>4352</v>
      </c>
      <c r="J338" s="1">
        <v>6398</v>
      </c>
      <c r="K338" s="1">
        <v>6876</v>
      </c>
      <c r="L338" s="1">
        <v>7863</v>
      </c>
      <c r="M338" s="1">
        <v>10132</v>
      </c>
      <c r="N338" s="1">
        <v>12643</v>
      </c>
      <c r="O338" s="1">
        <v>13208</v>
      </c>
      <c r="P338" s="1">
        <v>9176</v>
      </c>
      <c r="Q338" s="1">
        <v>11223</v>
      </c>
      <c r="R338" s="1">
        <v>12257</v>
      </c>
      <c r="S338" s="1">
        <v>14433</v>
      </c>
      <c r="T338" s="1">
        <v>15336</v>
      </c>
      <c r="U338" s="1">
        <v>16998</v>
      </c>
      <c r="V338" s="1">
        <v>16976</v>
      </c>
      <c r="W338" s="1">
        <v>18558</v>
      </c>
      <c r="X338" s="1">
        <v>19862</v>
      </c>
      <c r="Y338" s="1">
        <v>21808</v>
      </c>
      <c r="Z338" s="1">
        <v>30084</v>
      </c>
      <c r="AA338" s="1">
        <v>33612</v>
      </c>
      <c r="AB338" s="1">
        <v>32555</v>
      </c>
      <c r="AC338" s="1">
        <v>37615</v>
      </c>
      <c r="AD338" s="1">
        <v>38378</v>
      </c>
      <c r="AE338" s="1">
        <v>39806</v>
      </c>
      <c r="AF338" s="1">
        <v>40122</v>
      </c>
      <c r="AG338" s="1">
        <v>39858</v>
      </c>
      <c r="AH338" s="1">
        <v>39304</v>
      </c>
      <c r="AI338" s="1">
        <v>39273</v>
      </c>
      <c r="AJ338" s="1">
        <v>37386</v>
      </c>
      <c r="AK338" s="1">
        <v>33095</v>
      </c>
      <c r="AL338" s="1">
        <v>15862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/>
      <c r="BA338" s="21">
        <f>SUM(C338:N338)</f>
        <v>57942</v>
      </c>
      <c r="BB338" s="22">
        <f>+BA338/12</f>
        <v>4828.5</v>
      </c>
      <c r="BD338" s="7">
        <f>SUM(O338:Z338)</f>
        <v>199919</v>
      </c>
      <c r="BE338" s="7">
        <f>+BD338-BA338</f>
        <v>141977</v>
      </c>
      <c r="BF338" s="8">
        <f>(BD338/BA338)-1</f>
        <v>2.4503296399848122</v>
      </c>
      <c r="BG338" s="7">
        <f>BD338/12</f>
        <v>16659.916666666668</v>
      </c>
      <c r="BI338" s="12">
        <f>+SUM(AA338:AL338)</f>
        <v>426866</v>
      </c>
      <c r="BJ338" s="12">
        <f>+BI338-BD338</f>
        <v>226947</v>
      </c>
      <c r="BK338" s="13">
        <f>(BI338/BD338)-1</f>
        <v>1.1351947538753193</v>
      </c>
      <c r="BL338" s="24">
        <f>SUM(AA338:AH338)/8</f>
        <v>37656.25</v>
      </c>
      <c r="BM338" s="24">
        <f>SUM(AI338:AL338)/4</f>
        <v>31404</v>
      </c>
      <c r="BO338" s="17">
        <f>+SUM(AM338:AX338)</f>
        <v>0</v>
      </c>
      <c r="BP338" s="17">
        <f>+BO338-BI338</f>
        <v>-426866</v>
      </c>
      <c r="BQ338" s="18">
        <f>(BO338/BI338)-1</f>
        <v>-1</v>
      </c>
      <c r="BR338" s="25">
        <f>BO338/12</f>
        <v>0</v>
      </c>
    </row>
    <row r="339" spans="1:70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70">
      <c r="A340" t="s">
        <v>604</v>
      </c>
      <c r="C340" s="1">
        <v>422794</v>
      </c>
      <c r="D340" s="1">
        <v>368818</v>
      </c>
      <c r="E340" s="1">
        <v>400870</v>
      </c>
      <c r="F340" s="1">
        <v>400921</v>
      </c>
      <c r="G340" s="1">
        <v>463144</v>
      </c>
      <c r="H340" s="1">
        <v>447232</v>
      </c>
      <c r="I340" s="1">
        <v>444973</v>
      </c>
      <c r="J340" s="1">
        <v>700887</v>
      </c>
      <c r="K340" s="1">
        <v>748209</v>
      </c>
      <c r="L340" s="1">
        <v>780346</v>
      </c>
      <c r="M340" s="1">
        <v>773852</v>
      </c>
      <c r="N340" s="1">
        <v>819280</v>
      </c>
      <c r="O340" s="1">
        <v>836779</v>
      </c>
      <c r="P340" s="1">
        <v>794829</v>
      </c>
      <c r="Q340" s="1">
        <v>875429</v>
      </c>
      <c r="R340" s="1">
        <v>850995</v>
      </c>
      <c r="S340" s="1">
        <v>896877</v>
      </c>
      <c r="T340" s="1">
        <v>884246</v>
      </c>
      <c r="U340" s="1">
        <v>942156</v>
      </c>
      <c r="V340" s="1">
        <v>932875</v>
      </c>
      <c r="W340" s="1">
        <v>930735</v>
      </c>
      <c r="X340" s="1">
        <v>977061</v>
      </c>
      <c r="Y340" s="1">
        <v>959969</v>
      </c>
      <c r="Z340" s="1">
        <v>1032723</v>
      </c>
      <c r="AA340" s="1">
        <v>946039</v>
      </c>
      <c r="AB340" s="1">
        <v>850817</v>
      </c>
      <c r="AC340" s="1">
        <v>963634</v>
      </c>
      <c r="AD340" s="1">
        <v>913175</v>
      </c>
      <c r="AE340" s="1">
        <v>960844</v>
      </c>
      <c r="AF340" s="1">
        <v>996213</v>
      </c>
      <c r="AG340" s="1">
        <v>1174445</v>
      </c>
      <c r="AH340" s="1">
        <v>1259415</v>
      </c>
      <c r="AI340" s="1">
        <v>1567932</v>
      </c>
      <c r="AJ340" s="1">
        <v>1591638</v>
      </c>
      <c r="AK340" s="1">
        <v>1567416</v>
      </c>
      <c r="AL340" s="1">
        <v>1719363</v>
      </c>
      <c r="AM340" s="1">
        <v>1725429</v>
      </c>
      <c r="AN340" s="1">
        <v>1508743</v>
      </c>
      <c r="AO340" s="1">
        <v>1681497</v>
      </c>
      <c r="AP340" s="1">
        <v>1636491</v>
      </c>
      <c r="AQ340" s="1">
        <v>1703375</v>
      </c>
      <c r="AR340" s="1">
        <v>1568857</v>
      </c>
      <c r="AS340" s="1">
        <v>1631716</v>
      </c>
      <c r="AT340" s="1">
        <v>1645573</v>
      </c>
      <c r="AU340" s="1">
        <v>1503534</v>
      </c>
      <c r="AV340" s="1">
        <v>1562202</v>
      </c>
      <c r="AW340" s="1">
        <v>1528573</v>
      </c>
      <c r="AX340" s="1">
        <v>1593857</v>
      </c>
      <c r="AY340" s="1"/>
      <c r="BA340" s="21">
        <f>SUM(C340:N340)</f>
        <v>6771326</v>
      </c>
      <c r="BB340" s="22">
        <f>+BA340/12</f>
        <v>564277.16666666663</v>
      </c>
      <c r="BD340" s="7">
        <f>SUM(O340:Z340)</f>
        <v>10914674</v>
      </c>
      <c r="BE340" s="7">
        <f>+BD340-BA340</f>
        <v>4143348</v>
      </c>
      <c r="BF340" s="8">
        <f>(BD340/BA340)-1</f>
        <v>0.6118961042490052</v>
      </c>
      <c r="BG340" s="7">
        <f>BD340/12</f>
        <v>909556.16666666663</v>
      </c>
      <c r="BI340" s="12">
        <f>+SUM(AA340:AL340)</f>
        <v>14510931</v>
      </c>
      <c r="BJ340" s="12">
        <f>+BI340-BD340</f>
        <v>3596257</v>
      </c>
      <c r="BK340" s="13">
        <f>(BI340/BD340)-1</f>
        <v>0.32948826506407802</v>
      </c>
      <c r="BL340" s="24">
        <f>SUM(AA340:AH340)/8</f>
        <v>1008072.75</v>
      </c>
      <c r="BM340" s="24">
        <f>SUM(AI340:AL340)/4</f>
        <v>1611587.25</v>
      </c>
      <c r="BO340" s="17">
        <f>+SUM(AM340:AX340)</f>
        <v>19289847</v>
      </c>
      <c r="BP340" s="17">
        <f>+BO340-BI340</f>
        <v>4778916</v>
      </c>
      <c r="BQ340" s="18">
        <f>(BO340/BI340)-1</f>
        <v>0.32933214278256862</v>
      </c>
      <c r="BR340" s="25">
        <f>BO340/12</f>
        <v>1607487.25</v>
      </c>
    </row>
    <row r="341" spans="1:70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70">
      <c r="A342" t="s">
        <v>605</v>
      </c>
      <c r="C342" s="1">
        <v>1542896</v>
      </c>
      <c r="D342" s="1">
        <v>1473921</v>
      </c>
      <c r="E342" s="1">
        <v>1729813</v>
      </c>
      <c r="F342" s="1">
        <v>1751942</v>
      </c>
      <c r="G342" s="1">
        <v>1842805</v>
      </c>
      <c r="H342" s="1">
        <v>1811062</v>
      </c>
      <c r="I342" s="1">
        <v>2171595</v>
      </c>
      <c r="J342" s="1">
        <v>2612865</v>
      </c>
      <c r="K342" s="1">
        <v>2730212</v>
      </c>
      <c r="L342" s="1">
        <v>2931749</v>
      </c>
      <c r="M342" s="1">
        <v>3025383</v>
      </c>
      <c r="N342" s="1">
        <v>3326012</v>
      </c>
      <c r="O342" s="1">
        <v>3398382</v>
      </c>
      <c r="P342" s="1">
        <v>3269248</v>
      </c>
      <c r="Q342" s="1">
        <v>3599507</v>
      </c>
      <c r="R342" s="1">
        <v>3574879</v>
      </c>
      <c r="S342" s="1">
        <v>3819107</v>
      </c>
      <c r="T342" s="1">
        <v>3775773</v>
      </c>
      <c r="U342" s="1">
        <v>3907457</v>
      </c>
      <c r="V342" s="1">
        <v>3755426</v>
      </c>
      <c r="W342" s="1">
        <v>3523514</v>
      </c>
      <c r="X342" s="1">
        <v>3596654</v>
      </c>
      <c r="Y342" s="1">
        <v>3478827</v>
      </c>
      <c r="Z342" s="1">
        <v>3597838</v>
      </c>
      <c r="AA342" s="1">
        <v>3453158</v>
      </c>
      <c r="AB342" s="1">
        <v>3003756</v>
      </c>
      <c r="AC342" s="1">
        <v>3208357</v>
      </c>
      <c r="AD342" s="1">
        <v>3063156</v>
      </c>
      <c r="AE342" s="1">
        <v>3152469</v>
      </c>
      <c r="AF342" s="1">
        <v>3090055</v>
      </c>
      <c r="AG342" s="1">
        <v>3321887</v>
      </c>
      <c r="AH342" s="1">
        <v>3431302</v>
      </c>
      <c r="AI342" s="1">
        <v>3712959</v>
      </c>
      <c r="AJ342" s="1">
        <v>3820631</v>
      </c>
      <c r="AK342" s="1">
        <v>3725044</v>
      </c>
      <c r="AL342" s="1">
        <v>3941771</v>
      </c>
      <c r="AM342" s="1">
        <v>3937536</v>
      </c>
      <c r="AN342" s="1">
        <v>3495098</v>
      </c>
      <c r="AO342" s="1">
        <v>3867825</v>
      </c>
      <c r="AP342" s="1">
        <v>3747965</v>
      </c>
      <c r="AQ342" s="1">
        <v>3876889</v>
      </c>
      <c r="AR342" s="1">
        <v>3644374</v>
      </c>
      <c r="AS342" s="1">
        <v>3770002</v>
      </c>
      <c r="AT342" s="1">
        <v>3797959</v>
      </c>
      <c r="AU342" s="1">
        <v>3599275</v>
      </c>
      <c r="AV342" s="1">
        <v>3743312</v>
      </c>
      <c r="AW342" s="1">
        <v>3655994</v>
      </c>
      <c r="AX342" s="1">
        <v>3808685</v>
      </c>
      <c r="AY342" s="1"/>
      <c r="BA342" s="21">
        <f>SUM(C342:N342)</f>
        <v>26950255</v>
      </c>
      <c r="BB342" s="22">
        <f>+BA342/12</f>
        <v>2245854.5833333335</v>
      </c>
      <c r="BD342" s="7">
        <f>SUM(O342:Z342)</f>
        <v>43296612</v>
      </c>
      <c r="BE342" s="7">
        <f>+BD342-BA342</f>
        <v>16346357</v>
      </c>
      <c r="BF342" s="8">
        <f>(BD342/BA342)-1</f>
        <v>0.60653811995470908</v>
      </c>
      <c r="BG342" s="7">
        <f>BD342/12</f>
        <v>3608051</v>
      </c>
      <c r="BI342" s="12">
        <f>+SUM(AA342:AL342)</f>
        <v>40924545</v>
      </c>
      <c r="BJ342" s="12">
        <f>+BI342-BD342</f>
        <v>-2372067</v>
      </c>
      <c r="BK342" s="13">
        <f>(BI342/BD342)-1</f>
        <v>-5.4786434559821906E-2</v>
      </c>
      <c r="BL342" s="24">
        <f>SUM(AA342:AH342)/8</f>
        <v>3215517.5</v>
      </c>
      <c r="BM342" s="24">
        <f>SUM(AI342:AL342)/4</f>
        <v>3800101.25</v>
      </c>
      <c r="BO342" s="17">
        <f>+SUM(AM342:AX342)</f>
        <v>44944914</v>
      </c>
      <c r="BP342" s="17">
        <f>+BO342-BI342</f>
        <v>4020369</v>
      </c>
      <c r="BQ342" s="18">
        <f>(BO342/BI342)-1</f>
        <v>9.8238575407496809E-2</v>
      </c>
      <c r="BR342" s="25">
        <f>BO342/12</f>
        <v>3745409.5</v>
      </c>
    </row>
    <row r="343" spans="1:70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BA343" s="21"/>
      <c r="BB343" s="22"/>
      <c r="BD343" s="7"/>
      <c r="BE343" s="7"/>
      <c r="BF343" s="8"/>
      <c r="BG343" s="7"/>
      <c r="BI343" s="12"/>
      <c r="BJ343" s="12"/>
      <c r="BK343" s="13"/>
      <c r="BL343" s="24"/>
      <c r="BM343" s="24"/>
      <c r="BO343" s="17"/>
      <c r="BP343" s="17"/>
      <c r="BQ343" s="18"/>
      <c r="BR343" s="25"/>
    </row>
    <row r="344" spans="1:70">
      <c r="A344" t="s">
        <v>606</v>
      </c>
      <c r="B344">
        <v>220715</v>
      </c>
      <c r="C344" s="1">
        <v>16173</v>
      </c>
      <c r="D344" s="1">
        <v>12000</v>
      </c>
      <c r="E344" s="1">
        <v>7014</v>
      </c>
      <c r="F344" s="1">
        <v>24528</v>
      </c>
      <c r="G344" s="1">
        <v>12750</v>
      </c>
      <c r="H344" s="1">
        <v>39233</v>
      </c>
      <c r="I344" s="1">
        <v>13583</v>
      </c>
      <c r="J344" s="1">
        <v>76308</v>
      </c>
      <c r="K344" s="1">
        <v>15932</v>
      </c>
      <c r="L344" s="1">
        <v>13140</v>
      </c>
      <c r="M344" s="1">
        <v>9183</v>
      </c>
      <c r="N344" s="1">
        <v>11750</v>
      </c>
      <c r="O344" s="1">
        <v>13168</v>
      </c>
      <c r="P344" s="1">
        <v>6156</v>
      </c>
      <c r="Q344" s="1">
        <v>15403</v>
      </c>
      <c r="R344" s="1">
        <v>19953</v>
      </c>
      <c r="S344" s="1">
        <v>4160</v>
      </c>
      <c r="T344" s="1">
        <v>17552</v>
      </c>
      <c r="U344" s="1">
        <v>3406</v>
      </c>
      <c r="V344" s="1">
        <v>11104</v>
      </c>
      <c r="W344" s="1">
        <v>14970</v>
      </c>
      <c r="X344" s="1">
        <v>4775</v>
      </c>
      <c r="Y344" s="1">
        <v>6675</v>
      </c>
      <c r="Z344" s="1">
        <v>5253</v>
      </c>
      <c r="AA344" s="1">
        <v>4415</v>
      </c>
      <c r="AB344" s="1">
        <v>5754</v>
      </c>
      <c r="AC344" s="1">
        <v>1509</v>
      </c>
      <c r="AD344" s="1">
        <v>3938</v>
      </c>
      <c r="AE344" s="1">
        <v>3754</v>
      </c>
      <c r="AF344" s="1">
        <v>6902</v>
      </c>
      <c r="AG344" s="1">
        <v>3148</v>
      </c>
      <c r="AH344" s="1">
        <v>9394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/>
      <c r="BA344" s="21">
        <f>SUM(C344:N344)</f>
        <v>251594</v>
      </c>
      <c r="BB344" s="22">
        <f t="shared" ref="BB344:BB346" si="276">+BA344/12</f>
        <v>20966.166666666668</v>
      </c>
      <c r="BD344" s="7">
        <f>SUM(O344:Z344)</f>
        <v>122575</v>
      </c>
      <c r="BE344" s="7">
        <f t="shared" ref="BE344:BE346" si="277">+BD344-BA344</f>
        <v>-129019</v>
      </c>
      <c r="BF344" s="8">
        <f t="shared" ref="BF344:BF346" si="278">(BD344/BA344)-1</f>
        <v>-0.51280634673322889</v>
      </c>
      <c r="BG344" s="7">
        <f t="shared" ref="BG344:BG346" si="279">BD344/12</f>
        <v>10214.583333333334</v>
      </c>
      <c r="BI344" s="12">
        <f>+SUM(AA344:AL344)</f>
        <v>38814</v>
      </c>
      <c r="BJ344" s="12">
        <f t="shared" ref="BJ344:BJ346" si="280">+BI344-BD344</f>
        <v>-83761</v>
      </c>
      <c r="BK344" s="13">
        <f t="shared" ref="BK344:BK346" si="281">(BI344/BD344)-1</f>
        <v>-0.68334489088313277</v>
      </c>
      <c r="BL344" s="24">
        <f>SUM(AA344:AH344)/8</f>
        <v>4851.75</v>
      </c>
      <c r="BM344" s="24">
        <f>SUM(AI344:AL344)/4</f>
        <v>0</v>
      </c>
      <c r="BO344" s="17">
        <f>+SUM(AM344:AX344)</f>
        <v>0</v>
      </c>
      <c r="BP344" s="17">
        <f t="shared" ref="BP344:BP346" si="282">+BO344-BI344</f>
        <v>-38814</v>
      </c>
      <c r="BQ344" s="18">
        <f t="shared" ref="BQ344:BQ346" si="283">(BO344/BI344)-1</f>
        <v>-1</v>
      </c>
      <c r="BR344" s="25">
        <f t="shared" ref="BR344:BR346" si="284">BO344/12</f>
        <v>0</v>
      </c>
    </row>
    <row r="345" spans="1:70">
      <c r="A345" t="s">
        <v>607</v>
      </c>
      <c r="B345">
        <v>220717</v>
      </c>
      <c r="C345" s="1">
        <v>0</v>
      </c>
      <c r="D345" s="1">
        <v>0</v>
      </c>
      <c r="E345" s="1">
        <v>0</v>
      </c>
      <c r="F345" s="1">
        <v>0</v>
      </c>
      <c r="G345" s="1">
        <v>338250</v>
      </c>
      <c r="H345" s="1">
        <v>284320</v>
      </c>
      <c r="I345" s="1">
        <v>319162</v>
      </c>
      <c r="J345" s="1">
        <v>319162</v>
      </c>
      <c r="K345" s="1">
        <v>308867</v>
      </c>
      <c r="L345" s="1">
        <v>319162</v>
      </c>
      <c r="M345" s="1">
        <v>323617</v>
      </c>
      <c r="N345" s="1">
        <v>347300</v>
      </c>
      <c r="O345" s="1">
        <v>392669</v>
      </c>
      <c r="P345" s="1">
        <v>302410</v>
      </c>
      <c r="Q345" s="1">
        <v>472231</v>
      </c>
      <c r="R345" s="1">
        <v>387321</v>
      </c>
      <c r="S345" s="1">
        <v>400231</v>
      </c>
      <c r="T345" s="1">
        <v>387321</v>
      </c>
      <c r="U345" s="1">
        <v>400231</v>
      </c>
      <c r="V345" s="1">
        <v>400231</v>
      </c>
      <c r="W345" s="1">
        <v>387321</v>
      </c>
      <c r="X345" s="1">
        <v>400231</v>
      </c>
      <c r="Y345" s="1">
        <v>387321</v>
      </c>
      <c r="Z345" s="1">
        <v>400231</v>
      </c>
      <c r="AA345" s="1">
        <v>167837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/>
      <c r="BA345" s="21">
        <f>SUM(C345:N345)</f>
        <v>2559840</v>
      </c>
      <c r="BB345" s="22">
        <f t="shared" si="276"/>
        <v>213320</v>
      </c>
      <c r="BD345" s="7">
        <f>SUM(O345:Z345)</f>
        <v>4717749</v>
      </c>
      <c r="BE345" s="7">
        <f t="shared" si="277"/>
        <v>2157909</v>
      </c>
      <c r="BF345" s="8">
        <f t="shared" si="278"/>
        <v>0.84298588974310884</v>
      </c>
      <c r="BG345" s="7">
        <f t="shared" si="279"/>
        <v>393145.75</v>
      </c>
      <c r="BI345" s="12">
        <f>+SUM(AA345:AL345)</f>
        <v>167837</v>
      </c>
      <c r="BJ345" s="12">
        <f t="shared" si="280"/>
        <v>-4549912</v>
      </c>
      <c r="BK345" s="13">
        <f t="shared" si="281"/>
        <v>-0.96442434728935345</v>
      </c>
      <c r="BL345" s="24">
        <f>SUM(AA345:AH345)/8</f>
        <v>20979.625</v>
      </c>
      <c r="BM345" s="24">
        <f>SUM(AI345:AL345)/4</f>
        <v>0</v>
      </c>
      <c r="BO345" s="17">
        <f>+SUM(AM345:AX345)</f>
        <v>0</v>
      </c>
      <c r="BP345" s="17">
        <f t="shared" si="282"/>
        <v>-167837</v>
      </c>
      <c r="BQ345" s="18">
        <f t="shared" si="283"/>
        <v>-1</v>
      </c>
      <c r="BR345" s="25">
        <f t="shared" si="284"/>
        <v>0</v>
      </c>
    </row>
    <row r="346" spans="1:70">
      <c r="A346" t="s">
        <v>518</v>
      </c>
      <c r="B346">
        <v>220725</v>
      </c>
      <c r="C346" s="1">
        <v>498393</v>
      </c>
      <c r="D346" s="1">
        <v>422646</v>
      </c>
      <c r="E346" s="1">
        <v>520606</v>
      </c>
      <c r="F346" s="1">
        <v>606572</v>
      </c>
      <c r="G346" s="1">
        <v>521401</v>
      </c>
      <c r="H346" s="1">
        <v>675333</v>
      </c>
      <c r="I346" s="1">
        <v>689672</v>
      </c>
      <c r="J346" s="1">
        <v>638885</v>
      </c>
      <c r="K346" s="1">
        <v>675475</v>
      </c>
      <c r="L346" s="1">
        <v>626060</v>
      </c>
      <c r="M346" s="1">
        <v>538536</v>
      </c>
      <c r="N346" s="1">
        <v>474134</v>
      </c>
      <c r="O346" s="1">
        <v>345252</v>
      </c>
      <c r="P346" s="1">
        <v>207510</v>
      </c>
      <c r="Q346" s="1">
        <v>138557</v>
      </c>
      <c r="R346" s="1">
        <v>90342</v>
      </c>
      <c r="S346" s="1">
        <v>68750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233480</v>
      </c>
      <c r="AB346" s="1">
        <v>362733</v>
      </c>
      <c r="AC346" s="1">
        <v>400930</v>
      </c>
      <c r="AD346" s="1">
        <v>387937</v>
      </c>
      <c r="AE346" s="1">
        <v>720963</v>
      </c>
      <c r="AF346" s="1">
        <v>1294547</v>
      </c>
      <c r="AG346" s="1">
        <v>1336753</v>
      </c>
      <c r="AH346" s="1">
        <v>1016149</v>
      </c>
      <c r="AI346" s="1">
        <v>261534</v>
      </c>
      <c r="AJ346" s="1">
        <v>259568</v>
      </c>
      <c r="AK346" s="1">
        <v>251195</v>
      </c>
      <c r="AL346" s="1">
        <v>298105</v>
      </c>
      <c r="AM346" s="1">
        <v>336643</v>
      </c>
      <c r="AN346" s="1">
        <v>304065</v>
      </c>
      <c r="AO346" s="1">
        <v>336643</v>
      </c>
      <c r="AP346" s="1">
        <v>325784</v>
      </c>
      <c r="AQ346" s="1">
        <v>336643</v>
      </c>
      <c r="AR346" s="1">
        <v>325784</v>
      </c>
      <c r="AS346" s="1">
        <v>305218</v>
      </c>
      <c r="AT346" s="1">
        <v>273794</v>
      </c>
      <c r="AU346" s="1">
        <v>264962</v>
      </c>
      <c r="AV346" s="1">
        <v>267105</v>
      </c>
      <c r="AW346" s="1">
        <v>252016</v>
      </c>
      <c r="AX346" s="1">
        <v>260417</v>
      </c>
      <c r="AY346" s="1"/>
      <c r="BA346" s="21">
        <f>SUM(C346:N346)</f>
        <v>6887713</v>
      </c>
      <c r="BB346" s="22">
        <f t="shared" si="276"/>
        <v>573976.08333333337</v>
      </c>
      <c r="BD346" s="7">
        <f>SUM(O346:Z346)</f>
        <v>850411</v>
      </c>
      <c r="BE346" s="7">
        <f t="shared" si="277"/>
        <v>-6037302</v>
      </c>
      <c r="BF346" s="8">
        <f t="shared" si="278"/>
        <v>-0.87653216677291867</v>
      </c>
      <c r="BG346" s="7">
        <f t="shared" si="279"/>
        <v>70867.583333333328</v>
      </c>
      <c r="BI346" s="12">
        <f>+SUM(AA346:AL346)</f>
        <v>6823894</v>
      </c>
      <c r="BJ346" s="12">
        <f t="shared" si="280"/>
        <v>5973483</v>
      </c>
      <c r="BK346" s="13">
        <f t="shared" si="281"/>
        <v>7.0242306367156591</v>
      </c>
      <c r="BL346" s="24">
        <f>SUM(AA346:AH346)/8</f>
        <v>719186.5</v>
      </c>
      <c r="BM346" s="24">
        <f>SUM(AI346:AL346)/4</f>
        <v>267600.5</v>
      </c>
      <c r="BO346" s="17">
        <f>+SUM(AM346:AX346)</f>
        <v>3589074</v>
      </c>
      <c r="BP346" s="17">
        <f t="shared" si="282"/>
        <v>-3234820</v>
      </c>
      <c r="BQ346" s="18">
        <f t="shared" si="283"/>
        <v>-0.47404311966158907</v>
      </c>
      <c r="BR346" s="25">
        <f t="shared" si="284"/>
        <v>299089.5</v>
      </c>
    </row>
    <row r="347" spans="1:70">
      <c r="A347" t="s">
        <v>608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410959</v>
      </c>
      <c r="AJ347" s="1">
        <v>636986</v>
      </c>
      <c r="AK347" s="1">
        <v>205479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/>
      <c r="BA347" s="21">
        <f>SUM(C347:N347)</f>
        <v>0</v>
      </c>
      <c r="BB347" s="22">
        <f t="shared" ref="BB347" si="285">+BA347/12</f>
        <v>0</v>
      </c>
      <c r="BD347" s="7">
        <f>SUM(O347:Z347)</f>
        <v>0</v>
      </c>
      <c r="BE347" s="7">
        <f t="shared" ref="BE347" si="286">+BD347-BA347</f>
        <v>0</v>
      </c>
      <c r="BF347" s="8" t="e">
        <f t="shared" ref="BF347" si="287">(BD347/BA347)-1</f>
        <v>#DIV/0!</v>
      </c>
      <c r="BG347" s="7">
        <f t="shared" ref="BG347" si="288">BD347/12</f>
        <v>0</v>
      </c>
      <c r="BI347" s="12">
        <f>+SUM(AA347:AL347)</f>
        <v>1253424</v>
      </c>
      <c r="BJ347" s="12">
        <f t="shared" ref="BJ347" si="289">+BI347-BD347</f>
        <v>1253424</v>
      </c>
      <c r="BK347" s="13" t="e">
        <f t="shared" ref="BK347" si="290">(BI347/BD347)-1</f>
        <v>#DIV/0!</v>
      </c>
      <c r="BL347" s="24">
        <f>SUM(AA347:AH347)/8</f>
        <v>0</v>
      </c>
      <c r="BM347" s="24">
        <f>SUM(AI347:AL347)/4</f>
        <v>313356</v>
      </c>
      <c r="BO347" s="17">
        <f>+SUM(AM347:AX347)</f>
        <v>0</v>
      </c>
      <c r="BP347" s="17">
        <f t="shared" ref="BP347" si="291">+BO347-BI347</f>
        <v>-1253424</v>
      </c>
      <c r="BQ347" s="18">
        <f t="shared" ref="BQ347" si="292">(BO347/BI347)-1</f>
        <v>-1</v>
      </c>
      <c r="BR347" s="25">
        <f t="shared" ref="BR347" si="293">BO347/12</f>
        <v>0</v>
      </c>
    </row>
    <row r="348" spans="1:70">
      <c r="A348" t="s">
        <v>11</v>
      </c>
      <c r="B348" t="s">
        <v>12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BA348" s="21"/>
      <c r="BB348" s="22"/>
      <c r="BD348" s="7"/>
      <c r="BE348" s="7"/>
      <c r="BF348" s="8"/>
      <c r="BG348" s="7"/>
      <c r="BI348" s="12"/>
      <c r="BJ348" s="12"/>
      <c r="BK348" s="13"/>
      <c r="BL348" s="24"/>
      <c r="BM348" s="24"/>
      <c r="BO348" s="17"/>
      <c r="BP348" s="17"/>
      <c r="BQ348" s="18"/>
      <c r="BR348" s="25"/>
    </row>
    <row r="349" spans="1:70">
      <c r="A349" t="s">
        <v>609</v>
      </c>
      <c r="C349" s="1">
        <v>514566</v>
      </c>
      <c r="D349" s="1">
        <v>434646</v>
      </c>
      <c r="E349" s="1">
        <v>527620</v>
      </c>
      <c r="F349" s="1">
        <v>631100</v>
      </c>
      <c r="G349" s="1">
        <v>872401</v>
      </c>
      <c r="H349" s="1">
        <v>998886</v>
      </c>
      <c r="I349" s="1">
        <v>1022417</v>
      </c>
      <c r="J349" s="1">
        <v>1034355</v>
      </c>
      <c r="K349" s="1">
        <v>1000273</v>
      </c>
      <c r="L349" s="1">
        <v>958362</v>
      </c>
      <c r="M349" s="1">
        <v>871336</v>
      </c>
      <c r="N349" s="1">
        <v>833184</v>
      </c>
      <c r="O349" s="1">
        <v>751089</v>
      </c>
      <c r="P349" s="1">
        <v>516075</v>
      </c>
      <c r="Q349" s="1">
        <v>626191</v>
      </c>
      <c r="R349" s="1">
        <v>497615</v>
      </c>
      <c r="S349" s="1">
        <v>473141</v>
      </c>
      <c r="T349" s="1">
        <v>404873</v>
      </c>
      <c r="U349" s="1">
        <v>403638</v>
      </c>
      <c r="V349" s="1">
        <v>411335</v>
      </c>
      <c r="W349" s="1">
        <v>402291</v>
      </c>
      <c r="X349" s="1">
        <v>405006</v>
      </c>
      <c r="Y349" s="1">
        <v>393996</v>
      </c>
      <c r="Z349" s="1">
        <v>405484</v>
      </c>
      <c r="AA349" s="1">
        <v>405732</v>
      </c>
      <c r="AB349" s="1">
        <v>368486</v>
      </c>
      <c r="AC349" s="1">
        <v>402439</v>
      </c>
      <c r="AD349" s="1">
        <v>391875</v>
      </c>
      <c r="AE349" s="1">
        <v>724717</v>
      </c>
      <c r="AF349" s="1">
        <v>1301449</v>
      </c>
      <c r="AG349" s="1">
        <v>1339901</v>
      </c>
      <c r="AH349" s="1">
        <v>1025543</v>
      </c>
      <c r="AI349" s="1">
        <v>672493</v>
      </c>
      <c r="AJ349" s="1">
        <v>896554</v>
      </c>
      <c r="AK349" s="1">
        <v>456674</v>
      </c>
      <c r="AL349" s="1">
        <v>298105</v>
      </c>
      <c r="AM349" s="1">
        <v>336643</v>
      </c>
      <c r="AN349" s="1">
        <v>304065</v>
      </c>
      <c r="AO349" s="1">
        <v>336643</v>
      </c>
      <c r="AP349" s="1">
        <v>325784</v>
      </c>
      <c r="AQ349" s="1">
        <v>336643</v>
      </c>
      <c r="AR349" s="1">
        <v>325784</v>
      </c>
      <c r="AS349" s="1">
        <v>305218</v>
      </c>
      <c r="AT349" s="1">
        <v>273794</v>
      </c>
      <c r="AU349" s="1">
        <v>264962</v>
      </c>
      <c r="AV349" s="1">
        <v>267105</v>
      </c>
      <c r="AW349" s="1">
        <v>252016</v>
      </c>
      <c r="AX349" s="1">
        <v>260417</v>
      </c>
      <c r="AY349" s="1"/>
      <c r="BA349" s="21">
        <f>SUM(C349:N349)</f>
        <v>9699146</v>
      </c>
      <c r="BB349" s="22">
        <f t="shared" ref="BB349" si="294">+BA349/12</f>
        <v>808262.16666666663</v>
      </c>
      <c r="BD349" s="7">
        <f>SUM(O349:Z349)</f>
        <v>5690734</v>
      </c>
      <c r="BE349" s="7">
        <f t="shared" ref="BE349" si="295">+BD349-BA349</f>
        <v>-4008412</v>
      </c>
      <c r="BF349" s="8">
        <f t="shared" ref="BF349" si="296">(BD349/BA349)-1</f>
        <v>-0.41327473573446571</v>
      </c>
      <c r="BG349" s="7">
        <f t="shared" ref="BG349" si="297">BD349/12</f>
        <v>474227.83333333331</v>
      </c>
      <c r="BI349" s="12">
        <f>+SUM(AA349:AL349)</f>
        <v>8283968</v>
      </c>
      <c r="BJ349" s="12">
        <f t="shared" ref="BJ349" si="298">+BI349-BD349</f>
        <v>2593234</v>
      </c>
      <c r="BK349" s="13">
        <f t="shared" ref="BK349" si="299">(BI349/BD349)-1</f>
        <v>0.45569411608414656</v>
      </c>
      <c r="BL349" s="24">
        <f>SUM(AA349:AH349)/8</f>
        <v>745017.75</v>
      </c>
      <c r="BM349" s="24">
        <f>SUM(AI349:AL349)/4</f>
        <v>580956.5</v>
      </c>
      <c r="BO349" s="17">
        <f>+SUM(AM349:AX349)</f>
        <v>3589074</v>
      </c>
      <c r="BP349" s="17">
        <f t="shared" ref="BP349" si="300">+BO349-BI349</f>
        <v>-4694894</v>
      </c>
      <c r="BQ349" s="18">
        <f t="shared" ref="BQ349" si="301">(BO349/BI349)-1</f>
        <v>-0.56674458423789176</v>
      </c>
      <c r="BR349" s="25">
        <f t="shared" ref="BR349" si="302">BO349/12</f>
        <v>299089.5</v>
      </c>
    </row>
    <row r="350" spans="1:70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BA350" s="21"/>
      <c r="BB350" s="22"/>
      <c r="BD350" s="7"/>
      <c r="BE350" s="7"/>
      <c r="BF350" s="8"/>
      <c r="BG350" s="7"/>
      <c r="BI350" s="12"/>
      <c r="BJ350" s="12"/>
      <c r="BK350" s="13"/>
      <c r="BL350" s="24"/>
      <c r="BM350" s="24"/>
      <c r="BO350" s="17"/>
      <c r="BP350" s="17"/>
      <c r="BQ350" s="18"/>
      <c r="BR350" s="25"/>
    </row>
    <row r="351" spans="1:70">
      <c r="A351" t="s">
        <v>610</v>
      </c>
      <c r="C351" s="1">
        <v>2057462</v>
      </c>
      <c r="D351" s="1">
        <v>1908567</v>
      </c>
      <c r="E351" s="1">
        <v>2257433</v>
      </c>
      <c r="F351" s="1">
        <v>2383043</v>
      </c>
      <c r="G351" s="1">
        <v>2715205</v>
      </c>
      <c r="H351" s="1">
        <v>2809948</v>
      </c>
      <c r="I351" s="1">
        <v>3194013</v>
      </c>
      <c r="J351" s="1">
        <v>3647220</v>
      </c>
      <c r="K351" s="1">
        <v>3730485</v>
      </c>
      <c r="L351" s="1">
        <v>3890111</v>
      </c>
      <c r="M351" s="1">
        <v>3896719</v>
      </c>
      <c r="N351" s="1">
        <v>4159196</v>
      </c>
      <c r="O351" s="1">
        <v>4149472</v>
      </c>
      <c r="P351" s="1">
        <v>3785323</v>
      </c>
      <c r="Q351" s="1">
        <v>4225698</v>
      </c>
      <c r="R351" s="1">
        <v>4072494</v>
      </c>
      <c r="S351" s="1">
        <v>4292249</v>
      </c>
      <c r="T351" s="1">
        <v>4180646</v>
      </c>
      <c r="U351" s="1">
        <v>4311095</v>
      </c>
      <c r="V351" s="1">
        <v>4166762</v>
      </c>
      <c r="W351" s="1">
        <v>3925804</v>
      </c>
      <c r="X351" s="1">
        <v>4001660</v>
      </c>
      <c r="Y351" s="1">
        <v>3872823</v>
      </c>
      <c r="Z351" s="1">
        <v>4003323</v>
      </c>
      <c r="AA351" s="1">
        <v>3858890</v>
      </c>
      <c r="AB351" s="1">
        <v>3372242</v>
      </c>
      <c r="AC351" s="1">
        <v>3610796</v>
      </c>
      <c r="AD351" s="1">
        <v>3455031</v>
      </c>
      <c r="AE351" s="1">
        <v>3877186</v>
      </c>
      <c r="AF351" s="1">
        <v>4391503</v>
      </c>
      <c r="AG351" s="1">
        <v>4661788</v>
      </c>
      <c r="AH351" s="1">
        <v>4456845</v>
      </c>
      <c r="AI351" s="1">
        <v>4385452</v>
      </c>
      <c r="AJ351" s="1">
        <v>4717185</v>
      </c>
      <c r="AK351" s="1">
        <v>4181718</v>
      </c>
      <c r="AL351" s="1">
        <v>4239877</v>
      </c>
      <c r="AM351" s="1">
        <v>4274179</v>
      </c>
      <c r="AN351" s="1">
        <v>3799162</v>
      </c>
      <c r="AO351" s="1">
        <v>4204468</v>
      </c>
      <c r="AP351" s="1">
        <v>4073749</v>
      </c>
      <c r="AQ351" s="1">
        <v>4213532</v>
      </c>
      <c r="AR351" s="1">
        <v>3970158</v>
      </c>
      <c r="AS351" s="1">
        <v>4075220</v>
      </c>
      <c r="AT351" s="1">
        <v>4071752</v>
      </c>
      <c r="AU351" s="1">
        <v>3864237</v>
      </c>
      <c r="AV351" s="1">
        <v>4010417</v>
      </c>
      <c r="AW351" s="1">
        <v>3908011</v>
      </c>
      <c r="AX351" s="1">
        <v>4069102</v>
      </c>
      <c r="AY351" s="1"/>
      <c r="BA351" s="21">
        <f>SUM(C351:N351)</f>
        <v>36649402</v>
      </c>
      <c r="BB351" s="22">
        <f t="shared" ref="BB351" si="303">+BA351/12</f>
        <v>3054116.8333333335</v>
      </c>
      <c r="BD351" s="7">
        <f>SUM(O351:Z351)</f>
        <v>48987349</v>
      </c>
      <c r="BE351" s="7">
        <f t="shared" ref="BE351" si="304">+BD351-BA351</f>
        <v>12337947</v>
      </c>
      <c r="BF351" s="8">
        <f t="shared" ref="BF351" si="305">(BD351/BA351)-1</f>
        <v>0.33664797586601813</v>
      </c>
      <c r="BG351" s="7">
        <f t="shared" ref="BG351" si="306">BD351/12</f>
        <v>4082279.0833333335</v>
      </c>
      <c r="BI351" s="12">
        <f>+SUM(AA351:AL351)</f>
        <v>49208513</v>
      </c>
      <c r="BJ351" s="12">
        <f t="shared" ref="BJ351" si="307">+BI351-BD351</f>
        <v>221164</v>
      </c>
      <c r="BK351" s="13">
        <f t="shared" ref="BK351" si="308">(BI351/BD351)-1</f>
        <v>4.5147166465366873E-3</v>
      </c>
      <c r="BL351" s="24">
        <f>SUM(AA351:AH351)/8</f>
        <v>3960535.125</v>
      </c>
      <c r="BM351" s="24">
        <f>SUM(AI351:AL351)/4</f>
        <v>4381058</v>
      </c>
      <c r="BO351" s="17">
        <f>+SUM(AM351:AX351)</f>
        <v>48533987</v>
      </c>
      <c r="BP351" s="17">
        <f t="shared" ref="BP351" si="309">+BO351-BI351</f>
        <v>-674526</v>
      </c>
      <c r="BQ351" s="18">
        <f t="shared" ref="BQ351" si="310">(BO351/BI351)-1</f>
        <v>-1.3707506260146496E-2</v>
      </c>
      <c r="BR351" s="25">
        <f t="shared" ref="BR351" si="311">BO351/12</f>
        <v>4044498.9166666665</v>
      </c>
    </row>
    <row r="352" spans="1:70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BA352" s="21"/>
      <c r="BB352" s="22"/>
      <c r="BD352" s="7"/>
      <c r="BE352" s="7"/>
      <c r="BF352" s="8"/>
      <c r="BG352" s="7"/>
      <c r="BI352" s="12"/>
      <c r="BJ352" s="12"/>
      <c r="BK352" s="13"/>
      <c r="BL352" s="24"/>
      <c r="BM352" s="24"/>
      <c r="BO352" s="17"/>
      <c r="BP352" s="17"/>
      <c r="BQ352" s="18"/>
      <c r="BR352" s="25"/>
    </row>
    <row r="353" spans="1:70">
      <c r="A353" t="s">
        <v>611</v>
      </c>
      <c r="C353" s="1">
        <v>2057462</v>
      </c>
      <c r="D353" s="1">
        <v>1908567</v>
      </c>
      <c r="E353" s="1">
        <v>2257433</v>
      </c>
      <c r="F353" s="1">
        <v>2383043</v>
      </c>
      <c r="G353" s="1">
        <v>2715205</v>
      </c>
      <c r="H353" s="1">
        <v>2809948</v>
      </c>
      <c r="I353" s="1">
        <v>3194013</v>
      </c>
      <c r="J353" s="1">
        <v>3647220</v>
      </c>
      <c r="K353" s="1">
        <v>3730485</v>
      </c>
      <c r="L353" s="1">
        <v>3890111</v>
      </c>
      <c r="M353" s="1">
        <v>3896719</v>
      </c>
      <c r="N353" s="1">
        <v>4159196</v>
      </c>
      <c r="O353" s="1">
        <v>4149472</v>
      </c>
      <c r="P353" s="1">
        <v>3785323</v>
      </c>
      <c r="Q353" s="1">
        <v>4225698</v>
      </c>
      <c r="R353" s="1">
        <v>4072494</v>
      </c>
      <c r="S353" s="1">
        <v>4292249</v>
      </c>
      <c r="T353" s="1">
        <v>4180646</v>
      </c>
      <c r="U353" s="1">
        <v>4311095</v>
      </c>
      <c r="V353" s="1">
        <v>4166762</v>
      </c>
      <c r="W353" s="1">
        <v>3925804</v>
      </c>
      <c r="X353" s="1">
        <v>4001660</v>
      </c>
      <c r="Y353" s="1">
        <v>3872823</v>
      </c>
      <c r="Z353" s="1">
        <v>4003323</v>
      </c>
      <c r="AA353" s="1">
        <v>3858890</v>
      </c>
      <c r="AB353" s="1">
        <v>3372242</v>
      </c>
      <c r="AC353" s="1">
        <v>3610796</v>
      </c>
      <c r="AD353" s="1">
        <v>3455031</v>
      </c>
      <c r="AE353" s="1">
        <v>3877186</v>
      </c>
      <c r="AF353" s="1">
        <v>4391503</v>
      </c>
      <c r="AG353" s="1">
        <v>4661788</v>
      </c>
      <c r="AH353" s="1">
        <v>4456845</v>
      </c>
      <c r="AI353" s="1">
        <v>4385452</v>
      </c>
      <c r="AJ353" s="1">
        <v>4717185</v>
      </c>
      <c r="AK353" s="1">
        <v>4181718</v>
      </c>
      <c r="AL353" s="1">
        <v>4239877</v>
      </c>
      <c r="AM353" s="50">
        <v>4274179</v>
      </c>
      <c r="AN353" s="1">
        <v>3799162</v>
      </c>
      <c r="AO353" s="1">
        <v>4204468</v>
      </c>
      <c r="AP353" s="1">
        <v>4073749</v>
      </c>
      <c r="AQ353" s="1">
        <v>4213532</v>
      </c>
      <c r="AR353" s="1">
        <v>3970158</v>
      </c>
      <c r="AS353" s="1">
        <v>4075220</v>
      </c>
      <c r="AT353" s="1">
        <v>4071752</v>
      </c>
      <c r="AU353" s="1">
        <v>3864237</v>
      </c>
      <c r="AV353" s="1">
        <v>4010417</v>
      </c>
      <c r="AW353" s="1">
        <v>3908011</v>
      </c>
      <c r="AX353" s="1">
        <v>4069102</v>
      </c>
      <c r="AY353" s="1"/>
      <c r="BA353" s="21">
        <f>SUM(C353:N353)</f>
        <v>36649402</v>
      </c>
      <c r="BB353" s="22">
        <f t="shared" ref="BB353" si="312">+BA353/12</f>
        <v>3054116.8333333335</v>
      </c>
      <c r="BD353" s="7">
        <f>SUM(O353:Z353)</f>
        <v>48987349</v>
      </c>
      <c r="BE353" s="7">
        <f t="shared" ref="BE353" si="313">+BD353-BA353</f>
        <v>12337947</v>
      </c>
      <c r="BF353" s="8">
        <f t="shared" ref="BF353" si="314">(BD353/BA353)-1</f>
        <v>0.33664797586601813</v>
      </c>
      <c r="BG353" s="7">
        <f t="shared" ref="BG353" si="315">BD353/12</f>
        <v>4082279.0833333335</v>
      </c>
      <c r="BI353" s="12">
        <f>+SUM(AA353:AL353)</f>
        <v>49208513</v>
      </c>
      <c r="BJ353" s="12">
        <f t="shared" ref="BJ353" si="316">+BI353-BD353</f>
        <v>221164</v>
      </c>
      <c r="BK353" s="13">
        <f t="shared" ref="BK353" si="317">(BI353/BD353)-1</f>
        <v>4.5147166465366873E-3</v>
      </c>
      <c r="BL353" s="24">
        <f>SUM(AA353:AH353)/8</f>
        <v>3960535.125</v>
      </c>
      <c r="BM353" s="24">
        <f>SUM(AI353:AL353)/4</f>
        <v>4381058</v>
      </c>
      <c r="BO353" s="17">
        <f>+SUM(AM353:AX353)</f>
        <v>48533987</v>
      </c>
      <c r="BP353" s="17">
        <f t="shared" ref="BP353" si="318">+BO353-BI353</f>
        <v>-674526</v>
      </c>
      <c r="BQ353" s="18">
        <f t="shared" ref="BQ353" si="319">(BO353/BI353)-1</f>
        <v>-1.3707506260146496E-2</v>
      </c>
      <c r="BR353" s="25">
        <f t="shared" ref="BR353" si="320">BO353/12</f>
        <v>4044498.9166666665</v>
      </c>
    </row>
    <row r="354" spans="1:70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BA354" s="21"/>
      <c r="BB354" s="22"/>
      <c r="BD354" s="7"/>
      <c r="BE354" s="7"/>
      <c r="BF354" s="8"/>
      <c r="BG354" s="7"/>
      <c r="BI354" s="12"/>
      <c r="BJ354" s="12"/>
      <c r="BK354" s="13"/>
      <c r="BL354" s="24"/>
      <c r="BM354" s="24"/>
      <c r="BO354" s="17"/>
      <c r="BP354" s="17"/>
      <c r="BQ354" s="18"/>
      <c r="BR354" s="25"/>
    </row>
    <row r="355" spans="1:70">
      <c r="A355" t="s">
        <v>612</v>
      </c>
      <c r="C355" s="1">
        <v>6115633</v>
      </c>
      <c r="D355" s="1">
        <v>5767122</v>
      </c>
      <c r="E355" s="1">
        <v>6156722</v>
      </c>
      <c r="F355" s="1">
        <v>6180423</v>
      </c>
      <c r="G355" s="1">
        <v>6416573</v>
      </c>
      <c r="H355" s="1">
        <v>6321543</v>
      </c>
      <c r="I355" s="1">
        <v>6400356</v>
      </c>
      <c r="J355" s="1">
        <v>6386135</v>
      </c>
      <c r="K355" s="1">
        <v>6094624</v>
      </c>
      <c r="L355" s="1">
        <v>6272386</v>
      </c>
      <c r="M355" s="1">
        <v>6334796</v>
      </c>
      <c r="N355" s="1">
        <v>6527350</v>
      </c>
      <c r="O355" s="1">
        <v>6481578</v>
      </c>
      <c r="P355" s="1">
        <v>6357593</v>
      </c>
      <c r="Q355" s="1">
        <v>6507066</v>
      </c>
      <c r="R355" s="1">
        <v>6276708</v>
      </c>
      <c r="S355" s="1">
        <v>6628551</v>
      </c>
      <c r="T355" s="1">
        <v>6344161</v>
      </c>
      <c r="U355" s="1">
        <v>6551440</v>
      </c>
      <c r="V355" s="1">
        <v>6960649</v>
      </c>
      <c r="W355" s="1">
        <v>6856917</v>
      </c>
      <c r="X355" s="1">
        <v>6957308</v>
      </c>
      <c r="Y355" s="1">
        <v>6887490</v>
      </c>
      <c r="Z355" s="1">
        <v>7204979</v>
      </c>
      <c r="AA355" s="1">
        <v>7162629</v>
      </c>
      <c r="AB355" s="1">
        <v>6803441</v>
      </c>
      <c r="AC355" s="1">
        <v>7714923</v>
      </c>
      <c r="AD355" s="1">
        <v>7520050</v>
      </c>
      <c r="AE355" s="1">
        <v>7936096</v>
      </c>
      <c r="AF355" s="1">
        <v>7758396</v>
      </c>
      <c r="AG355" s="1">
        <v>7956086</v>
      </c>
      <c r="AH355" s="1">
        <v>7975779</v>
      </c>
      <c r="AI355" s="1">
        <v>7789634</v>
      </c>
      <c r="AJ355" s="1">
        <v>8386230</v>
      </c>
      <c r="AK355" s="1">
        <v>7855296</v>
      </c>
      <c r="AL355" s="1">
        <v>8112255</v>
      </c>
      <c r="AM355" s="1">
        <v>8125838</v>
      </c>
      <c r="AN355" s="1">
        <v>7685291</v>
      </c>
      <c r="AO355" s="1">
        <v>8278254</v>
      </c>
      <c r="AP355" s="1">
        <v>8157200</v>
      </c>
      <c r="AQ355" s="1">
        <v>8441103</v>
      </c>
      <c r="AR355" s="1">
        <v>8417533</v>
      </c>
      <c r="AS355" s="1">
        <v>8749257</v>
      </c>
      <c r="AT355" s="1">
        <v>8873464</v>
      </c>
      <c r="AU355" s="1">
        <v>8813693</v>
      </c>
      <c r="AV355" s="1">
        <v>9089013</v>
      </c>
      <c r="AW355" s="1">
        <v>8923661</v>
      </c>
      <c r="AX355" s="1">
        <v>9155620</v>
      </c>
      <c r="AY355" s="1"/>
      <c r="BA355" s="21">
        <f>SUM(C355:N355)</f>
        <v>74973663</v>
      </c>
      <c r="BB355" s="22">
        <f t="shared" ref="BB355" si="321">+BA355/12</f>
        <v>6247805.25</v>
      </c>
      <c r="BD355" s="7">
        <f>SUM(O355:Z355)</f>
        <v>80014440</v>
      </c>
      <c r="BE355" s="7">
        <f t="shared" ref="BE355" si="322">+BD355-BA355</f>
        <v>5040777</v>
      </c>
      <c r="BF355" s="8">
        <f t="shared" ref="BF355" si="323">(BD355/BA355)-1</f>
        <v>6.7233969880863276E-2</v>
      </c>
      <c r="BG355" s="7">
        <f t="shared" ref="BG355" si="324">BD355/12</f>
        <v>6667870</v>
      </c>
      <c r="BI355" s="12">
        <f>+SUM(AA355:AL355)</f>
        <v>92970815</v>
      </c>
      <c r="BJ355" s="12">
        <f t="shared" ref="BJ355" si="325">+BI355-BD355</f>
        <v>12956375</v>
      </c>
      <c r="BK355" s="13">
        <f t="shared" ref="BK355" si="326">(BI355/BD355)-1</f>
        <v>0.16192545995447816</v>
      </c>
      <c r="BL355" s="24">
        <f>SUM(AA355:AH355)/8</f>
        <v>7603425</v>
      </c>
      <c r="BM355" s="24">
        <f>SUM(AI355:AL355)/4</f>
        <v>8035853.75</v>
      </c>
      <c r="BO355" s="17">
        <f>+SUM(AM355:AX355)</f>
        <v>102709927</v>
      </c>
      <c r="BP355" s="17">
        <f t="shared" ref="BP355" si="327">+BO355-BI355</f>
        <v>9739112</v>
      </c>
      <c r="BQ355" s="18">
        <f t="shared" ref="BQ355" si="328">(BO355/BI355)-1</f>
        <v>0.1047545081754957</v>
      </c>
      <c r="BR355" s="25">
        <f t="shared" ref="BR355" si="329">BO355/12</f>
        <v>8559160.583333334</v>
      </c>
    </row>
    <row r="356" spans="1:70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BA356" s="21"/>
      <c r="BB356" s="22"/>
      <c r="BD356" s="7"/>
      <c r="BE356" s="7"/>
      <c r="BF356" s="8"/>
      <c r="BG356" s="7"/>
      <c r="BI356" s="12"/>
      <c r="BJ356" s="12"/>
      <c r="BK356" s="13"/>
      <c r="BL356" s="24"/>
      <c r="BM356" s="24"/>
      <c r="BO356" s="17"/>
      <c r="BP356" s="17"/>
      <c r="BQ356" s="18"/>
      <c r="BR356" s="25"/>
    </row>
    <row r="357" spans="1:70">
      <c r="A357" t="s">
        <v>613</v>
      </c>
      <c r="B357">
        <v>220805</v>
      </c>
      <c r="C357" s="1">
        <v>1219298</v>
      </c>
      <c r="D357" s="1">
        <v>1395915</v>
      </c>
      <c r="E357" s="1">
        <v>1319474</v>
      </c>
      <c r="F357" s="1">
        <v>1685342</v>
      </c>
      <c r="G357" s="1">
        <v>2081871</v>
      </c>
      <c r="H357" s="1">
        <v>2197365</v>
      </c>
      <c r="I357" s="1">
        <v>1511158</v>
      </c>
      <c r="J357" s="1">
        <v>2234404</v>
      </c>
      <c r="K357" s="1">
        <v>2204232</v>
      </c>
      <c r="L357" s="1">
        <v>2208261</v>
      </c>
      <c r="M357" s="1">
        <v>1518174</v>
      </c>
      <c r="N357" s="1">
        <v>2333819</v>
      </c>
      <c r="O357" s="1">
        <v>2308615</v>
      </c>
      <c r="P357" s="1">
        <v>1913134</v>
      </c>
      <c r="Q357" s="1">
        <v>2893585</v>
      </c>
      <c r="R357" s="1">
        <v>1757731</v>
      </c>
      <c r="S357" s="1">
        <v>2036652</v>
      </c>
      <c r="T357" s="1">
        <v>1643831</v>
      </c>
      <c r="U357" s="1">
        <v>2145598</v>
      </c>
      <c r="V357" s="1">
        <v>1738079</v>
      </c>
      <c r="W357" s="1">
        <v>2063605</v>
      </c>
      <c r="X357" s="1">
        <v>2264016</v>
      </c>
      <c r="Y357" s="1">
        <v>1783854</v>
      </c>
      <c r="Z357" s="1">
        <v>2609528</v>
      </c>
      <c r="AA357" s="1">
        <v>2551124</v>
      </c>
      <c r="AB357" s="1">
        <v>2435698</v>
      </c>
      <c r="AC357" s="1">
        <v>2888927</v>
      </c>
      <c r="AD357" s="1">
        <v>3769476</v>
      </c>
      <c r="AE357" s="1">
        <v>2848514</v>
      </c>
      <c r="AF357" s="1">
        <v>2805462</v>
      </c>
      <c r="AG357" s="1">
        <v>2072769</v>
      </c>
      <c r="AH357" s="1">
        <v>2393581</v>
      </c>
      <c r="AI357" s="1">
        <v>3744831</v>
      </c>
      <c r="AJ357" s="1">
        <v>2906524</v>
      </c>
      <c r="AK357" s="1">
        <v>2536389</v>
      </c>
      <c r="AL357" s="1">
        <v>2543179</v>
      </c>
      <c r="AM357" s="1">
        <v>2581357</v>
      </c>
      <c r="AN357" s="1">
        <v>2452289</v>
      </c>
      <c r="AO357" s="1">
        <v>2498822</v>
      </c>
      <c r="AP357" s="1">
        <v>2666253</v>
      </c>
      <c r="AQ357" s="1">
        <v>2502618</v>
      </c>
      <c r="AR357" s="1">
        <v>2606822</v>
      </c>
      <c r="AS357" s="1">
        <v>2545728</v>
      </c>
      <c r="AT357" s="1">
        <v>2593919</v>
      </c>
      <c r="AU357" s="1">
        <v>2570853</v>
      </c>
      <c r="AV357" s="1">
        <v>2410192</v>
      </c>
      <c r="AW357" s="1">
        <v>2433170</v>
      </c>
      <c r="AX357" s="1">
        <v>2312650</v>
      </c>
      <c r="AY357" s="1"/>
      <c r="BA357" s="21">
        <f>SUM(C357:N357)</f>
        <v>21909313</v>
      </c>
      <c r="BB357" s="22">
        <f t="shared" ref="BB357:BB359" si="330">+BA357/12</f>
        <v>1825776.0833333333</v>
      </c>
      <c r="BD357" s="7">
        <f>SUM(O357:Z357)</f>
        <v>25158228</v>
      </c>
      <c r="BE357" s="7">
        <f t="shared" ref="BE357:BE359" si="331">+BD357-BA357</f>
        <v>3248915</v>
      </c>
      <c r="BF357" s="8">
        <f t="shared" ref="BF357:BF359" si="332">(BD357/BA357)-1</f>
        <v>0.14828922294368607</v>
      </c>
      <c r="BG357" s="7">
        <f t="shared" ref="BG357:BG359" si="333">BD357/12</f>
        <v>2096519</v>
      </c>
      <c r="BI357" s="12">
        <f>+SUM(AA357:AL357)</f>
        <v>33496474</v>
      </c>
      <c r="BJ357" s="12">
        <f t="shared" ref="BJ357:BJ359" si="334">+BI357-BD357</f>
        <v>8338246</v>
      </c>
      <c r="BK357" s="13">
        <f t="shared" ref="BK357:BK359" si="335">(BI357/BD357)-1</f>
        <v>0.33143216604921455</v>
      </c>
      <c r="BL357" s="24">
        <f>SUM(AA357:AH357)/8</f>
        <v>2720693.875</v>
      </c>
      <c r="BM357" s="24">
        <f>SUM(AI357:AL357)/4</f>
        <v>2932730.75</v>
      </c>
      <c r="BO357" s="17">
        <f>+SUM(AM357:AX357)</f>
        <v>30174673</v>
      </c>
      <c r="BP357" s="17">
        <f t="shared" ref="BP357:BP359" si="336">+BO357-BI357</f>
        <v>-3321801</v>
      </c>
      <c r="BQ357" s="18">
        <f t="shared" ref="BQ357:BQ359" si="337">(BO357/BI357)-1</f>
        <v>-9.9168676679223022E-2</v>
      </c>
      <c r="BR357" s="25">
        <f t="shared" ref="BR357:BR359" si="338">BO357/12</f>
        <v>2514556.0833333335</v>
      </c>
    </row>
    <row r="358" spans="1:70">
      <c r="A358" t="s">
        <v>614</v>
      </c>
      <c r="B358">
        <v>220806</v>
      </c>
      <c r="C358" s="1">
        <v>-322222</v>
      </c>
      <c r="D358" s="1">
        <v>-322222</v>
      </c>
      <c r="E358" s="1">
        <v>-322222</v>
      </c>
      <c r="F358" s="1">
        <v>-322222</v>
      </c>
      <c r="G358" s="1">
        <v>-322222</v>
      </c>
      <c r="H358" s="1">
        <v>-322222</v>
      </c>
      <c r="I358" s="1">
        <v>-322222</v>
      </c>
      <c r="J358" s="1">
        <v>-322222</v>
      </c>
      <c r="K358" s="1">
        <v>-322222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/>
      <c r="BA358" s="21">
        <f>SUM(C358:N358)</f>
        <v>-2899998</v>
      </c>
      <c r="BB358" s="22">
        <f t="shared" si="330"/>
        <v>-241666.5</v>
      </c>
      <c r="BD358" s="7">
        <f>SUM(O358:Z358)</f>
        <v>0</v>
      </c>
      <c r="BE358" s="7">
        <f t="shared" si="331"/>
        <v>2899998</v>
      </c>
      <c r="BF358" s="8">
        <f t="shared" si="332"/>
        <v>-1</v>
      </c>
      <c r="BG358" s="7">
        <f t="shared" si="333"/>
        <v>0</v>
      </c>
      <c r="BI358" s="12">
        <f>+SUM(AA358:AL358)</f>
        <v>0</v>
      </c>
      <c r="BJ358" s="12">
        <f t="shared" si="334"/>
        <v>0</v>
      </c>
      <c r="BK358" s="13" t="e">
        <f t="shared" si="335"/>
        <v>#DIV/0!</v>
      </c>
      <c r="BL358" s="24">
        <f>SUM(AA358:AH358)/8</f>
        <v>0</v>
      </c>
      <c r="BM358" s="24">
        <f>SUM(AI358:AL358)/4</f>
        <v>0</v>
      </c>
      <c r="BO358" s="17">
        <f>+SUM(AM358:AX358)</f>
        <v>0</v>
      </c>
      <c r="BP358" s="17">
        <f t="shared" si="336"/>
        <v>0</v>
      </c>
      <c r="BQ358" s="18" t="e">
        <f t="shared" si="337"/>
        <v>#DIV/0!</v>
      </c>
      <c r="BR358" s="25">
        <f t="shared" si="338"/>
        <v>0</v>
      </c>
    </row>
    <row r="359" spans="1:70">
      <c r="A359" t="s">
        <v>615</v>
      </c>
      <c r="B359">
        <v>220810</v>
      </c>
      <c r="C359" s="1">
        <v>27921</v>
      </c>
      <c r="D359" s="1">
        <v>2576</v>
      </c>
      <c r="E359" s="1">
        <v>8720</v>
      </c>
      <c r="F359" s="1">
        <v>11392</v>
      </c>
      <c r="G359" s="1">
        <v>31228</v>
      </c>
      <c r="H359" s="1">
        <v>15668</v>
      </c>
      <c r="I359" s="1">
        <v>55687</v>
      </c>
      <c r="J359" s="1">
        <v>-2073</v>
      </c>
      <c r="K359" s="1">
        <v>18985</v>
      </c>
      <c r="L359" s="1">
        <v>-21304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/>
      <c r="BA359" s="21">
        <f>SUM(C359:N359)</f>
        <v>148800</v>
      </c>
      <c r="BB359" s="22">
        <f t="shared" si="330"/>
        <v>12400</v>
      </c>
      <c r="BD359" s="7">
        <f>SUM(O359:Z359)</f>
        <v>0</v>
      </c>
      <c r="BE359" s="7">
        <f t="shared" si="331"/>
        <v>-148800</v>
      </c>
      <c r="BF359" s="8">
        <f t="shared" si="332"/>
        <v>-1</v>
      </c>
      <c r="BG359" s="7">
        <f t="shared" si="333"/>
        <v>0</v>
      </c>
      <c r="BI359" s="12">
        <f>+SUM(AA359:AL359)</f>
        <v>0</v>
      </c>
      <c r="BJ359" s="12">
        <f t="shared" si="334"/>
        <v>0</v>
      </c>
      <c r="BK359" s="13" t="e">
        <f t="shared" si="335"/>
        <v>#DIV/0!</v>
      </c>
      <c r="BL359" s="24">
        <f>SUM(AA359:AH359)/8</f>
        <v>0</v>
      </c>
      <c r="BM359" s="24">
        <f>SUM(AI359:AL359)/4</f>
        <v>0</v>
      </c>
      <c r="BO359" s="17">
        <f>+SUM(AM359:AX359)</f>
        <v>0</v>
      </c>
      <c r="BP359" s="17">
        <f t="shared" si="336"/>
        <v>0</v>
      </c>
      <c r="BQ359" s="18" t="e">
        <f t="shared" si="337"/>
        <v>#DIV/0!</v>
      </c>
      <c r="BR359" s="25">
        <f t="shared" si="338"/>
        <v>0</v>
      </c>
    </row>
    <row r="360" spans="1:70">
      <c r="A360" t="s">
        <v>11</v>
      </c>
      <c r="B360" t="s">
        <v>12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BA360" s="21"/>
      <c r="BB360" s="22"/>
      <c r="BD360" s="7"/>
      <c r="BE360" s="7"/>
      <c r="BF360" s="8"/>
      <c r="BG360" s="7"/>
      <c r="BI360" s="12"/>
      <c r="BJ360" s="12"/>
      <c r="BK360" s="13"/>
      <c r="BL360" s="24"/>
      <c r="BM360" s="24"/>
      <c r="BO360" s="17"/>
      <c r="BP360" s="17"/>
      <c r="BQ360" s="18"/>
      <c r="BR360" s="25"/>
    </row>
    <row r="361" spans="1:70">
      <c r="A361" t="s">
        <v>616</v>
      </c>
      <c r="C361" s="1">
        <v>924997</v>
      </c>
      <c r="D361" s="1">
        <v>1076269</v>
      </c>
      <c r="E361" s="1">
        <v>1005972</v>
      </c>
      <c r="F361" s="1">
        <v>1374512</v>
      </c>
      <c r="G361" s="1">
        <v>1790877</v>
      </c>
      <c r="H361" s="1">
        <v>1890810</v>
      </c>
      <c r="I361" s="1">
        <v>1244623</v>
      </c>
      <c r="J361" s="1">
        <v>1910109</v>
      </c>
      <c r="K361" s="1">
        <v>1900994</v>
      </c>
      <c r="L361" s="1">
        <v>2186956</v>
      </c>
      <c r="M361" s="1">
        <v>1518174</v>
      </c>
      <c r="N361" s="1">
        <v>2333819</v>
      </c>
      <c r="O361" s="1">
        <v>2308615</v>
      </c>
      <c r="P361" s="1">
        <v>1913134</v>
      </c>
      <c r="Q361" s="1">
        <v>2893585</v>
      </c>
      <c r="R361" s="1">
        <v>1757731</v>
      </c>
      <c r="S361" s="1">
        <v>2036652</v>
      </c>
      <c r="T361" s="1">
        <v>1643831</v>
      </c>
      <c r="U361" s="1">
        <v>2145598</v>
      </c>
      <c r="V361" s="1">
        <v>1738079</v>
      </c>
      <c r="W361" s="1">
        <v>2063605</v>
      </c>
      <c r="X361" s="1">
        <v>2264016</v>
      </c>
      <c r="Y361" s="1">
        <v>1783854</v>
      </c>
      <c r="Z361" s="1">
        <v>2609528</v>
      </c>
      <c r="AA361" s="1">
        <v>2551124</v>
      </c>
      <c r="AB361" s="1">
        <v>2435698</v>
      </c>
      <c r="AC361" s="1">
        <v>2888927</v>
      </c>
      <c r="AD361" s="1">
        <v>3769476</v>
      </c>
      <c r="AE361" s="1">
        <v>2848514</v>
      </c>
      <c r="AF361" s="1">
        <v>2805462</v>
      </c>
      <c r="AG361" s="1">
        <v>2072769</v>
      </c>
      <c r="AH361" s="1">
        <v>2393581</v>
      </c>
      <c r="AI361" s="1">
        <v>3744831</v>
      </c>
      <c r="AJ361" s="1">
        <v>2906524</v>
      </c>
      <c r="AK361" s="1">
        <v>2536389</v>
      </c>
      <c r="AL361" s="1">
        <v>2543179</v>
      </c>
      <c r="AM361" s="50">
        <v>2581357</v>
      </c>
      <c r="AN361" s="1">
        <v>2452289</v>
      </c>
      <c r="AO361" s="1">
        <v>2498822</v>
      </c>
      <c r="AP361" s="1">
        <v>2666253</v>
      </c>
      <c r="AQ361" s="1">
        <v>2502618</v>
      </c>
      <c r="AR361" s="1">
        <v>2606822</v>
      </c>
      <c r="AS361" s="1">
        <v>2545728</v>
      </c>
      <c r="AT361" s="1">
        <v>2593919</v>
      </c>
      <c r="AU361" s="1">
        <v>2570853</v>
      </c>
      <c r="AV361" s="1">
        <v>2410192</v>
      </c>
      <c r="AW361" s="1">
        <v>2433170</v>
      </c>
      <c r="AX361" s="1">
        <v>2312650</v>
      </c>
      <c r="AY361" s="1"/>
      <c r="BA361" s="21">
        <f>SUM(C361:N361)</f>
        <v>19158112</v>
      </c>
      <c r="BB361" s="22">
        <f t="shared" ref="BB361" si="339">+BA361/12</f>
        <v>1596509.3333333333</v>
      </c>
      <c r="BD361" s="7">
        <f>SUM(O361:Z361)</f>
        <v>25158228</v>
      </c>
      <c r="BE361" s="7">
        <f t="shared" ref="BE361" si="340">+BD361-BA361</f>
        <v>6000116</v>
      </c>
      <c r="BF361" s="8">
        <f t="shared" ref="BF361" si="341">(BD361/BA361)-1</f>
        <v>0.31318931635852221</v>
      </c>
      <c r="BG361" s="7">
        <f t="shared" ref="BG361" si="342">BD361/12</f>
        <v>2096519</v>
      </c>
      <c r="BI361" s="12">
        <f>+SUM(AA361:AL361)</f>
        <v>33496474</v>
      </c>
      <c r="BJ361" s="12">
        <f t="shared" ref="BJ361" si="343">+BI361-BD361</f>
        <v>8338246</v>
      </c>
      <c r="BK361" s="13">
        <f t="shared" ref="BK361" si="344">(BI361/BD361)-1</f>
        <v>0.33143216604921455</v>
      </c>
      <c r="BL361" s="24">
        <f>SUM(AA361:AH361)/8</f>
        <v>2720693.875</v>
      </c>
      <c r="BM361" s="24">
        <f>SUM(AI361:AL361)/4</f>
        <v>2932730.75</v>
      </c>
      <c r="BO361" s="17">
        <f>+SUM(AM361:AX361)</f>
        <v>30174673</v>
      </c>
      <c r="BP361" s="17">
        <f t="shared" ref="BP361" si="345">+BO361-BI361</f>
        <v>-3321801</v>
      </c>
      <c r="BQ361" s="18">
        <f t="shared" ref="BQ361" si="346">(BO361/BI361)-1</f>
        <v>-9.9168676679223022E-2</v>
      </c>
      <c r="BR361" s="25">
        <f t="shared" ref="BR361" si="347">BO361/12</f>
        <v>2514556.0833333335</v>
      </c>
    </row>
    <row r="362" spans="1:70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BA362" s="21"/>
      <c r="BB362" s="22"/>
      <c r="BD362" s="7"/>
      <c r="BE362" s="7"/>
      <c r="BF362" s="8"/>
      <c r="BG362" s="7"/>
      <c r="BI362" s="12"/>
      <c r="BJ362" s="12"/>
      <c r="BK362" s="13"/>
      <c r="BL362" s="24"/>
      <c r="BM362" s="24"/>
      <c r="BO362" s="17"/>
      <c r="BP362" s="17"/>
      <c r="BQ362" s="18"/>
      <c r="BR362" s="25"/>
    </row>
    <row r="363" spans="1:70">
      <c r="A363" t="s">
        <v>617</v>
      </c>
      <c r="B363">
        <v>300005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28045</v>
      </c>
      <c r="AK363" s="1">
        <v>27346</v>
      </c>
      <c r="AL363" s="1">
        <v>26652</v>
      </c>
      <c r="AM363" s="1">
        <v>25963</v>
      </c>
      <c r="AN363" s="1">
        <v>25280</v>
      </c>
      <c r="AO363" s="1">
        <v>24601</v>
      </c>
      <c r="AP363" s="1">
        <v>28095</v>
      </c>
      <c r="AQ363" s="1">
        <v>35594</v>
      </c>
      <c r="AR363" s="1">
        <v>43098</v>
      </c>
      <c r="AS363" s="1">
        <v>50608</v>
      </c>
      <c r="AT363" s="1">
        <v>58121</v>
      </c>
      <c r="AU363" s="1">
        <v>65641</v>
      </c>
      <c r="AV363" s="1">
        <v>73165</v>
      </c>
      <c r="AW363" s="1">
        <v>80694</v>
      </c>
      <c r="AX363" s="1">
        <v>88228</v>
      </c>
      <c r="AY363" s="1"/>
      <c r="BA363" s="21">
        <f>SUM(C363:N363)</f>
        <v>0</v>
      </c>
      <c r="BB363" s="22">
        <f t="shared" ref="BB363:BB364" si="348">+BA363/12</f>
        <v>0</v>
      </c>
      <c r="BD363" s="7">
        <f>SUM(O363:Z363)</f>
        <v>0</v>
      </c>
      <c r="BE363" s="7">
        <f t="shared" ref="BE363:BE364" si="349">+BD363-BA363</f>
        <v>0</v>
      </c>
      <c r="BF363" s="8" t="e">
        <f t="shared" ref="BF363:BF364" si="350">(BD363/BA363)-1</f>
        <v>#DIV/0!</v>
      </c>
      <c r="BG363" s="7">
        <f t="shared" ref="BG363:BG364" si="351">BD363/12</f>
        <v>0</v>
      </c>
      <c r="BI363" s="12">
        <f>+SUM(AA363:AL363)</f>
        <v>82043</v>
      </c>
      <c r="BJ363" s="12">
        <f t="shared" ref="BJ363:BJ364" si="352">+BI363-BD363</f>
        <v>82043</v>
      </c>
      <c r="BK363" s="13" t="e">
        <f t="shared" ref="BK363:BK364" si="353">(BI363/BD363)-1</f>
        <v>#DIV/0!</v>
      </c>
      <c r="BL363" s="24">
        <f>SUM(AA363:AH363)/8</f>
        <v>0</v>
      </c>
      <c r="BM363" s="24">
        <f>SUM(AI363:AL363)/4</f>
        <v>20510.75</v>
      </c>
      <c r="BO363" s="17">
        <f>+SUM(AM363:AX363)</f>
        <v>599088</v>
      </c>
      <c r="BP363" s="17">
        <f t="shared" ref="BP363:BP364" si="354">+BO363-BI363</f>
        <v>517045</v>
      </c>
      <c r="BQ363" s="18">
        <f t="shared" ref="BQ363:BQ364" si="355">(BO363/BI363)-1</f>
        <v>6.3021220579452235</v>
      </c>
      <c r="BR363" s="25">
        <f t="shared" ref="BR363:BR364" si="356">BO363/12</f>
        <v>49924</v>
      </c>
    </row>
    <row r="364" spans="1:70">
      <c r="A364" t="s">
        <v>618</v>
      </c>
      <c r="B364">
        <v>300015</v>
      </c>
      <c r="C364" s="1">
        <v>6</v>
      </c>
      <c r="D364" s="1">
        <v>5</v>
      </c>
      <c r="E364" s="1">
        <v>4</v>
      </c>
      <c r="F364" s="1">
        <v>3</v>
      </c>
      <c r="G364" s="1">
        <v>2</v>
      </c>
      <c r="H364" s="1">
        <v>2</v>
      </c>
      <c r="I364" s="1">
        <v>2</v>
      </c>
      <c r="J364" s="1">
        <v>2</v>
      </c>
      <c r="K364" s="1">
        <v>-11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/>
      <c r="BA364" s="21">
        <f>SUM(C364:N364)</f>
        <v>15</v>
      </c>
      <c r="BB364" s="22">
        <f t="shared" si="348"/>
        <v>1.25</v>
      </c>
      <c r="BD364" s="7">
        <f>SUM(O364:Z364)</f>
        <v>0</v>
      </c>
      <c r="BE364" s="7">
        <f t="shared" si="349"/>
        <v>-15</v>
      </c>
      <c r="BF364" s="8">
        <f t="shared" si="350"/>
        <v>-1</v>
      </c>
      <c r="BG364" s="7">
        <f t="shared" si="351"/>
        <v>0</v>
      </c>
      <c r="BI364" s="12">
        <f>+SUM(AA364:AL364)</f>
        <v>0</v>
      </c>
      <c r="BJ364" s="12">
        <f t="shared" si="352"/>
        <v>0</v>
      </c>
      <c r="BK364" s="13" t="e">
        <f t="shared" si="353"/>
        <v>#DIV/0!</v>
      </c>
      <c r="BL364" s="24">
        <f>SUM(AA364:AH364)/8</f>
        <v>0</v>
      </c>
      <c r="BM364" s="24">
        <f>SUM(AI364:AL364)/4</f>
        <v>0</v>
      </c>
      <c r="BO364" s="17">
        <f>+SUM(AM364:AX364)</f>
        <v>0</v>
      </c>
      <c r="BP364" s="17">
        <f t="shared" si="354"/>
        <v>0</v>
      </c>
      <c r="BQ364" s="18" t="e">
        <f t="shared" si="355"/>
        <v>#DIV/0!</v>
      </c>
      <c r="BR364" s="25">
        <f t="shared" si="356"/>
        <v>0</v>
      </c>
    </row>
    <row r="365" spans="1:70">
      <c r="A365" t="s">
        <v>11</v>
      </c>
      <c r="B365" t="s">
        <v>12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BA365" s="21"/>
      <c r="BB365" s="22"/>
      <c r="BD365" s="7"/>
      <c r="BE365" s="7"/>
      <c r="BF365" s="8"/>
      <c r="BG365" s="7"/>
      <c r="BI365" s="12"/>
      <c r="BJ365" s="12"/>
      <c r="BK365" s="13"/>
      <c r="BL365" s="24"/>
      <c r="BM365" s="24"/>
      <c r="BO365" s="17"/>
      <c r="BP365" s="17"/>
      <c r="BQ365" s="18"/>
      <c r="BR365" s="25"/>
    </row>
    <row r="366" spans="1:70">
      <c r="A366" t="s">
        <v>619</v>
      </c>
      <c r="C366" s="1">
        <v>6</v>
      </c>
      <c r="D366" s="1">
        <v>5</v>
      </c>
      <c r="E366" s="1">
        <v>4</v>
      </c>
      <c r="F366" s="1">
        <v>3</v>
      </c>
      <c r="G366" s="1">
        <v>2</v>
      </c>
      <c r="H366" s="1">
        <v>2</v>
      </c>
      <c r="I366" s="1">
        <v>2</v>
      </c>
      <c r="J366" s="1">
        <v>2</v>
      </c>
      <c r="K366" s="1">
        <v>-11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28045</v>
      </c>
      <c r="AK366" s="1">
        <v>27346</v>
      </c>
      <c r="AL366" s="1">
        <v>26652</v>
      </c>
      <c r="AM366" s="1">
        <v>25963</v>
      </c>
      <c r="AN366" s="1">
        <v>25280</v>
      </c>
      <c r="AO366" s="1">
        <v>24601</v>
      </c>
      <c r="AP366" s="1">
        <v>28095</v>
      </c>
      <c r="AQ366" s="1">
        <v>35594</v>
      </c>
      <c r="AR366" s="1">
        <v>43098</v>
      </c>
      <c r="AS366" s="1">
        <v>50608</v>
      </c>
      <c r="AT366" s="1">
        <v>58121</v>
      </c>
      <c r="AU366" s="1">
        <v>65641</v>
      </c>
      <c r="AV366" s="1">
        <v>73165</v>
      </c>
      <c r="AW366" s="1">
        <v>80694</v>
      </c>
      <c r="AX366" s="1">
        <v>88228</v>
      </c>
      <c r="AY366" s="1"/>
      <c r="BA366" s="21">
        <f>SUM(C366:N366)</f>
        <v>15</v>
      </c>
      <c r="BB366" s="22">
        <f t="shared" ref="BB366" si="357">+BA366/12</f>
        <v>1.25</v>
      </c>
      <c r="BD366" s="7">
        <f>SUM(O366:Z366)</f>
        <v>0</v>
      </c>
      <c r="BE366" s="7">
        <f t="shared" ref="BE366" si="358">+BD366-BA366</f>
        <v>-15</v>
      </c>
      <c r="BF366" s="8">
        <f t="shared" ref="BF366" si="359">(BD366/BA366)-1</f>
        <v>-1</v>
      </c>
      <c r="BG366" s="7">
        <f t="shared" ref="BG366" si="360">BD366/12</f>
        <v>0</v>
      </c>
      <c r="BI366" s="12">
        <f>+SUM(AA366:AL366)</f>
        <v>82043</v>
      </c>
      <c r="BJ366" s="12">
        <f t="shared" ref="BJ366" si="361">+BI366-BD366</f>
        <v>82043</v>
      </c>
      <c r="BK366" s="13" t="e">
        <f t="shared" ref="BK366" si="362">(BI366/BD366)-1</f>
        <v>#DIV/0!</v>
      </c>
      <c r="BL366" s="24">
        <f>SUM(AA366:AH366)/8</f>
        <v>0</v>
      </c>
      <c r="BM366" s="24">
        <f>SUM(AI366:AL366)/4</f>
        <v>20510.75</v>
      </c>
      <c r="BO366" s="17">
        <f>+SUM(AM366:AX366)</f>
        <v>599088</v>
      </c>
      <c r="BP366" s="17">
        <f t="shared" ref="BP366" si="363">+BO366-BI366</f>
        <v>517045</v>
      </c>
      <c r="BQ366" s="18">
        <f t="shared" ref="BQ366" si="364">(BO366/BI366)-1</f>
        <v>6.3021220579452235</v>
      </c>
      <c r="BR366" s="25">
        <f t="shared" ref="BR366" si="365">BO366/12</f>
        <v>49924</v>
      </c>
    </row>
    <row r="367" spans="1:70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BA367" s="21"/>
      <c r="BB367" s="22"/>
      <c r="BD367" s="7"/>
      <c r="BE367" s="7"/>
      <c r="BF367" s="8"/>
      <c r="BG367" s="7"/>
      <c r="BI367" s="12"/>
      <c r="BJ367" s="12"/>
      <c r="BK367" s="13"/>
      <c r="BL367" s="24"/>
      <c r="BM367" s="24"/>
      <c r="BO367" s="17"/>
      <c r="BP367" s="17"/>
      <c r="BQ367" s="18"/>
      <c r="BR367" s="25"/>
    </row>
    <row r="368" spans="1:70">
      <c r="A368" t="s">
        <v>620</v>
      </c>
      <c r="B368">
        <v>310005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230000</v>
      </c>
      <c r="AT368" s="1">
        <v>235000</v>
      </c>
      <c r="AU368" s="1">
        <v>240000</v>
      </c>
      <c r="AV368" s="1">
        <v>245000</v>
      </c>
      <c r="AW368" s="1">
        <v>250000</v>
      </c>
      <c r="AX368" s="1">
        <v>255000</v>
      </c>
      <c r="AY368" s="1"/>
      <c r="BA368" s="21">
        <f t="shared" ref="BA368:BA420" si="366">SUM(C368:N368)</f>
        <v>0</v>
      </c>
      <c r="BB368" s="22">
        <f t="shared" ref="BB368:BB420" si="367">+BA368/12</f>
        <v>0</v>
      </c>
      <c r="BD368" s="7">
        <f t="shared" ref="BD368:BD420" si="368">SUM(O368:Z368)</f>
        <v>0</v>
      </c>
      <c r="BE368" s="7">
        <f t="shared" ref="BE368:BE420" si="369">+BD368-BA368</f>
        <v>0</v>
      </c>
      <c r="BF368" s="8" t="e">
        <f t="shared" ref="BF368:BF420" si="370">(BD368/BA368)-1</f>
        <v>#DIV/0!</v>
      </c>
      <c r="BG368" s="7">
        <f t="shared" ref="BG368:BG420" si="371">BD368/12</f>
        <v>0</v>
      </c>
      <c r="BI368" s="12">
        <f t="shared" ref="BI368:BI420" si="372">+SUM(AA368:AL368)</f>
        <v>0</v>
      </c>
      <c r="BJ368" s="12">
        <f t="shared" ref="BJ368:BJ420" si="373">+BI368-BD368</f>
        <v>0</v>
      </c>
      <c r="BK368" s="13" t="e">
        <f t="shared" ref="BK368:BK420" si="374">(BI368/BD368)-1</f>
        <v>#DIV/0!</v>
      </c>
      <c r="BL368" s="24">
        <f t="shared" ref="BL368:BL420" si="375">SUM(AA368:AH368)/8</f>
        <v>0</v>
      </c>
      <c r="BM368" s="24">
        <f t="shared" ref="BM368:BM420" si="376">SUM(AI368:AL368)/4</f>
        <v>0</v>
      </c>
      <c r="BO368" s="17">
        <f t="shared" ref="BO368:BO420" si="377">+SUM(AM368:AX368)</f>
        <v>1455000</v>
      </c>
      <c r="BP368" s="17">
        <f t="shared" ref="BP368:BP420" si="378">+BO368-BI368</f>
        <v>1455000</v>
      </c>
      <c r="BQ368" s="18" t="e">
        <f t="shared" ref="BQ368:BQ420" si="379">(BO368/BI368)-1</f>
        <v>#DIV/0!</v>
      </c>
      <c r="BR368" s="25">
        <f t="shared" ref="BR368:BR420" si="380">BO368/12</f>
        <v>121250</v>
      </c>
    </row>
    <row r="369" spans="1:70">
      <c r="A369" t="s">
        <v>621</v>
      </c>
      <c r="B369">
        <v>310010</v>
      </c>
      <c r="C369" s="1">
        <v>128800</v>
      </c>
      <c r="D369" s="1">
        <v>108992</v>
      </c>
      <c r="E369" s="1">
        <v>112736</v>
      </c>
      <c r="F369" s="1">
        <v>102272</v>
      </c>
      <c r="G369" s="1">
        <v>121472</v>
      </c>
      <c r="H369" s="1">
        <v>123392</v>
      </c>
      <c r="I369" s="1">
        <v>122368</v>
      </c>
      <c r="J369" s="1">
        <v>121088</v>
      </c>
      <c r="K369" s="1">
        <v>125856</v>
      </c>
      <c r="L369" s="1">
        <v>124704</v>
      </c>
      <c r="M369" s="1">
        <v>116764</v>
      </c>
      <c r="N369" s="1">
        <v>131962</v>
      </c>
      <c r="O369" s="1">
        <v>143058</v>
      </c>
      <c r="P369" s="1">
        <v>121563</v>
      </c>
      <c r="Q369" s="1">
        <v>113835</v>
      </c>
      <c r="R369" s="1">
        <v>132328</v>
      </c>
      <c r="S369" s="1">
        <v>140886</v>
      </c>
      <c r="T369" s="1">
        <v>130028</v>
      </c>
      <c r="U369" s="1">
        <v>153327</v>
      </c>
      <c r="V369" s="1">
        <v>133798</v>
      </c>
      <c r="W369" s="1">
        <v>137536</v>
      </c>
      <c r="X369" s="1">
        <v>145433</v>
      </c>
      <c r="Y369" s="1">
        <v>140012</v>
      </c>
      <c r="Z369" s="1">
        <v>151657</v>
      </c>
      <c r="AA369" s="1">
        <v>155945</v>
      </c>
      <c r="AB369" s="1">
        <v>134246</v>
      </c>
      <c r="AC369" s="1">
        <v>142223</v>
      </c>
      <c r="AD369" s="1">
        <v>143910</v>
      </c>
      <c r="AE369" s="1">
        <v>144631</v>
      </c>
      <c r="AF369" s="1">
        <v>155854</v>
      </c>
      <c r="AG369" s="1">
        <v>165407</v>
      </c>
      <c r="AH369" s="1">
        <v>157809</v>
      </c>
      <c r="AI369" s="1">
        <v>105336</v>
      </c>
      <c r="AJ369" s="1">
        <v>141363</v>
      </c>
      <c r="AK369" s="1">
        <v>132719</v>
      </c>
      <c r="AL369" s="1">
        <v>126208</v>
      </c>
      <c r="AM369" s="1">
        <v>145883</v>
      </c>
      <c r="AN369" s="1">
        <v>145883</v>
      </c>
      <c r="AO369" s="1">
        <v>145883</v>
      </c>
      <c r="AP369" s="1">
        <v>145883</v>
      </c>
      <c r="AQ369" s="1">
        <v>145883</v>
      </c>
      <c r="AR369" s="1">
        <v>145883</v>
      </c>
      <c r="AS369" s="1">
        <v>145883</v>
      </c>
      <c r="AT369" s="1">
        <v>145883</v>
      </c>
      <c r="AU369" s="1">
        <v>145883</v>
      </c>
      <c r="AV369" s="1">
        <v>145883</v>
      </c>
      <c r="AW369" s="1">
        <v>145883</v>
      </c>
      <c r="AX369" s="1">
        <v>145981</v>
      </c>
      <c r="AY369" s="1"/>
      <c r="BA369" s="21">
        <f t="shared" si="366"/>
        <v>1440406</v>
      </c>
      <c r="BB369" s="22">
        <f t="shared" si="367"/>
        <v>120033.83333333333</v>
      </c>
      <c r="BD369" s="7">
        <f t="shared" si="368"/>
        <v>1643461</v>
      </c>
      <c r="BE369" s="7">
        <f t="shared" si="369"/>
        <v>203055</v>
      </c>
      <c r="BF369" s="8">
        <f t="shared" si="370"/>
        <v>0.14097067076921377</v>
      </c>
      <c r="BG369" s="7">
        <f t="shared" si="371"/>
        <v>136955.08333333334</v>
      </c>
      <c r="BI369" s="12">
        <f t="shared" si="372"/>
        <v>1705651</v>
      </c>
      <c r="BJ369" s="12">
        <f t="shared" si="373"/>
        <v>62190</v>
      </c>
      <c r="BK369" s="13">
        <f t="shared" si="374"/>
        <v>3.7840873619757298E-2</v>
      </c>
      <c r="BL369" s="24">
        <f t="shared" si="375"/>
        <v>150003.125</v>
      </c>
      <c r="BM369" s="24">
        <f t="shared" si="376"/>
        <v>126406.5</v>
      </c>
      <c r="BO369" s="17">
        <f t="shared" si="377"/>
        <v>1750694</v>
      </c>
      <c r="BP369" s="17">
        <f t="shared" si="378"/>
        <v>45043</v>
      </c>
      <c r="BQ369" s="18">
        <f t="shared" si="379"/>
        <v>2.6408098725940965E-2</v>
      </c>
      <c r="BR369" s="25">
        <f t="shared" si="380"/>
        <v>145891.16666666666</v>
      </c>
    </row>
    <row r="370" spans="1:70">
      <c r="A370" t="s">
        <v>622</v>
      </c>
      <c r="B370">
        <v>310015</v>
      </c>
      <c r="C370" s="1">
        <v>-9090</v>
      </c>
      <c r="D370" s="1">
        <v>-6410</v>
      </c>
      <c r="E370" s="1">
        <v>-8589</v>
      </c>
      <c r="F370" s="1">
        <v>-7870</v>
      </c>
      <c r="G370" s="1">
        <v>-10106</v>
      </c>
      <c r="H370" s="1">
        <v>-9650</v>
      </c>
      <c r="I370" s="1">
        <v>-10744</v>
      </c>
      <c r="J370" s="1">
        <v>-7699</v>
      </c>
      <c r="K370" s="1">
        <v>-10321</v>
      </c>
      <c r="L370" s="1">
        <v>-11542</v>
      </c>
      <c r="M370" s="1">
        <v>-9819</v>
      </c>
      <c r="N370" s="1">
        <v>-8906</v>
      </c>
      <c r="O370" s="1">
        <v>-11011</v>
      </c>
      <c r="P370" s="1">
        <v>-10133</v>
      </c>
      <c r="Q370" s="1">
        <v>-10671</v>
      </c>
      <c r="R370" s="1">
        <v>-11787</v>
      </c>
      <c r="S370" s="1">
        <v>-9716</v>
      </c>
      <c r="T370" s="1">
        <v>-10625</v>
      </c>
      <c r="U370" s="1">
        <v>-13850</v>
      </c>
      <c r="V370" s="1">
        <v>-12834</v>
      </c>
      <c r="W370" s="1">
        <v>-11371</v>
      </c>
      <c r="X370" s="1">
        <v>-13998</v>
      </c>
      <c r="Y370" s="1">
        <v>-11110</v>
      </c>
      <c r="Z370" s="1">
        <v>-11892</v>
      </c>
      <c r="AA370" s="1">
        <v>-13257</v>
      </c>
      <c r="AB370" s="1">
        <v>-10294</v>
      </c>
      <c r="AC370" s="1">
        <v>-13066</v>
      </c>
      <c r="AD370" s="1">
        <v>-12463</v>
      </c>
      <c r="AE370" s="1">
        <v>-11585</v>
      </c>
      <c r="AF370" s="1">
        <v>-10093</v>
      </c>
      <c r="AG370" s="1">
        <v>-14105</v>
      </c>
      <c r="AH370" s="1">
        <v>-11932</v>
      </c>
      <c r="AI370" s="1">
        <v>-6708</v>
      </c>
      <c r="AJ370" s="1">
        <v>-11037</v>
      </c>
      <c r="AK370" s="1">
        <v>-10499</v>
      </c>
      <c r="AL370" s="1">
        <v>-9996</v>
      </c>
      <c r="AM370" s="1">
        <v>-12020</v>
      </c>
      <c r="AN370" s="1">
        <v>-11083</v>
      </c>
      <c r="AO370" s="1">
        <v>-11065</v>
      </c>
      <c r="AP370" s="1">
        <v>-11115</v>
      </c>
      <c r="AQ370" s="1">
        <v>-10857</v>
      </c>
      <c r="AR370" s="1">
        <v>-11251</v>
      </c>
      <c r="AS370" s="1">
        <v>-11018</v>
      </c>
      <c r="AT370" s="1">
        <v>-11277</v>
      </c>
      <c r="AU370" s="1">
        <v>-12020</v>
      </c>
      <c r="AV370" s="1">
        <v>-12020</v>
      </c>
      <c r="AW370" s="1">
        <v>-12020</v>
      </c>
      <c r="AX370" s="1">
        <v>-12099</v>
      </c>
      <c r="AY370" s="1"/>
      <c r="BA370" s="21">
        <f t="shared" si="366"/>
        <v>-110746</v>
      </c>
      <c r="BB370" s="22">
        <f t="shared" si="367"/>
        <v>-9228.8333333333339</v>
      </c>
      <c r="BD370" s="7">
        <f t="shared" si="368"/>
        <v>-138998</v>
      </c>
      <c r="BE370" s="7">
        <f t="shared" si="369"/>
        <v>-28252</v>
      </c>
      <c r="BF370" s="8">
        <f t="shared" si="370"/>
        <v>0.25510627923356144</v>
      </c>
      <c r="BG370" s="7">
        <f t="shared" si="371"/>
        <v>-11583.166666666666</v>
      </c>
      <c r="BI370" s="12">
        <f t="shared" si="372"/>
        <v>-135035</v>
      </c>
      <c r="BJ370" s="12">
        <f t="shared" si="373"/>
        <v>3963</v>
      </c>
      <c r="BK370" s="13">
        <f t="shared" si="374"/>
        <v>-2.8511201600023073E-2</v>
      </c>
      <c r="BL370" s="24">
        <f t="shared" si="375"/>
        <v>-12099.375</v>
      </c>
      <c r="BM370" s="24">
        <f t="shared" si="376"/>
        <v>-9560</v>
      </c>
      <c r="BO370" s="17">
        <f t="shared" si="377"/>
        <v>-137845</v>
      </c>
      <c r="BP370" s="17">
        <f t="shared" si="378"/>
        <v>-2810</v>
      </c>
      <c r="BQ370" s="18">
        <f t="shared" si="379"/>
        <v>2.0809419780057015E-2</v>
      </c>
      <c r="BR370" s="25">
        <f t="shared" si="380"/>
        <v>-11487.083333333334</v>
      </c>
    </row>
    <row r="371" spans="1:70">
      <c r="A371" t="s">
        <v>623</v>
      </c>
      <c r="B371">
        <v>310035</v>
      </c>
      <c r="C371" s="1">
        <v>293504</v>
      </c>
      <c r="D371" s="1">
        <v>246912</v>
      </c>
      <c r="E371" s="1">
        <v>260512</v>
      </c>
      <c r="F371" s="1">
        <v>219872</v>
      </c>
      <c r="G371" s="1">
        <v>252000</v>
      </c>
      <c r="H371" s="1">
        <v>246336</v>
      </c>
      <c r="I371" s="1">
        <v>266304</v>
      </c>
      <c r="J371" s="1">
        <v>268640</v>
      </c>
      <c r="K371" s="1">
        <v>258656</v>
      </c>
      <c r="L371" s="1">
        <v>267680</v>
      </c>
      <c r="M371" s="1">
        <v>257728</v>
      </c>
      <c r="N371" s="1">
        <v>282624</v>
      </c>
      <c r="O371" s="1">
        <v>288576</v>
      </c>
      <c r="P371" s="1">
        <v>252832</v>
      </c>
      <c r="Q371" s="1">
        <v>239712</v>
      </c>
      <c r="R371" s="1">
        <v>264352</v>
      </c>
      <c r="S371" s="1">
        <v>275904</v>
      </c>
      <c r="T371" s="1">
        <v>272224</v>
      </c>
      <c r="U371" s="1">
        <v>290976</v>
      </c>
      <c r="V371" s="1">
        <v>272544</v>
      </c>
      <c r="W371" s="1">
        <v>270624</v>
      </c>
      <c r="X371" s="1">
        <v>280128</v>
      </c>
      <c r="Y371" s="1">
        <v>253472</v>
      </c>
      <c r="Z371" s="1">
        <v>283744</v>
      </c>
      <c r="AA371" s="1">
        <v>267232</v>
      </c>
      <c r="AB371" s="1">
        <v>229152</v>
      </c>
      <c r="AC371" s="1">
        <v>246816</v>
      </c>
      <c r="AD371" s="1">
        <v>255712</v>
      </c>
      <c r="AE371" s="1">
        <v>274656</v>
      </c>
      <c r="AF371" s="1">
        <v>271040</v>
      </c>
      <c r="AG371" s="1">
        <v>298976</v>
      </c>
      <c r="AH371" s="1">
        <v>281568</v>
      </c>
      <c r="AI371" s="1">
        <v>277719</v>
      </c>
      <c r="AJ371" s="1">
        <v>264937</v>
      </c>
      <c r="AK371" s="1">
        <v>257236</v>
      </c>
      <c r="AL371" s="1">
        <v>249760</v>
      </c>
      <c r="AM371" s="1">
        <v>264157</v>
      </c>
      <c r="AN371" s="1">
        <v>264157</v>
      </c>
      <c r="AO371" s="1">
        <v>264157</v>
      </c>
      <c r="AP371" s="1">
        <v>264157</v>
      </c>
      <c r="AQ371" s="1">
        <v>264157</v>
      </c>
      <c r="AR371" s="1">
        <v>264157</v>
      </c>
      <c r="AS371" s="1">
        <v>264157</v>
      </c>
      <c r="AT371" s="1">
        <v>264157</v>
      </c>
      <c r="AU371" s="1">
        <v>264157</v>
      </c>
      <c r="AV371" s="1">
        <v>264157</v>
      </c>
      <c r="AW371" s="1">
        <v>264157</v>
      </c>
      <c r="AX371" s="1">
        <v>264227</v>
      </c>
      <c r="AY371" s="1"/>
      <c r="BA371" s="21">
        <f t="shared" si="366"/>
        <v>3120768</v>
      </c>
      <c r="BB371" s="22">
        <f t="shared" si="367"/>
        <v>260064</v>
      </c>
      <c r="BD371" s="7">
        <f t="shared" si="368"/>
        <v>3245088</v>
      </c>
      <c r="BE371" s="7">
        <f t="shared" si="369"/>
        <v>124320</v>
      </c>
      <c r="BF371" s="8">
        <f t="shared" si="370"/>
        <v>3.9836347975882758E-2</v>
      </c>
      <c r="BG371" s="7">
        <f t="shared" si="371"/>
        <v>270424</v>
      </c>
      <c r="BI371" s="12">
        <f t="shared" si="372"/>
        <v>3174804</v>
      </c>
      <c r="BJ371" s="12">
        <f t="shared" si="373"/>
        <v>-70284</v>
      </c>
      <c r="BK371" s="13">
        <f t="shared" si="374"/>
        <v>-2.1658580599355104E-2</v>
      </c>
      <c r="BL371" s="24">
        <f t="shared" si="375"/>
        <v>265644</v>
      </c>
      <c r="BM371" s="24">
        <f t="shared" si="376"/>
        <v>262413</v>
      </c>
      <c r="BO371" s="17">
        <f t="shared" si="377"/>
        <v>3169954</v>
      </c>
      <c r="BP371" s="17">
        <f t="shared" si="378"/>
        <v>-4850</v>
      </c>
      <c r="BQ371" s="18">
        <f t="shared" si="379"/>
        <v>-1.5276533606484177E-3</v>
      </c>
      <c r="BR371" s="25">
        <f t="shared" si="380"/>
        <v>264162.83333333331</v>
      </c>
    </row>
    <row r="372" spans="1:70">
      <c r="A372" t="s">
        <v>624</v>
      </c>
      <c r="B372">
        <v>310040</v>
      </c>
      <c r="C372" s="1">
        <v>-9293</v>
      </c>
      <c r="D372" s="1">
        <v>-9700</v>
      </c>
      <c r="E372" s="1">
        <v>-8636</v>
      </c>
      <c r="F372" s="1">
        <v>-4606</v>
      </c>
      <c r="G372" s="1">
        <v>-6730</v>
      </c>
      <c r="H372" s="1">
        <v>-7468</v>
      </c>
      <c r="I372" s="1">
        <v>-5165</v>
      </c>
      <c r="J372" s="1">
        <v>-6562</v>
      </c>
      <c r="K372" s="1">
        <v>-6533</v>
      </c>
      <c r="L372" s="1">
        <v>-7112</v>
      </c>
      <c r="M372" s="1">
        <v>-8035</v>
      </c>
      <c r="N372" s="1">
        <v>-6559</v>
      </c>
      <c r="O372" s="1">
        <v>-7565</v>
      </c>
      <c r="P372" s="1">
        <v>-7194</v>
      </c>
      <c r="Q372" s="1">
        <v>-8552</v>
      </c>
      <c r="R372" s="1">
        <v>-5905</v>
      </c>
      <c r="S372" s="1">
        <v>-6755</v>
      </c>
      <c r="T372" s="1">
        <v>-7614</v>
      </c>
      <c r="U372" s="1">
        <v>-9763</v>
      </c>
      <c r="V372" s="1">
        <v>-8331</v>
      </c>
      <c r="W372" s="1">
        <v>-7909</v>
      </c>
      <c r="X372" s="1">
        <v>-6051</v>
      </c>
      <c r="Y372" s="1">
        <v>-8292</v>
      </c>
      <c r="Z372" s="1">
        <v>-8664</v>
      </c>
      <c r="AA372" s="1">
        <v>-6034</v>
      </c>
      <c r="AB372" s="1">
        <v>-5704</v>
      </c>
      <c r="AC372" s="1">
        <v>-7297</v>
      </c>
      <c r="AD372" s="1">
        <v>-8543</v>
      </c>
      <c r="AE372" s="1">
        <v>-8111</v>
      </c>
      <c r="AF372" s="1">
        <v>-7433</v>
      </c>
      <c r="AG372" s="1">
        <v>-8173</v>
      </c>
      <c r="AH372" s="1">
        <v>-7446</v>
      </c>
      <c r="AI372" s="1">
        <v>-8476</v>
      </c>
      <c r="AJ372" s="1">
        <v>-8286</v>
      </c>
      <c r="AK372" s="1">
        <v>-8706</v>
      </c>
      <c r="AL372" s="1">
        <v>-9126</v>
      </c>
      <c r="AM372" s="1">
        <v>-4339</v>
      </c>
      <c r="AN372" s="1">
        <v>-4117</v>
      </c>
      <c r="AO372" s="1">
        <v>-5232</v>
      </c>
      <c r="AP372" s="1">
        <v>-6104</v>
      </c>
      <c r="AQ372" s="1">
        <v>-5797</v>
      </c>
      <c r="AR372" s="1">
        <v>-5170</v>
      </c>
      <c r="AS372" s="1">
        <v>-5803</v>
      </c>
      <c r="AT372" s="1">
        <v>-5232</v>
      </c>
      <c r="AU372" s="1">
        <v>-5526</v>
      </c>
      <c r="AV372" s="1">
        <v>-5820</v>
      </c>
      <c r="AW372" s="1">
        <v>-6114</v>
      </c>
      <c r="AX372" s="1">
        <v>-6408</v>
      </c>
      <c r="AY372" s="1"/>
      <c r="BA372" s="21">
        <f t="shared" si="366"/>
        <v>-86399</v>
      </c>
      <c r="BB372" s="22">
        <f t="shared" si="367"/>
        <v>-7199.916666666667</v>
      </c>
      <c r="BD372" s="7">
        <f t="shared" si="368"/>
        <v>-92595</v>
      </c>
      <c r="BE372" s="7">
        <f t="shared" si="369"/>
        <v>-6196</v>
      </c>
      <c r="BF372" s="8">
        <f t="shared" si="370"/>
        <v>7.1713792983715052E-2</v>
      </c>
      <c r="BG372" s="7">
        <f t="shared" si="371"/>
        <v>-7716.25</v>
      </c>
      <c r="BI372" s="12">
        <f t="shared" si="372"/>
        <v>-93335</v>
      </c>
      <c r="BJ372" s="12">
        <f t="shared" si="373"/>
        <v>-740</v>
      </c>
      <c r="BK372" s="13">
        <f t="shared" si="374"/>
        <v>7.9917922134025154E-3</v>
      </c>
      <c r="BL372" s="24">
        <f t="shared" si="375"/>
        <v>-7342.625</v>
      </c>
      <c r="BM372" s="24">
        <f t="shared" si="376"/>
        <v>-8648.5</v>
      </c>
      <c r="BO372" s="17">
        <f t="shared" si="377"/>
        <v>-65662</v>
      </c>
      <c r="BP372" s="17">
        <f t="shared" si="378"/>
        <v>27673</v>
      </c>
      <c r="BQ372" s="18">
        <f t="shared" si="379"/>
        <v>-0.29649113408689132</v>
      </c>
      <c r="BR372" s="25">
        <f t="shared" si="380"/>
        <v>-5471.833333333333</v>
      </c>
    </row>
    <row r="373" spans="1:70">
      <c r="A373" t="s">
        <v>625</v>
      </c>
      <c r="B373">
        <v>310060</v>
      </c>
      <c r="C373" s="1">
        <v>1818</v>
      </c>
      <c r="D373" s="1">
        <v>2034</v>
      </c>
      <c r="E373" s="1">
        <v>1944</v>
      </c>
      <c r="F373" s="1">
        <v>-126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-18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-18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-18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/>
      <c r="BA373" s="21">
        <f t="shared" si="366"/>
        <v>5652</v>
      </c>
      <c r="BB373" s="22">
        <f t="shared" si="367"/>
        <v>471</v>
      </c>
      <c r="BD373" s="7">
        <f t="shared" si="368"/>
        <v>-18</v>
      </c>
      <c r="BE373" s="7">
        <f t="shared" si="369"/>
        <v>-5670</v>
      </c>
      <c r="BF373" s="8">
        <f t="shared" si="370"/>
        <v>-1.0031847133757963</v>
      </c>
      <c r="BG373" s="7">
        <f t="shared" si="371"/>
        <v>-1.5</v>
      </c>
      <c r="BI373" s="12">
        <f t="shared" si="372"/>
        <v>-18</v>
      </c>
      <c r="BJ373" s="12">
        <f t="shared" si="373"/>
        <v>0</v>
      </c>
      <c r="BK373" s="13">
        <f t="shared" si="374"/>
        <v>0</v>
      </c>
      <c r="BL373" s="24">
        <f t="shared" si="375"/>
        <v>-2.25</v>
      </c>
      <c r="BM373" s="24">
        <f t="shared" si="376"/>
        <v>0</v>
      </c>
      <c r="BO373" s="17">
        <f t="shared" si="377"/>
        <v>0</v>
      </c>
      <c r="BP373" s="17">
        <f t="shared" si="378"/>
        <v>18</v>
      </c>
      <c r="BQ373" s="18">
        <f t="shared" si="379"/>
        <v>-1</v>
      </c>
      <c r="BR373" s="25">
        <f t="shared" si="380"/>
        <v>0</v>
      </c>
    </row>
    <row r="374" spans="1:70">
      <c r="A374" t="s">
        <v>626</v>
      </c>
      <c r="B374">
        <v>310100</v>
      </c>
      <c r="C374" s="1">
        <v>1590</v>
      </c>
      <c r="D374" s="1">
        <v>1110</v>
      </c>
      <c r="E374" s="1">
        <v>1740</v>
      </c>
      <c r="F374" s="1">
        <v>2100</v>
      </c>
      <c r="G374" s="1">
        <v>2310</v>
      </c>
      <c r="H374" s="1">
        <v>1800</v>
      </c>
      <c r="I374" s="1">
        <v>1950</v>
      </c>
      <c r="J374" s="1">
        <v>1800</v>
      </c>
      <c r="K374" s="1">
        <v>1170</v>
      </c>
      <c r="L374" s="1">
        <v>1650</v>
      </c>
      <c r="M374" s="1">
        <v>2040</v>
      </c>
      <c r="N374" s="1">
        <v>1860</v>
      </c>
      <c r="O374" s="1">
        <v>1950</v>
      </c>
      <c r="P374" s="1">
        <v>1770</v>
      </c>
      <c r="Q374" s="1">
        <v>2490</v>
      </c>
      <c r="R374" s="1">
        <v>1400</v>
      </c>
      <c r="S374" s="1">
        <v>1350</v>
      </c>
      <c r="T374" s="1">
        <v>1530</v>
      </c>
      <c r="U374" s="1">
        <v>1950</v>
      </c>
      <c r="V374" s="1">
        <v>2700</v>
      </c>
      <c r="W374" s="1">
        <v>1890</v>
      </c>
      <c r="X374" s="1">
        <v>1320</v>
      </c>
      <c r="Y374" s="1">
        <v>1950</v>
      </c>
      <c r="Z374" s="1">
        <v>1800</v>
      </c>
      <c r="AA374" s="1">
        <v>1980</v>
      </c>
      <c r="AB374" s="1">
        <v>1640</v>
      </c>
      <c r="AC374" s="1">
        <v>1340</v>
      </c>
      <c r="AD374" s="1">
        <v>1970</v>
      </c>
      <c r="AE374" s="1">
        <v>1580</v>
      </c>
      <c r="AF374" s="1">
        <v>1200</v>
      </c>
      <c r="AG374" s="1">
        <v>1760</v>
      </c>
      <c r="AH374" s="1">
        <v>483</v>
      </c>
      <c r="AI374" s="1">
        <v>2190</v>
      </c>
      <c r="AJ374" s="1">
        <v>1382</v>
      </c>
      <c r="AK374" s="1">
        <v>2068</v>
      </c>
      <c r="AL374" s="1">
        <v>1912</v>
      </c>
      <c r="AM374" s="1">
        <v>2099</v>
      </c>
      <c r="AN374" s="1">
        <v>1746</v>
      </c>
      <c r="AO374" s="1">
        <v>1434</v>
      </c>
      <c r="AP374" s="1">
        <v>2089</v>
      </c>
      <c r="AQ374" s="1">
        <v>1662</v>
      </c>
      <c r="AR374" s="1">
        <v>1288</v>
      </c>
      <c r="AS374" s="1">
        <v>1870</v>
      </c>
      <c r="AT374" s="1">
        <v>428</v>
      </c>
      <c r="AU374" s="1">
        <v>2084</v>
      </c>
      <c r="AV374" s="1">
        <v>1435</v>
      </c>
      <c r="AW374" s="1">
        <v>2149</v>
      </c>
      <c r="AX374" s="1">
        <v>1987</v>
      </c>
      <c r="AY374" s="1"/>
      <c r="BA374" s="21">
        <f t="shared" si="366"/>
        <v>21120</v>
      </c>
      <c r="BB374" s="22">
        <f t="shared" si="367"/>
        <v>1760</v>
      </c>
      <c r="BD374" s="7">
        <f t="shared" si="368"/>
        <v>22100</v>
      </c>
      <c r="BE374" s="7">
        <f t="shared" si="369"/>
        <v>980</v>
      </c>
      <c r="BF374" s="8">
        <f t="shared" si="370"/>
        <v>4.6401515151515138E-2</v>
      </c>
      <c r="BG374" s="7">
        <f t="shared" si="371"/>
        <v>1841.6666666666667</v>
      </c>
      <c r="BI374" s="12">
        <f t="shared" si="372"/>
        <v>19505</v>
      </c>
      <c r="BJ374" s="12">
        <f t="shared" si="373"/>
        <v>-2595</v>
      </c>
      <c r="BK374" s="13">
        <f t="shared" si="374"/>
        <v>-0.11742081447963804</v>
      </c>
      <c r="BL374" s="24">
        <f t="shared" si="375"/>
        <v>1494.125</v>
      </c>
      <c r="BM374" s="24">
        <f t="shared" si="376"/>
        <v>1888</v>
      </c>
      <c r="BO374" s="17">
        <f t="shared" si="377"/>
        <v>20271</v>
      </c>
      <c r="BP374" s="17">
        <f t="shared" si="378"/>
        <v>766</v>
      </c>
      <c r="BQ374" s="18">
        <f t="shared" si="379"/>
        <v>3.9271981543194112E-2</v>
      </c>
      <c r="BR374" s="25">
        <f t="shared" si="380"/>
        <v>1689.25</v>
      </c>
    </row>
    <row r="375" spans="1:70">
      <c r="A375" t="s">
        <v>627</v>
      </c>
      <c r="B375">
        <v>310115</v>
      </c>
      <c r="C375" s="1">
        <v>3020</v>
      </c>
      <c r="D375" s="1">
        <v>3262</v>
      </c>
      <c r="E375" s="1">
        <v>3219</v>
      </c>
      <c r="F375" s="1">
        <v>0</v>
      </c>
      <c r="G375" s="1">
        <v>6355</v>
      </c>
      <c r="H375" s="1">
        <v>2904</v>
      </c>
      <c r="I375" s="1">
        <v>3356</v>
      </c>
      <c r="J375" s="1">
        <v>3129</v>
      </c>
      <c r="K375" s="1">
        <v>0</v>
      </c>
      <c r="L375" s="1">
        <v>3477</v>
      </c>
      <c r="M375" s="1">
        <v>3146</v>
      </c>
      <c r="N375" s="1">
        <v>3905</v>
      </c>
      <c r="O375" s="1">
        <v>3579</v>
      </c>
      <c r="P375" s="1">
        <v>3425</v>
      </c>
      <c r="Q375" s="1">
        <v>3516</v>
      </c>
      <c r="R375" s="1">
        <v>3303</v>
      </c>
      <c r="S375" s="1">
        <v>3578</v>
      </c>
      <c r="T375" s="1">
        <v>4323</v>
      </c>
      <c r="U375" s="1">
        <v>3961</v>
      </c>
      <c r="V375" s="1">
        <v>3769</v>
      </c>
      <c r="W375" s="1">
        <v>4126</v>
      </c>
      <c r="X375" s="1">
        <v>0</v>
      </c>
      <c r="Y375" s="1">
        <v>4357</v>
      </c>
      <c r="Z375" s="1">
        <v>4265</v>
      </c>
      <c r="AA375" s="1">
        <v>3749</v>
      </c>
      <c r="AB375" s="1">
        <v>4488</v>
      </c>
      <c r="AC375" s="1">
        <v>4799</v>
      </c>
      <c r="AD375" s="1">
        <v>0</v>
      </c>
      <c r="AE375" s="1">
        <v>2195</v>
      </c>
      <c r="AF375" s="1">
        <v>960</v>
      </c>
      <c r="AG375" s="1">
        <v>600</v>
      </c>
      <c r="AH375" s="1">
        <v>720</v>
      </c>
      <c r="AI375" s="1">
        <v>630</v>
      </c>
      <c r="AJ375" s="1">
        <v>600</v>
      </c>
      <c r="AK375" s="1">
        <v>600</v>
      </c>
      <c r="AL375" s="1">
        <v>600</v>
      </c>
      <c r="AM375" s="1">
        <v>600</v>
      </c>
      <c r="AN375" s="1">
        <v>600</v>
      </c>
      <c r="AO375" s="1">
        <v>600</v>
      </c>
      <c r="AP375" s="1">
        <v>600</v>
      </c>
      <c r="AQ375" s="1">
        <v>600</v>
      </c>
      <c r="AR375" s="1">
        <v>600</v>
      </c>
      <c r="AS375" s="1">
        <v>600</v>
      </c>
      <c r="AT375" s="1">
        <v>600</v>
      </c>
      <c r="AU375" s="1">
        <v>600</v>
      </c>
      <c r="AV375" s="1">
        <v>600</v>
      </c>
      <c r="AW375" s="1">
        <v>600</v>
      </c>
      <c r="AX375" s="1">
        <v>600</v>
      </c>
      <c r="AY375" s="1"/>
      <c r="BA375" s="21">
        <f t="shared" si="366"/>
        <v>35773</v>
      </c>
      <c r="BB375" s="22">
        <f t="shared" si="367"/>
        <v>2981.0833333333335</v>
      </c>
      <c r="BD375" s="7">
        <f t="shared" si="368"/>
        <v>42202</v>
      </c>
      <c r="BE375" s="7">
        <f t="shared" si="369"/>
        <v>6429</v>
      </c>
      <c r="BF375" s="8">
        <f t="shared" si="370"/>
        <v>0.17971654599837872</v>
      </c>
      <c r="BG375" s="7">
        <f t="shared" si="371"/>
        <v>3516.8333333333335</v>
      </c>
      <c r="BI375" s="12">
        <f t="shared" si="372"/>
        <v>19941</v>
      </c>
      <c r="BJ375" s="12">
        <f t="shared" si="373"/>
        <v>-22261</v>
      </c>
      <c r="BK375" s="13">
        <f t="shared" si="374"/>
        <v>-0.52748684896450404</v>
      </c>
      <c r="BL375" s="24">
        <f t="shared" si="375"/>
        <v>2188.875</v>
      </c>
      <c r="BM375" s="24">
        <f t="shared" si="376"/>
        <v>607.5</v>
      </c>
      <c r="BO375" s="17">
        <f t="shared" si="377"/>
        <v>7200</v>
      </c>
      <c r="BP375" s="17">
        <f t="shared" si="378"/>
        <v>-12741</v>
      </c>
      <c r="BQ375" s="18">
        <f t="shared" si="379"/>
        <v>-0.63893485783060022</v>
      </c>
      <c r="BR375" s="25">
        <f t="shared" si="380"/>
        <v>600</v>
      </c>
    </row>
    <row r="376" spans="1:70">
      <c r="A376" t="s">
        <v>628</v>
      </c>
      <c r="B376">
        <v>310120</v>
      </c>
      <c r="C376" s="1">
        <v>18156</v>
      </c>
      <c r="D376" s="1">
        <v>19018</v>
      </c>
      <c r="E376" s="1">
        <v>21618</v>
      </c>
      <c r="F376" s="1">
        <v>21061</v>
      </c>
      <c r="G376" s="1">
        <v>19788</v>
      </c>
      <c r="H376" s="1">
        <v>18033</v>
      </c>
      <c r="I376" s="1">
        <v>19345</v>
      </c>
      <c r="J376" s="1">
        <v>19641</v>
      </c>
      <c r="K376" s="1">
        <v>18684</v>
      </c>
      <c r="L376" s="1">
        <v>17935</v>
      </c>
      <c r="M376" s="1">
        <v>18488</v>
      </c>
      <c r="N376" s="1">
        <v>22239</v>
      </c>
      <c r="O376" s="1">
        <v>19653</v>
      </c>
      <c r="P376" s="1">
        <v>20875</v>
      </c>
      <c r="Q376" s="1">
        <v>21017</v>
      </c>
      <c r="R376" s="1">
        <v>19188</v>
      </c>
      <c r="S376" s="1">
        <v>20052</v>
      </c>
      <c r="T376" s="1">
        <v>19116</v>
      </c>
      <c r="U376" s="1">
        <v>18928</v>
      </c>
      <c r="V376" s="1">
        <v>19165</v>
      </c>
      <c r="W376" s="1">
        <v>18541</v>
      </c>
      <c r="X376" s="1">
        <v>17639</v>
      </c>
      <c r="Y376" s="1">
        <v>18063</v>
      </c>
      <c r="Z376" s="1">
        <v>20065</v>
      </c>
      <c r="AA376" s="1">
        <v>20871</v>
      </c>
      <c r="AB376" s="1">
        <v>20889</v>
      </c>
      <c r="AC376" s="1">
        <v>23266</v>
      </c>
      <c r="AD376" s="1">
        <v>23644</v>
      </c>
      <c r="AE376" s="1">
        <v>22267</v>
      </c>
      <c r="AF376" s="1">
        <v>19746</v>
      </c>
      <c r="AG376" s="1">
        <v>20910</v>
      </c>
      <c r="AH376" s="1">
        <v>20513</v>
      </c>
      <c r="AI376" s="1">
        <v>21947</v>
      </c>
      <c r="AJ376" s="1">
        <v>20898</v>
      </c>
      <c r="AK376" s="1">
        <v>20956</v>
      </c>
      <c r="AL376" s="1">
        <v>21013</v>
      </c>
      <c r="AM376" s="1">
        <v>21762</v>
      </c>
      <c r="AN376" s="1">
        <v>21785</v>
      </c>
      <c r="AO376" s="1">
        <v>24250</v>
      </c>
      <c r="AP376" s="1">
        <v>24608</v>
      </c>
      <c r="AQ376" s="1">
        <v>23133</v>
      </c>
      <c r="AR376" s="1">
        <v>20569</v>
      </c>
      <c r="AS376" s="1">
        <v>21731</v>
      </c>
      <c r="AT376" s="1">
        <v>21305</v>
      </c>
      <c r="AU376" s="1">
        <v>21684</v>
      </c>
      <c r="AV376" s="1">
        <v>21739</v>
      </c>
      <c r="AW376" s="1">
        <v>21798</v>
      </c>
      <c r="AX376" s="1">
        <v>21860</v>
      </c>
      <c r="AY376" s="1"/>
      <c r="BA376" s="21">
        <f t="shared" si="366"/>
        <v>234006</v>
      </c>
      <c r="BB376" s="22">
        <f t="shared" si="367"/>
        <v>19500.5</v>
      </c>
      <c r="BD376" s="7">
        <f t="shared" si="368"/>
        <v>232302</v>
      </c>
      <c r="BE376" s="7">
        <f t="shared" si="369"/>
        <v>-1704</v>
      </c>
      <c r="BF376" s="8">
        <f t="shared" si="370"/>
        <v>-7.2818645675751803E-3</v>
      </c>
      <c r="BG376" s="7">
        <f t="shared" si="371"/>
        <v>19358.5</v>
      </c>
      <c r="BI376" s="12">
        <f t="shared" si="372"/>
        <v>256920</v>
      </c>
      <c r="BJ376" s="12">
        <f t="shared" si="373"/>
        <v>24618</v>
      </c>
      <c r="BK376" s="13">
        <f t="shared" si="374"/>
        <v>0.10597411989565297</v>
      </c>
      <c r="BL376" s="24">
        <f t="shared" si="375"/>
        <v>21513.25</v>
      </c>
      <c r="BM376" s="24">
        <f t="shared" si="376"/>
        <v>21203.5</v>
      </c>
      <c r="BO376" s="17">
        <f t="shared" si="377"/>
        <v>266224</v>
      </c>
      <c r="BP376" s="17">
        <f t="shared" si="378"/>
        <v>9304</v>
      </c>
      <c r="BQ376" s="18">
        <f t="shared" si="379"/>
        <v>3.6213607348591026E-2</v>
      </c>
      <c r="BR376" s="25">
        <f t="shared" si="380"/>
        <v>22185.333333333332</v>
      </c>
    </row>
    <row r="377" spans="1:70">
      <c r="A377" t="s">
        <v>629</v>
      </c>
      <c r="B377">
        <v>310130</v>
      </c>
      <c r="C377" s="1">
        <v>35860</v>
      </c>
      <c r="D377" s="1">
        <v>34185</v>
      </c>
      <c r="E377" s="1">
        <v>38204</v>
      </c>
      <c r="F377" s="1">
        <v>36517</v>
      </c>
      <c r="G377" s="1">
        <v>35959</v>
      </c>
      <c r="H377" s="1">
        <v>35412</v>
      </c>
      <c r="I377" s="1">
        <v>37079</v>
      </c>
      <c r="J377" s="1">
        <v>36257</v>
      </c>
      <c r="K377" s="1">
        <v>36239</v>
      </c>
      <c r="L377" s="1">
        <v>36973</v>
      </c>
      <c r="M377" s="1">
        <v>36097</v>
      </c>
      <c r="N377" s="1">
        <v>37539</v>
      </c>
      <c r="O377" s="1">
        <v>35758</v>
      </c>
      <c r="P377" s="1">
        <v>36798</v>
      </c>
      <c r="Q377" s="1">
        <v>40562</v>
      </c>
      <c r="R377" s="1">
        <v>37978</v>
      </c>
      <c r="S377" s="1">
        <v>39257</v>
      </c>
      <c r="T377" s="1">
        <v>38205</v>
      </c>
      <c r="U377" s="1">
        <v>38438</v>
      </c>
      <c r="V377" s="1">
        <v>40482</v>
      </c>
      <c r="W377" s="1">
        <v>37945</v>
      </c>
      <c r="X377" s="1">
        <v>39476</v>
      </c>
      <c r="Y377" s="1">
        <v>39024</v>
      </c>
      <c r="Z377" s="1">
        <v>38482</v>
      </c>
      <c r="AA377" s="1">
        <v>37709</v>
      </c>
      <c r="AB377" s="1">
        <v>35596</v>
      </c>
      <c r="AC377" s="1">
        <v>41157</v>
      </c>
      <c r="AD377" s="1">
        <v>38552</v>
      </c>
      <c r="AE377" s="1">
        <v>40694</v>
      </c>
      <c r="AF377" s="1">
        <v>38137</v>
      </c>
      <c r="AG377" s="1">
        <v>40527</v>
      </c>
      <c r="AH377" s="1">
        <v>41024</v>
      </c>
      <c r="AI377" s="1">
        <v>38836</v>
      </c>
      <c r="AJ377" s="1">
        <v>40000</v>
      </c>
      <c r="AK377" s="1">
        <v>40000</v>
      </c>
      <c r="AL377" s="1">
        <v>40000</v>
      </c>
      <c r="AM377" s="1">
        <v>39500</v>
      </c>
      <c r="AN377" s="1">
        <v>39500</v>
      </c>
      <c r="AO377" s="1">
        <v>39500</v>
      </c>
      <c r="AP377" s="1">
        <v>39500</v>
      </c>
      <c r="AQ377" s="1">
        <v>39500</v>
      </c>
      <c r="AR377" s="1">
        <v>40000</v>
      </c>
      <c r="AS377" s="1">
        <v>40000</v>
      </c>
      <c r="AT377" s="1">
        <v>40000</v>
      </c>
      <c r="AU377" s="1">
        <v>40000</v>
      </c>
      <c r="AV377" s="1">
        <v>40000</v>
      </c>
      <c r="AW377" s="1">
        <v>40000</v>
      </c>
      <c r="AX377" s="1">
        <v>40000</v>
      </c>
      <c r="AY377" s="1"/>
      <c r="BA377" s="21">
        <f t="shared" si="366"/>
        <v>436321</v>
      </c>
      <c r="BB377" s="22">
        <f t="shared" si="367"/>
        <v>36360.083333333336</v>
      </c>
      <c r="BD377" s="7">
        <f t="shared" si="368"/>
        <v>462405</v>
      </c>
      <c r="BE377" s="7">
        <f t="shared" si="369"/>
        <v>26084</v>
      </c>
      <c r="BF377" s="8">
        <f t="shared" si="370"/>
        <v>5.9781674501112603E-2</v>
      </c>
      <c r="BG377" s="7">
        <f t="shared" si="371"/>
        <v>38533.75</v>
      </c>
      <c r="BI377" s="12">
        <f t="shared" si="372"/>
        <v>472232</v>
      </c>
      <c r="BJ377" s="12">
        <f t="shared" si="373"/>
        <v>9827</v>
      </c>
      <c r="BK377" s="13">
        <f t="shared" si="374"/>
        <v>2.1251932829446041E-2</v>
      </c>
      <c r="BL377" s="24">
        <f t="shared" si="375"/>
        <v>39174.5</v>
      </c>
      <c r="BM377" s="24">
        <f t="shared" si="376"/>
        <v>39709</v>
      </c>
      <c r="BO377" s="17">
        <f t="shared" si="377"/>
        <v>477500</v>
      </c>
      <c r="BP377" s="17">
        <f t="shared" si="378"/>
        <v>5268</v>
      </c>
      <c r="BQ377" s="18">
        <f t="shared" si="379"/>
        <v>1.1155533720713651E-2</v>
      </c>
      <c r="BR377" s="25">
        <f t="shared" si="380"/>
        <v>39791.666666666664</v>
      </c>
    </row>
    <row r="378" spans="1:70">
      <c r="A378" t="s">
        <v>630</v>
      </c>
      <c r="B378">
        <v>310135</v>
      </c>
      <c r="C378" s="1">
        <v>12134</v>
      </c>
      <c r="D378" s="1">
        <v>12339</v>
      </c>
      <c r="E378" s="1">
        <v>12714</v>
      </c>
      <c r="F378" s="1">
        <v>12255</v>
      </c>
      <c r="G378" s="1">
        <v>12657</v>
      </c>
      <c r="H378" s="1">
        <v>12490</v>
      </c>
      <c r="I378" s="1">
        <v>10761</v>
      </c>
      <c r="J378" s="1">
        <v>11362</v>
      </c>
      <c r="K378" s="1">
        <v>11136</v>
      </c>
      <c r="L378" s="1">
        <v>12519</v>
      </c>
      <c r="M378" s="1">
        <v>11320</v>
      </c>
      <c r="N378" s="1">
        <v>11807</v>
      </c>
      <c r="O378" s="1">
        <v>11655</v>
      </c>
      <c r="P378" s="1">
        <v>12224</v>
      </c>
      <c r="Q378" s="1">
        <v>11496</v>
      </c>
      <c r="R378" s="1">
        <v>12342</v>
      </c>
      <c r="S378" s="1">
        <v>12541</v>
      </c>
      <c r="T378" s="1">
        <v>12236</v>
      </c>
      <c r="U378" s="1">
        <v>10974</v>
      </c>
      <c r="V378" s="1">
        <v>12102</v>
      </c>
      <c r="W378" s="1">
        <v>12160</v>
      </c>
      <c r="X378" s="1">
        <v>12213</v>
      </c>
      <c r="Y378" s="1">
        <v>12817</v>
      </c>
      <c r="Z378" s="1">
        <v>12776</v>
      </c>
      <c r="AA378" s="1">
        <v>12029</v>
      </c>
      <c r="AB378" s="1">
        <v>12089</v>
      </c>
      <c r="AC378" s="1">
        <v>12723</v>
      </c>
      <c r="AD378" s="1">
        <v>13032</v>
      </c>
      <c r="AE378" s="1">
        <v>12299</v>
      </c>
      <c r="AF378" s="1">
        <v>13336</v>
      </c>
      <c r="AG378" s="1">
        <v>10425</v>
      </c>
      <c r="AH378" s="1">
        <v>12368</v>
      </c>
      <c r="AI378" s="1">
        <v>11428</v>
      </c>
      <c r="AJ378" s="1">
        <v>12368</v>
      </c>
      <c r="AK378" s="1">
        <v>12368</v>
      </c>
      <c r="AL378" s="1">
        <v>12368</v>
      </c>
      <c r="AM378" s="1">
        <v>12804</v>
      </c>
      <c r="AN378" s="1">
        <v>12804</v>
      </c>
      <c r="AO378" s="1">
        <v>12804</v>
      </c>
      <c r="AP378" s="1">
        <v>12804</v>
      </c>
      <c r="AQ378" s="1">
        <v>12804</v>
      </c>
      <c r="AR378" s="1">
        <v>12804</v>
      </c>
      <c r="AS378" s="1">
        <v>12804</v>
      </c>
      <c r="AT378" s="1">
        <v>12804</v>
      </c>
      <c r="AU378" s="1">
        <v>12804</v>
      </c>
      <c r="AV378" s="1">
        <v>12804</v>
      </c>
      <c r="AW378" s="1">
        <v>12804</v>
      </c>
      <c r="AX378" s="1">
        <v>12838</v>
      </c>
      <c r="AY378" s="1"/>
      <c r="BA378" s="21">
        <f t="shared" si="366"/>
        <v>143494</v>
      </c>
      <c r="BB378" s="22">
        <f t="shared" si="367"/>
        <v>11957.833333333334</v>
      </c>
      <c r="BD378" s="7">
        <f t="shared" si="368"/>
        <v>145536</v>
      </c>
      <c r="BE378" s="7">
        <f t="shared" si="369"/>
        <v>2042</v>
      </c>
      <c r="BF378" s="8">
        <f t="shared" si="370"/>
        <v>1.4230560162794337E-2</v>
      </c>
      <c r="BG378" s="7">
        <f t="shared" si="371"/>
        <v>12128</v>
      </c>
      <c r="BI378" s="12">
        <f t="shared" si="372"/>
        <v>146833</v>
      </c>
      <c r="BJ378" s="12">
        <f t="shared" si="373"/>
        <v>1297</v>
      </c>
      <c r="BK378" s="13">
        <f t="shared" si="374"/>
        <v>8.9118843447668628E-3</v>
      </c>
      <c r="BL378" s="24">
        <f t="shared" si="375"/>
        <v>12287.625</v>
      </c>
      <c r="BM378" s="24">
        <f t="shared" si="376"/>
        <v>12133</v>
      </c>
      <c r="BO378" s="17">
        <f t="shared" si="377"/>
        <v>153682</v>
      </c>
      <c r="BP378" s="17">
        <f t="shared" si="378"/>
        <v>6849</v>
      </c>
      <c r="BQ378" s="18">
        <f t="shared" si="379"/>
        <v>4.6644827797565958E-2</v>
      </c>
      <c r="BR378" s="25">
        <f t="shared" si="380"/>
        <v>12806.833333333334</v>
      </c>
    </row>
    <row r="379" spans="1:70">
      <c r="A379" t="s">
        <v>631</v>
      </c>
      <c r="B379">
        <v>310140</v>
      </c>
      <c r="C379" s="1">
        <v>5098</v>
      </c>
      <c r="D379" s="1">
        <v>9038</v>
      </c>
      <c r="E379" s="1">
        <v>7734</v>
      </c>
      <c r="F379" s="1">
        <v>7089</v>
      </c>
      <c r="G379" s="1">
        <v>6739</v>
      </c>
      <c r="H379" s="1">
        <v>5897</v>
      </c>
      <c r="I379" s="1">
        <v>5790</v>
      </c>
      <c r="J379" s="1">
        <v>5637</v>
      </c>
      <c r="K379" s="1">
        <v>5134</v>
      </c>
      <c r="L379" s="1">
        <v>5014</v>
      </c>
      <c r="M379" s="1">
        <v>4734</v>
      </c>
      <c r="N379" s="1">
        <v>5579</v>
      </c>
      <c r="O379" s="1">
        <v>5673</v>
      </c>
      <c r="P379" s="1">
        <v>5961</v>
      </c>
      <c r="Q379" s="1">
        <v>5417</v>
      </c>
      <c r="R379" s="1">
        <v>5811</v>
      </c>
      <c r="S379" s="1">
        <v>5364</v>
      </c>
      <c r="T379" s="1">
        <v>5327</v>
      </c>
      <c r="U379" s="1">
        <v>5258</v>
      </c>
      <c r="V379" s="1">
        <v>4631</v>
      </c>
      <c r="W379" s="1">
        <v>4690</v>
      </c>
      <c r="X379" s="1">
        <v>4753</v>
      </c>
      <c r="Y379" s="1">
        <v>4661</v>
      </c>
      <c r="Z379" s="1">
        <v>5011</v>
      </c>
      <c r="AA379" s="1">
        <v>6369</v>
      </c>
      <c r="AB379" s="1">
        <v>6136</v>
      </c>
      <c r="AC379" s="1">
        <v>6324</v>
      </c>
      <c r="AD379" s="1">
        <v>6196</v>
      </c>
      <c r="AE379" s="1">
        <v>5567</v>
      </c>
      <c r="AF379" s="1">
        <v>5345</v>
      </c>
      <c r="AG379" s="1">
        <v>5575</v>
      </c>
      <c r="AH379" s="1">
        <v>4565</v>
      </c>
      <c r="AI379" s="1">
        <v>4362</v>
      </c>
      <c r="AJ379" s="1">
        <v>4577</v>
      </c>
      <c r="AK379" s="1">
        <v>4577</v>
      </c>
      <c r="AL379" s="1">
        <v>4579</v>
      </c>
      <c r="AM379" s="1">
        <v>6347</v>
      </c>
      <c r="AN379" s="1">
        <v>6089</v>
      </c>
      <c r="AO379" s="1">
        <v>6342</v>
      </c>
      <c r="AP379" s="1">
        <v>6223</v>
      </c>
      <c r="AQ379" s="1">
        <v>5555</v>
      </c>
      <c r="AR379" s="1">
        <v>5385</v>
      </c>
      <c r="AS379" s="1">
        <v>5579</v>
      </c>
      <c r="AT379" s="1">
        <v>4832</v>
      </c>
      <c r="AU379" s="1">
        <v>4833</v>
      </c>
      <c r="AV379" s="1">
        <v>4837</v>
      </c>
      <c r="AW379" s="1">
        <v>4838</v>
      </c>
      <c r="AX379" s="1">
        <v>4845</v>
      </c>
      <c r="AY379" s="1"/>
      <c r="BA379" s="21">
        <f t="shared" si="366"/>
        <v>73483</v>
      </c>
      <c r="BB379" s="22">
        <f t="shared" si="367"/>
        <v>6123.583333333333</v>
      </c>
      <c r="BD379" s="7">
        <f t="shared" si="368"/>
        <v>62557</v>
      </c>
      <c r="BE379" s="7">
        <f t="shared" si="369"/>
        <v>-10926</v>
      </c>
      <c r="BF379" s="8">
        <f t="shared" si="370"/>
        <v>-0.14868745151939899</v>
      </c>
      <c r="BG379" s="7">
        <f t="shared" si="371"/>
        <v>5213.083333333333</v>
      </c>
      <c r="BI379" s="12">
        <f t="shared" si="372"/>
        <v>64172</v>
      </c>
      <c r="BJ379" s="12">
        <f t="shared" si="373"/>
        <v>1615</v>
      </c>
      <c r="BK379" s="13">
        <f t="shared" si="374"/>
        <v>2.5816455392681847E-2</v>
      </c>
      <c r="BL379" s="24">
        <f t="shared" si="375"/>
        <v>5759.625</v>
      </c>
      <c r="BM379" s="24">
        <f t="shared" si="376"/>
        <v>4523.75</v>
      </c>
      <c r="BO379" s="17">
        <f t="shared" si="377"/>
        <v>65705</v>
      </c>
      <c r="BP379" s="17">
        <f t="shared" si="378"/>
        <v>1533</v>
      </c>
      <c r="BQ379" s="18">
        <f t="shared" si="379"/>
        <v>2.388892351804528E-2</v>
      </c>
      <c r="BR379" s="25">
        <f t="shared" si="380"/>
        <v>5475.416666666667</v>
      </c>
    </row>
    <row r="380" spans="1:70">
      <c r="A380" t="s">
        <v>632</v>
      </c>
      <c r="B380">
        <v>310145</v>
      </c>
      <c r="C380" s="1">
        <v>15495</v>
      </c>
      <c r="D380" s="1">
        <v>15486</v>
      </c>
      <c r="E380" s="1">
        <v>16129</v>
      </c>
      <c r="F380" s="1">
        <v>16224</v>
      </c>
      <c r="G380" s="1">
        <v>16107</v>
      </c>
      <c r="H380" s="1">
        <v>16447</v>
      </c>
      <c r="I380" s="1">
        <v>16395</v>
      </c>
      <c r="J380" s="1">
        <v>16572</v>
      </c>
      <c r="K380" s="1">
        <v>15431</v>
      </c>
      <c r="L380" s="1">
        <v>15544</v>
      </c>
      <c r="M380" s="1">
        <v>15960</v>
      </c>
      <c r="N380" s="1">
        <v>16314</v>
      </c>
      <c r="O380" s="1">
        <v>15964</v>
      </c>
      <c r="P380" s="1">
        <v>16116</v>
      </c>
      <c r="Q380" s="1">
        <v>16749</v>
      </c>
      <c r="R380" s="1">
        <v>16739</v>
      </c>
      <c r="S380" s="1">
        <v>17182</v>
      </c>
      <c r="T380" s="1">
        <v>17577</v>
      </c>
      <c r="U380" s="1">
        <v>17788</v>
      </c>
      <c r="V380" s="1">
        <v>14504</v>
      </c>
      <c r="W380" s="1">
        <v>15154</v>
      </c>
      <c r="X380" s="1">
        <v>15347</v>
      </c>
      <c r="Y380" s="1">
        <v>17305</v>
      </c>
      <c r="Z380" s="1">
        <v>16949</v>
      </c>
      <c r="AA380" s="1">
        <v>16524</v>
      </c>
      <c r="AB380" s="1">
        <v>16563</v>
      </c>
      <c r="AC380" s="1">
        <v>16797</v>
      </c>
      <c r="AD380" s="1">
        <v>16897</v>
      </c>
      <c r="AE380" s="1">
        <v>16969</v>
      </c>
      <c r="AF380" s="1">
        <v>17055</v>
      </c>
      <c r="AG380" s="1">
        <v>16972</v>
      </c>
      <c r="AH380" s="1">
        <v>15397</v>
      </c>
      <c r="AI380" s="1">
        <v>13001</v>
      </c>
      <c r="AJ380" s="1">
        <v>15436</v>
      </c>
      <c r="AK380" s="1">
        <v>15597</v>
      </c>
      <c r="AL380" s="1">
        <v>15707</v>
      </c>
      <c r="AM380" s="1">
        <v>16876</v>
      </c>
      <c r="AN380" s="1">
        <v>17007</v>
      </c>
      <c r="AO380" s="1">
        <v>16955</v>
      </c>
      <c r="AP380" s="1">
        <v>16618</v>
      </c>
      <c r="AQ380" s="1">
        <v>16618</v>
      </c>
      <c r="AR380" s="1">
        <v>16618</v>
      </c>
      <c r="AS380" s="1">
        <v>16618</v>
      </c>
      <c r="AT380" s="1">
        <v>16618</v>
      </c>
      <c r="AU380" s="1">
        <v>9879</v>
      </c>
      <c r="AV380" s="1">
        <v>9879</v>
      </c>
      <c r="AW380" s="1">
        <v>9879</v>
      </c>
      <c r="AX380" s="1">
        <v>9880</v>
      </c>
      <c r="AY380" s="1"/>
      <c r="BA380" s="21">
        <f t="shared" si="366"/>
        <v>192104</v>
      </c>
      <c r="BB380" s="22">
        <f t="shared" si="367"/>
        <v>16008.666666666666</v>
      </c>
      <c r="BD380" s="7">
        <f t="shared" si="368"/>
        <v>197374</v>
      </c>
      <c r="BE380" s="7">
        <f t="shared" si="369"/>
        <v>5270</v>
      </c>
      <c r="BF380" s="8">
        <f t="shared" si="370"/>
        <v>2.7433057094073954E-2</v>
      </c>
      <c r="BG380" s="7">
        <f t="shared" si="371"/>
        <v>16447.833333333332</v>
      </c>
      <c r="BI380" s="12">
        <f t="shared" si="372"/>
        <v>192915</v>
      </c>
      <c r="BJ380" s="12">
        <f t="shared" si="373"/>
        <v>-4459</v>
      </c>
      <c r="BK380" s="13">
        <f t="shared" si="374"/>
        <v>-2.2591628076646386E-2</v>
      </c>
      <c r="BL380" s="24">
        <f t="shared" si="375"/>
        <v>16646.75</v>
      </c>
      <c r="BM380" s="24">
        <f t="shared" si="376"/>
        <v>14935.25</v>
      </c>
      <c r="BO380" s="17">
        <f t="shared" si="377"/>
        <v>173445</v>
      </c>
      <c r="BP380" s="17">
        <f t="shared" si="378"/>
        <v>-19470</v>
      </c>
      <c r="BQ380" s="18">
        <f t="shared" si="379"/>
        <v>-0.10092527797216388</v>
      </c>
      <c r="BR380" s="25">
        <f t="shared" si="380"/>
        <v>14453.75</v>
      </c>
    </row>
    <row r="381" spans="1:70">
      <c r="A381" t="s">
        <v>633</v>
      </c>
      <c r="B381">
        <v>310155</v>
      </c>
      <c r="C381" s="1">
        <v>0</v>
      </c>
      <c r="D381" s="1">
        <v>0</v>
      </c>
      <c r="E381" s="1">
        <v>0</v>
      </c>
      <c r="F381" s="1">
        <v>0</v>
      </c>
      <c r="G381" s="1">
        <v>870</v>
      </c>
      <c r="H381" s="1">
        <v>801</v>
      </c>
      <c r="I381" s="1">
        <v>216</v>
      </c>
      <c r="J381" s="1">
        <v>162</v>
      </c>
      <c r="K381" s="1">
        <v>150</v>
      </c>
      <c r="L381" s="1">
        <v>0</v>
      </c>
      <c r="M381" s="1">
        <v>0</v>
      </c>
      <c r="N381" s="1">
        <v>0</v>
      </c>
      <c r="O381" s="1">
        <v>87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447</v>
      </c>
      <c r="V381" s="1">
        <v>0</v>
      </c>
      <c r="W381" s="1">
        <v>0</v>
      </c>
      <c r="X381" s="1">
        <v>762</v>
      </c>
      <c r="Y381" s="1">
        <v>414</v>
      </c>
      <c r="Z381" s="1">
        <v>1275</v>
      </c>
      <c r="AA381" s="1">
        <v>0</v>
      </c>
      <c r="AB381" s="1">
        <v>760</v>
      </c>
      <c r="AC381" s="1">
        <v>0</v>
      </c>
      <c r="AD381" s="1">
        <v>781</v>
      </c>
      <c r="AE381" s="1">
        <v>435</v>
      </c>
      <c r="AF381" s="1">
        <v>348</v>
      </c>
      <c r="AG381" s="1">
        <v>440</v>
      </c>
      <c r="AH381" s="1">
        <v>0</v>
      </c>
      <c r="AI381" s="1">
        <v>165</v>
      </c>
      <c r="AJ381" s="1">
        <v>350</v>
      </c>
      <c r="AK381" s="1">
        <v>350</v>
      </c>
      <c r="AL381" s="1">
        <v>350</v>
      </c>
      <c r="AM381" s="1">
        <v>350</v>
      </c>
      <c r="AN381" s="1">
        <v>350</v>
      </c>
      <c r="AO381" s="1">
        <v>350</v>
      </c>
      <c r="AP381" s="1">
        <v>350</v>
      </c>
      <c r="AQ381" s="1">
        <v>350</v>
      </c>
      <c r="AR381" s="1">
        <v>350</v>
      </c>
      <c r="AS381" s="1">
        <v>350</v>
      </c>
      <c r="AT381" s="1">
        <v>350</v>
      </c>
      <c r="AU381" s="1">
        <v>350</v>
      </c>
      <c r="AV381" s="1">
        <v>350</v>
      </c>
      <c r="AW381" s="1">
        <v>350</v>
      </c>
      <c r="AX381" s="1">
        <v>350</v>
      </c>
      <c r="AY381" s="1"/>
      <c r="BA381" s="21">
        <f t="shared" si="366"/>
        <v>2199</v>
      </c>
      <c r="BB381" s="22">
        <f t="shared" si="367"/>
        <v>183.25</v>
      </c>
      <c r="BD381" s="7">
        <f t="shared" si="368"/>
        <v>2985</v>
      </c>
      <c r="BE381" s="7">
        <f t="shared" si="369"/>
        <v>786</v>
      </c>
      <c r="BF381" s="8">
        <f t="shared" si="370"/>
        <v>0.35743519781718969</v>
      </c>
      <c r="BG381" s="7">
        <f t="shared" si="371"/>
        <v>248.75</v>
      </c>
      <c r="BI381" s="12">
        <f t="shared" si="372"/>
        <v>3979</v>
      </c>
      <c r="BJ381" s="12">
        <f t="shared" si="373"/>
        <v>994</v>
      </c>
      <c r="BK381" s="13">
        <f t="shared" si="374"/>
        <v>0.33299832495812387</v>
      </c>
      <c r="BL381" s="24">
        <f t="shared" si="375"/>
        <v>345.5</v>
      </c>
      <c r="BM381" s="24">
        <f t="shared" si="376"/>
        <v>303.75</v>
      </c>
      <c r="BO381" s="17">
        <f t="shared" si="377"/>
        <v>4200</v>
      </c>
      <c r="BP381" s="17">
        <f t="shared" si="378"/>
        <v>221</v>
      </c>
      <c r="BQ381" s="18">
        <f t="shared" si="379"/>
        <v>5.5541593365167063E-2</v>
      </c>
      <c r="BR381" s="25">
        <f t="shared" si="380"/>
        <v>350</v>
      </c>
    </row>
    <row r="382" spans="1:70">
      <c r="A382" t="s">
        <v>634</v>
      </c>
      <c r="B382">
        <v>310156</v>
      </c>
      <c r="C382" s="1">
        <v>300</v>
      </c>
      <c r="D382" s="1">
        <v>400</v>
      </c>
      <c r="E382" s="1">
        <v>370</v>
      </c>
      <c r="F382" s="1">
        <v>205</v>
      </c>
      <c r="G382" s="1">
        <v>100</v>
      </c>
      <c r="H382" s="1">
        <v>125</v>
      </c>
      <c r="I382" s="1">
        <v>109</v>
      </c>
      <c r="J382" s="1">
        <v>186</v>
      </c>
      <c r="K382" s="1">
        <v>25</v>
      </c>
      <c r="L382" s="1">
        <v>115</v>
      </c>
      <c r="M382" s="1">
        <v>155</v>
      </c>
      <c r="N382" s="1">
        <v>349</v>
      </c>
      <c r="O382" s="1">
        <v>123</v>
      </c>
      <c r="P382" s="1">
        <v>74</v>
      </c>
      <c r="Q382" s="1">
        <v>39</v>
      </c>
      <c r="R382" s="1">
        <v>109</v>
      </c>
      <c r="S382" s="1">
        <v>73</v>
      </c>
      <c r="T382" s="1">
        <v>-3</v>
      </c>
      <c r="U382" s="1">
        <v>22</v>
      </c>
      <c r="V382" s="1">
        <v>125</v>
      </c>
      <c r="W382" s="1">
        <v>7</v>
      </c>
      <c r="X382" s="1">
        <v>35</v>
      </c>
      <c r="Y382" s="1">
        <v>76</v>
      </c>
      <c r="Z382" s="1">
        <v>121</v>
      </c>
      <c r="AA382" s="1">
        <v>147</v>
      </c>
      <c r="AB382" s="1">
        <v>-16</v>
      </c>
      <c r="AC382" s="1">
        <v>46</v>
      </c>
      <c r="AD382" s="1">
        <v>50</v>
      </c>
      <c r="AE382" s="1">
        <v>-19</v>
      </c>
      <c r="AF382" s="1">
        <v>49</v>
      </c>
      <c r="AG382" s="1">
        <v>-21</v>
      </c>
      <c r="AH382" s="1">
        <v>125</v>
      </c>
      <c r="AI382" s="1">
        <v>-244</v>
      </c>
      <c r="AJ382" s="1">
        <v>-15</v>
      </c>
      <c r="AK382" s="1">
        <v>75</v>
      </c>
      <c r="AL382" s="1">
        <v>75</v>
      </c>
      <c r="AM382" s="1">
        <v>147</v>
      </c>
      <c r="AN382" s="1">
        <v>-16</v>
      </c>
      <c r="AO382" s="1">
        <v>74</v>
      </c>
      <c r="AP382" s="1">
        <v>50</v>
      </c>
      <c r="AQ382" s="1">
        <v>-19</v>
      </c>
      <c r="AR382" s="1">
        <v>49</v>
      </c>
      <c r="AS382" s="1">
        <v>-21</v>
      </c>
      <c r="AT382" s="1">
        <v>125</v>
      </c>
      <c r="AU382" s="1">
        <v>75</v>
      </c>
      <c r="AV382" s="1">
        <v>-15</v>
      </c>
      <c r="AW382" s="1">
        <v>75</v>
      </c>
      <c r="AX382" s="1">
        <v>75</v>
      </c>
      <c r="AY382" s="1"/>
      <c r="BA382" s="21">
        <f t="shared" si="366"/>
        <v>2439</v>
      </c>
      <c r="BB382" s="22">
        <f t="shared" si="367"/>
        <v>203.25</v>
      </c>
      <c r="BD382" s="7">
        <f t="shared" si="368"/>
        <v>801</v>
      </c>
      <c r="BE382" s="7">
        <f t="shared" si="369"/>
        <v>-1638</v>
      </c>
      <c r="BF382" s="8">
        <f t="shared" si="370"/>
        <v>-0.67158671586715868</v>
      </c>
      <c r="BG382" s="7">
        <f t="shared" si="371"/>
        <v>66.75</v>
      </c>
      <c r="BI382" s="12">
        <f t="shared" si="372"/>
        <v>252</v>
      </c>
      <c r="BJ382" s="12">
        <f t="shared" si="373"/>
        <v>-549</v>
      </c>
      <c r="BK382" s="13">
        <f t="shared" si="374"/>
        <v>-0.6853932584269663</v>
      </c>
      <c r="BL382" s="24">
        <f t="shared" si="375"/>
        <v>45.125</v>
      </c>
      <c r="BM382" s="24">
        <f t="shared" si="376"/>
        <v>-27.25</v>
      </c>
      <c r="BO382" s="17">
        <f t="shared" si="377"/>
        <v>599</v>
      </c>
      <c r="BP382" s="17">
        <f t="shared" si="378"/>
        <v>347</v>
      </c>
      <c r="BQ382" s="18">
        <f t="shared" si="379"/>
        <v>1.376984126984127</v>
      </c>
      <c r="BR382" s="25">
        <f t="shared" si="380"/>
        <v>49.916666666666664</v>
      </c>
    </row>
    <row r="383" spans="1:70">
      <c r="A383" t="s">
        <v>635</v>
      </c>
      <c r="B383">
        <v>310160</v>
      </c>
      <c r="C383" s="1">
        <v>100</v>
      </c>
      <c r="D383" s="1">
        <v>0</v>
      </c>
      <c r="E383" s="1">
        <v>0</v>
      </c>
      <c r="F383" s="1">
        <v>20</v>
      </c>
      <c r="G383" s="1">
        <v>60</v>
      </c>
      <c r="H383" s="1">
        <v>20</v>
      </c>
      <c r="I383" s="1">
        <v>20</v>
      </c>
      <c r="J383" s="1">
        <v>0</v>
      </c>
      <c r="K383" s="1">
        <v>0</v>
      </c>
      <c r="L383" s="1">
        <v>0</v>
      </c>
      <c r="M383" s="1">
        <v>60</v>
      </c>
      <c r="N383" s="1">
        <v>40</v>
      </c>
      <c r="O383" s="1">
        <v>20</v>
      </c>
      <c r="P383" s="1">
        <v>80</v>
      </c>
      <c r="Q383" s="1">
        <v>0</v>
      </c>
      <c r="R383" s="1">
        <v>20</v>
      </c>
      <c r="S383" s="1">
        <v>0</v>
      </c>
      <c r="T383" s="1">
        <v>75</v>
      </c>
      <c r="U383" s="1">
        <v>170</v>
      </c>
      <c r="V383" s="1">
        <v>75</v>
      </c>
      <c r="W383" s="1">
        <v>40</v>
      </c>
      <c r="X383" s="1">
        <v>95</v>
      </c>
      <c r="Y383" s="1">
        <v>115</v>
      </c>
      <c r="Z383" s="1">
        <v>170</v>
      </c>
      <c r="AA383" s="1">
        <v>20</v>
      </c>
      <c r="AB383" s="1">
        <v>170</v>
      </c>
      <c r="AC383" s="1">
        <v>265</v>
      </c>
      <c r="AD383" s="1">
        <v>320</v>
      </c>
      <c r="AE383" s="1">
        <v>0</v>
      </c>
      <c r="AF383" s="1">
        <v>75</v>
      </c>
      <c r="AG383" s="1">
        <v>150</v>
      </c>
      <c r="AH383" s="1">
        <v>60</v>
      </c>
      <c r="AI383" s="1">
        <v>20</v>
      </c>
      <c r="AJ383" s="1">
        <v>75</v>
      </c>
      <c r="AK383" s="1">
        <v>75</v>
      </c>
      <c r="AL383" s="1">
        <v>75</v>
      </c>
      <c r="AM383" s="1">
        <v>100</v>
      </c>
      <c r="AN383" s="1">
        <v>100</v>
      </c>
      <c r="AO383" s="1">
        <v>100</v>
      </c>
      <c r="AP383" s="1">
        <v>100</v>
      </c>
      <c r="AQ383" s="1">
        <v>100</v>
      </c>
      <c r="AR383" s="1">
        <v>100</v>
      </c>
      <c r="AS383" s="1">
        <v>100</v>
      </c>
      <c r="AT383" s="1">
        <v>100</v>
      </c>
      <c r="AU383" s="1">
        <v>100</v>
      </c>
      <c r="AV383" s="1">
        <v>100</v>
      </c>
      <c r="AW383" s="1">
        <v>100</v>
      </c>
      <c r="AX383" s="1">
        <v>100</v>
      </c>
      <c r="AY383" s="1"/>
      <c r="BA383" s="21">
        <f t="shared" si="366"/>
        <v>320</v>
      </c>
      <c r="BB383" s="22">
        <f t="shared" si="367"/>
        <v>26.666666666666668</v>
      </c>
      <c r="BD383" s="7">
        <f t="shared" si="368"/>
        <v>860</v>
      </c>
      <c r="BE383" s="7">
        <f t="shared" si="369"/>
        <v>540</v>
      </c>
      <c r="BF383" s="8">
        <f t="shared" si="370"/>
        <v>1.6875</v>
      </c>
      <c r="BG383" s="7">
        <f t="shared" si="371"/>
        <v>71.666666666666671</v>
      </c>
      <c r="BI383" s="12">
        <f t="shared" si="372"/>
        <v>1305</v>
      </c>
      <c r="BJ383" s="12">
        <f t="shared" si="373"/>
        <v>445</v>
      </c>
      <c r="BK383" s="13">
        <f t="shared" si="374"/>
        <v>0.51744186046511631</v>
      </c>
      <c r="BL383" s="24">
        <f t="shared" si="375"/>
        <v>132.5</v>
      </c>
      <c r="BM383" s="24">
        <f t="shared" si="376"/>
        <v>61.25</v>
      </c>
      <c r="BO383" s="17">
        <f t="shared" si="377"/>
        <v>1200</v>
      </c>
      <c r="BP383" s="17">
        <f t="shared" si="378"/>
        <v>-105</v>
      </c>
      <c r="BQ383" s="18">
        <f t="shared" si="379"/>
        <v>-8.0459770114942541E-2</v>
      </c>
      <c r="BR383" s="25">
        <f t="shared" si="380"/>
        <v>100</v>
      </c>
    </row>
    <row r="384" spans="1:70">
      <c r="A384" t="s">
        <v>636</v>
      </c>
      <c r="B384">
        <v>310161</v>
      </c>
      <c r="C384" s="1">
        <v>84812</v>
      </c>
      <c r="D384" s="1">
        <v>55146</v>
      </c>
      <c r="E384" s="1">
        <v>52611</v>
      </c>
      <c r="F384" s="1">
        <v>76043</v>
      </c>
      <c r="G384" s="1">
        <v>50176</v>
      </c>
      <c r="H384" s="1">
        <v>50040</v>
      </c>
      <c r="I384" s="1">
        <v>72533</v>
      </c>
      <c r="J384" s="1">
        <v>49070</v>
      </c>
      <c r="K384" s="1">
        <v>48644</v>
      </c>
      <c r="L384" s="1">
        <v>69417</v>
      </c>
      <c r="M384" s="1">
        <v>47011</v>
      </c>
      <c r="N384" s="1">
        <v>46707</v>
      </c>
      <c r="O384" s="1">
        <v>66675</v>
      </c>
      <c r="P384" s="1">
        <v>45548</v>
      </c>
      <c r="Q384" s="1">
        <v>44690</v>
      </c>
      <c r="R384" s="1">
        <v>63197</v>
      </c>
      <c r="S384" s="1">
        <v>42831</v>
      </c>
      <c r="T384" s="1">
        <v>42583</v>
      </c>
      <c r="U384" s="1">
        <v>60819</v>
      </c>
      <c r="V384" s="1">
        <v>42596</v>
      </c>
      <c r="W384" s="1">
        <v>41578</v>
      </c>
      <c r="X384" s="1">
        <v>60695</v>
      </c>
      <c r="Y384" s="1">
        <v>41681</v>
      </c>
      <c r="Z384" s="1">
        <v>40320</v>
      </c>
      <c r="AA384" s="1">
        <v>57327</v>
      </c>
      <c r="AB384" s="1">
        <v>40663</v>
      </c>
      <c r="AC384" s="1">
        <v>40521</v>
      </c>
      <c r="AD384" s="1">
        <v>57268</v>
      </c>
      <c r="AE384" s="1">
        <v>40159</v>
      </c>
      <c r="AF384" s="1">
        <v>39277</v>
      </c>
      <c r="AG384" s="1">
        <v>56958</v>
      </c>
      <c r="AH384" s="1">
        <v>39395</v>
      </c>
      <c r="AI384" s="1">
        <v>38336</v>
      </c>
      <c r="AJ384" s="1">
        <v>49529</v>
      </c>
      <c r="AK384" s="1">
        <v>39053</v>
      </c>
      <c r="AL384" s="1">
        <v>39054</v>
      </c>
      <c r="AM384" s="1">
        <v>52437</v>
      </c>
      <c r="AN384" s="1">
        <v>44549</v>
      </c>
      <c r="AO384" s="1">
        <v>44298</v>
      </c>
      <c r="AP384" s="1">
        <v>51447</v>
      </c>
      <c r="AQ384" s="1">
        <v>43695</v>
      </c>
      <c r="AR384" s="1">
        <v>42855</v>
      </c>
      <c r="AS384" s="1">
        <v>50425</v>
      </c>
      <c r="AT384" s="1">
        <v>42817</v>
      </c>
      <c r="AU384" s="1">
        <v>42848</v>
      </c>
      <c r="AV384" s="1">
        <v>42877</v>
      </c>
      <c r="AW384" s="1">
        <v>42911</v>
      </c>
      <c r="AX384" s="1">
        <v>42952</v>
      </c>
      <c r="AY384" s="1"/>
      <c r="BA384" s="21">
        <f t="shared" si="366"/>
        <v>702210</v>
      </c>
      <c r="BB384" s="22">
        <f t="shared" si="367"/>
        <v>58517.5</v>
      </c>
      <c r="BD384" s="7">
        <f t="shared" si="368"/>
        <v>593213</v>
      </c>
      <c r="BE384" s="7">
        <f t="shared" si="369"/>
        <v>-108997</v>
      </c>
      <c r="BF384" s="8">
        <f t="shared" si="370"/>
        <v>-0.15521994844846987</v>
      </c>
      <c r="BG384" s="7">
        <f t="shared" si="371"/>
        <v>49434.416666666664</v>
      </c>
      <c r="BI384" s="12">
        <f t="shared" si="372"/>
        <v>537540</v>
      </c>
      <c r="BJ384" s="12">
        <f t="shared" si="373"/>
        <v>-55673</v>
      </c>
      <c r="BK384" s="13">
        <f t="shared" si="374"/>
        <v>-9.3849932486307575E-2</v>
      </c>
      <c r="BL384" s="24">
        <f t="shared" si="375"/>
        <v>46446</v>
      </c>
      <c r="BM384" s="24">
        <f t="shared" si="376"/>
        <v>41493</v>
      </c>
      <c r="BO384" s="17">
        <f t="shared" si="377"/>
        <v>544111</v>
      </c>
      <c r="BP384" s="17">
        <f t="shared" si="378"/>
        <v>6571</v>
      </c>
      <c r="BQ384" s="18">
        <f t="shared" si="379"/>
        <v>1.2224206570673912E-2</v>
      </c>
      <c r="BR384" s="25">
        <f t="shared" si="380"/>
        <v>45342.583333333336</v>
      </c>
    </row>
    <row r="385" spans="1:70">
      <c r="A385" t="s">
        <v>637</v>
      </c>
      <c r="B385">
        <v>310165</v>
      </c>
      <c r="C385" s="1">
        <v>250</v>
      </c>
      <c r="D385" s="1">
        <v>125</v>
      </c>
      <c r="E385" s="1">
        <v>125</v>
      </c>
      <c r="F385" s="1">
        <v>150</v>
      </c>
      <c r="G385" s="1">
        <v>150</v>
      </c>
      <c r="H385" s="1">
        <v>100</v>
      </c>
      <c r="I385" s="1">
        <v>75</v>
      </c>
      <c r="J385" s="1">
        <v>100</v>
      </c>
      <c r="K385" s="1">
        <v>75</v>
      </c>
      <c r="L385" s="1">
        <v>125</v>
      </c>
      <c r="M385" s="1">
        <v>50</v>
      </c>
      <c r="N385" s="1">
        <v>25</v>
      </c>
      <c r="O385" s="1">
        <v>75</v>
      </c>
      <c r="P385" s="1">
        <v>100</v>
      </c>
      <c r="Q385" s="1">
        <v>100</v>
      </c>
      <c r="R385" s="1">
        <v>150</v>
      </c>
      <c r="S385" s="1">
        <v>150</v>
      </c>
      <c r="T385" s="1">
        <v>75</v>
      </c>
      <c r="U385" s="1">
        <v>75</v>
      </c>
      <c r="V385" s="1">
        <v>0</v>
      </c>
      <c r="W385" s="1">
        <v>25</v>
      </c>
      <c r="X385" s="1">
        <v>25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/>
      <c r="BA385" s="21">
        <f t="shared" si="366"/>
        <v>1350</v>
      </c>
      <c r="BB385" s="22">
        <f t="shared" si="367"/>
        <v>112.5</v>
      </c>
      <c r="BD385" s="7">
        <f t="shared" si="368"/>
        <v>775</v>
      </c>
      <c r="BE385" s="7">
        <f t="shared" si="369"/>
        <v>-575</v>
      </c>
      <c r="BF385" s="8">
        <f t="shared" si="370"/>
        <v>-0.42592592592592593</v>
      </c>
      <c r="BG385" s="7">
        <f t="shared" si="371"/>
        <v>64.583333333333329</v>
      </c>
      <c r="BI385" s="12">
        <f t="shared" si="372"/>
        <v>0</v>
      </c>
      <c r="BJ385" s="12">
        <f t="shared" si="373"/>
        <v>-775</v>
      </c>
      <c r="BK385" s="13">
        <f t="shared" si="374"/>
        <v>-1</v>
      </c>
      <c r="BL385" s="24">
        <f t="shared" si="375"/>
        <v>0</v>
      </c>
      <c r="BM385" s="24">
        <f t="shared" si="376"/>
        <v>0</v>
      </c>
      <c r="BO385" s="17">
        <f t="shared" si="377"/>
        <v>0</v>
      </c>
      <c r="BP385" s="17">
        <f t="shared" si="378"/>
        <v>0</v>
      </c>
      <c r="BQ385" s="18" t="e">
        <f t="shared" si="379"/>
        <v>#DIV/0!</v>
      </c>
      <c r="BR385" s="25">
        <f t="shared" si="380"/>
        <v>0</v>
      </c>
    </row>
    <row r="386" spans="1:70">
      <c r="A386" t="s">
        <v>638</v>
      </c>
      <c r="B386">
        <v>310170</v>
      </c>
      <c r="C386" s="1">
        <v>1190</v>
      </c>
      <c r="D386" s="1">
        <v>1185</v>
      </c>
      <c r="E386" s="1">
        <v>1220</v>
      </c>
      <c r="F386" s="1">
        <v>1090</v>
      </c>
      <c r="G386" s="1">
        <v>1190</v>
      </c>
      <c r="H386" s="1">
        <v>1250</v>
      </c>
      <c r="I386" s="1">
        <v>870</v>
      </c>
      <c r="J386" s="1">
        <v>945</v>
      </c>
      <c r="K386" s="1">
        <v>860</v>
      </c>
      <c r="L386" s="1">
        <v>940</v>
      </c>
      <c r="M386" s="1">
        <v>950</v>
      </c>
      <c r="N386" s="1">
        <v>965</v>
      </c>
      <c r="O386" s="1">
        <v>1055</v>
      </c>
      <c r="P386" s="1">
        <v>980</v>
      </c>
      <c r="Q386" s="1">
        <v>1140</v>
      </c>
      <c r="R386" s="1">
        <v>1260</v>
      </c>
      <c r="S386" s="1">
        <v>1115</v>
      </c>
      <c r="T386" s="1">
        <v>940</v>
      </c>
      <c r="U386" s="1">
        <v>960</v>
      </c>
      <c r="V386" s="1">
        <v>1100</v>
      </c>
      <c r="W386" s="1">
        <v>890</v>
      </c>
      <c r="X386" s="1">
        <v>1085</v>
      </c>
      <c r="Y386" s="1">
        <v>720</v>
      </c>
      <c r="Z386" s="1">
        <v>850</v>
      </c>
      <c r="AA386" s="1">
        <v>1005</v>
      </c>
      <c r="AB386" s="1">
        <v>945</v>
      </c>
      <c r="AC386" s="1">
        <v>1040</v>
      </c>
      <c r="AD386" s="1">
        <v>1190</v>
      </c>
      <c r="AE386" s="1">
        <v>960</v>
      </c>
      <c r="AF386" s="1">
        <v>950</v>
      </c>
      <c r="AG386" s="1">
        <v>860</v>
      </c>
      <c r="AH386" s="1">
        <v>850</v>
      </c>
      <c r="AI386" s="1">
        <v>785</v>
      </c>
      <c r="AJ386" s="1">
        <v>850</v>
      </c>
      <c r="AK386" s="1">
        <v>850</v>
      </c>
      <c r="AL386" s="1">
        <v>851</v>
      </c>
      <c r="AM386" s="1">
        <v>1015</v>
      </c>
      <c r="AN386" s="1">
        <v>953</v>
      </c>
      <c r="AO386" s="1">
        <v>1050</v>
      </c>
      <c r="AP386" s="1">
        <v>1207</v>
      </c>
      <c r="AQ386" s="1">
        <v>971</v>
      </c>
      <c r="AR386" s="1">
        <v>958</v>
      </c>
      <c r="AS386" s="1">
        <v>867</v>
      </c>
      <c r="AT386" s="1">
        <v>858</v>
      </c>
      <c r="AU386" s="1">
        <v>858</v>
      </c>
      <c r="AV386" s="1">
        <v>859</v>
      </c>
      <c r="AW386" s="1">
        <v>860</v>
      </c>
      <c r="AX386" s="1">
        <v>860</v>
      </c>
      <c r="AY386" s="1"/>
      <c r="BA386" s="21">
        <f t="shared" si="366"/>
        <v>12655</v>
      </c>
      <c r="BB386" s="22">
        <f t="shared" si="367"/>
        <v>1054.5833333333333</v>
      </c>
      <c r="BD386" s="7">
        <f t="shared" si="368"/>
        <v>12095</v>
      </c>
      <c r="BE386" s="7">
        <f t="shared" si="369"/>
        <v>-560</v>
      </c>
      <c r="BF386" s="8">
        <f t="shared" si="370"/>
        <v>-4.4251284077439723E-2</v>
      </c>
      <c r="BG386" s="7">
        <f t="shared" si="371"/>
        <v>1007.9166666666666</v>
      </c>
      <c r="BI386" s="12">
        <f t="shared" si="372"/>
        <v>11136</v>
      </c>
      <c r="BJ386" s="12">
        <f t="shared" si="373"/>
        <v>-959</v>
      </c>
      <c r="BK386" s="13">
        <f t="shared" si="374"/>
        <v>-7.9288962381149242E-2</v>
      </c>
      <c r="BL386" s="24">
        <f t="shared" si="375"/>
        <v>975</v>
      </c>
      <c r="BM386" s="24">
        <f t="shared" si="376"/>
        <v>834</v>
      </c>
      <c r="BO386" s="17">
        <f t="shared" si="377"/>
        <v>11316</v>
      </c>
      <c r="BP386" s="17">
        <f t="shared" si="378"/>
        <v>180</v>
      </c>
      <c r="BQ386" s="18">
        <f t="shared" si="379"/>
        <v>1.6163793103448176E-2</v>
      </c>
      <c r="BR386" s="25">
        <f t="shared" si="380"/>
        <v>943</v>
      </c>
    </row>
    <row r="387" spans="1:70">
      <c r="A387" t="s">
        <v>639</v>
      </c>
      <c r="B387">
        <v>310175</v>
      </c>
      <c r="C387" s="1">
        <v>4438</v>
      </c>
      <c r="D387" s="1">
        <v>4584</v>
      </c>
      <c r="E387" s="1">
        <v>5688</v>
      </c>
      <c r="F387" s="1">
        <v>5562</v>
      </c>
      <c r="G387" s="1">
        <v>5088</v>
      </c>
      <c r="H387" s="1">
        <v>5286</v>
      </c>
      <c r="I387" s="1">
        <v>4776</v>
      </c>
      <c r="J387" s="1">
        <v>5190</v>
      </c>
      <c r="K387" s="1">
        <v>4818</v>
      </c>
      <c r="L387" s="1">
        <v>4566</v>
      </c>
      <c r="M387" s="1">
        <v>4222</v>
      </c>
      <c r="N387" s="1">
        <v>4482</v>
      </c>
      <c r="O387" s="1">
        <v>4554</v>
      </c>
      <c r="P387" s="1">
        <v>4668</v>
      </c>
      <c r="Q387" s="1">
        <v>5106</v>
      </c>
      <c r="R387" s="1">
        <v>6216</v>
      </c>
      <c r="S387" s="1">
        <v>5196</v>
      </c>
      <c r="T387" s="1">
        <v>4254</v>
      </c>
      <c r="U387" s="1">
        <v>5279</v>
      </c>
      <c r="V387" s="1">
        <v>5148</v>
      </c>
      <c r="W387" s="1">
        <v>5184</v>
      </c>
      <c r="X387" s="1">
        <v>5610</v>
      </c>
      <c r="Y387" s="1">
        <v>4320</v>
      </c>
      <c r="Z387" s="1">
        <v>4806</v>
      </c>
      <c r="AA387" s="1">
        <v>5118</v>
      </c>
      <c r="AB387" s="1">
        <v>4542</v>
      </c>
      <c r="AC387" s="1">
        <v>5820</v>
      </c>
      <c r="AD387" s="1">
        <v>6270</v>
      </c>
      <c r="AE387" s="1">
        <v>5226</v>
      </c>
      <c r="AF387" s="1">
        <v>4878</v>
      </c>
      <c r="AG387" s="1">
        <v>4896</v>
      </c>
      <c r="AH387" s="1">
        <v>4914</v>
      </c>
      <c r="AI387" s="1">
        <v>4729</v>
      </c>
      <c r="AJ387" s="1">
        <v>4936</v>
      </c>
      <c r="AK387" s="1">
        <v>5069</v>
      </c>
      <c r="AL387" s="1">
        <v>5640</v>
      </c>
      <c r="AM387" s="1">
        <v>4700</v>
      </c>
      <c r="AN387" s="1">
        <v>5791</v>
      </c>
      <c r="AO387" s="1">
        <v>6169</v>
      </c>
      <c r="AP387" s="1">
        <v>5650</v>
      </c>
      <c r="AQ387" s="1">
        <v>4975</v>
      </c>
      <c r="AR387" s="1">
        <v>4909</v>
      </c>
      <c r="AS387" s="1">
        <v>5049</v>
      </c>
      <c r="AT387" s="1">
        <v>5055</v>
      </c>
      <c r="AU387" s="1">
        <v>5064</v>
      </c>
      <c r="AV387" s="1">
        <v>5071</v>
      </c>
      <c r="AW387" s="1">
        <v>5078</v>
      </c>
      <c r="AX387" s="1">
        <v>4742</v>
      </c>
      <c r="AY387" s="1"/>
      <c r="BA387" s="21">
        <f t="shared" si="366"/>
        <v>58700</v>
      </c>
      <c r="BB387" s="22">
        <f t="shared" si="367"/>
        <v>4891.666666666667</v>
      </c>
      <c r="BD387" s="7">
        <f t="shared" si="368"/>
        <v>60341</v>
      </c>
      <c r="BE387" s="7">
        <f t="shared" si="369"/>
        <v>1641</v>
      </c>
      <c r="BF387" s="8">
        <f t="shared" si="370"/>
        <v>2.7955706984667872E-2</v>
      </c>
      <c r="BG387" s="7">
        <f t="shared" si="371"/>
        <v>5028.416666666667</v>
      </c>
      <c r="BI387" s="12">
        <f t="shared" si="372"/>
        <v>62038</v>
      </c>
      <c r="BJ387" s="12">
        <f t="shared" si="373"/>
        <v>1697</v>
      </c>
      <c r="BK387" s="13">
        <f t="shared" si="374"/>
        <v>2.8123498119023482E-2</v>
      </c>
      <c r="BL387" s="24">
        <f t="shared" si="375"/>
        <v>5208</v>
      </c>
      <c r="BM387" s="24">
        <f t="shared" si="376"/>
        <v>5093.5</v>
      </c>
      <c r="BO387" s="17">
        <f t="shared" si="377"/>
        <v>62253</v>
      </c>
      <c r="BP387" s="17">
        <f t="shared" si="378"/>
        <v>215</v>
      </c>
      <c r="BQ387" s="18">
        <f t="shared" si="379"/>
        <v>3.4656178471259569E-3</v>
      </c>
      <c r="BR387" s="25">
        <f t="shared" si="380"/>
        <v>5187.75</v>
      </c>
    </row>
    <row r="388" spans="1:70">
      <c r="A388" t="s">
        <v>640</v>
      </c>
      <c r="B388">
        <v>310185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129</v>
      </c>
      <c r="AI388" s="1">
        <v>21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/>
      <c r="BA388" s="21">
        <f t="shared" si="366"/>
        <v>0</v>
      </c>
      <c r="BB388" s="22">
        <f t="shared" si="367"/>
        <v>0</v>
      </c>
      <c r="BD388" s="7">
        <f t="shared" si="368"/>
        <v>0</v>
      </c>
      <c r="BE388" s="7">
        <f t="shared" si="369"/>
        <v>0</v>
      </c>
      <c r="BF388" s="8" t="e">
        <f t="shared" si="370"/>
        <v>#DIV/0!</v>
      </c>
      <c r="BG388" s="7">
        <f t="shared" si="371"/>
        <v>0</v>
      </c>
      <c r="BI388" s="12">
        <f t="shared" si="372"/>
        <v>150</v>
      </c>
      <c r="BJ388" s="12">
        <f t="shared" si="373"/>
        <v>150</v>
      </c>
      <c r="BK388" s="13" t="e">
        <f t="shared" si="374"/>
        <v>#DIV/0!</v>
      </c>
      <c r="BL388" s="24">
        <f t="shared" si="375"/>
        <v>16.125</v>
      </c>
      <c r="BM388" s="24">
        <f t="shared" si="376"/>
        <v>5.25</v>
      </c>
      <c r="BO388" s="17">
        <f t="shared" si="377"/>
        <v>0</v>
      </c>
      <c r="BP388" s="17">
        <f t="shared" si="378"/>
        <v>-150</v>
      </c>
      <c r="BQ388" s="18">
        <f t="shared" si="379"/>
        <v>-1</v>
      </c>
      <c r="BR388" s="25">
        <f t="shared" si="380"/>
        <v>0</v>
      </c>
    </row>
    <row r="389" spans="1:70">
      <c r="A389" t="s">
        <v>641</v>
      </c>
      <c r="B389">
        <v>310195</v>
      </c>
      <c r="C389" s="1">
        <v>3101</v>
      </c>
      <c r="D389" s="1">
        <v>2934</v>
      </c>
      <c r="E389" s="1">
        <v>3114</v>
      </c>
      <c r="F389" s="1">
        <v>3068</v>
      </c>
      <c r="G389" s="1">
        <v>3155</v>
      </c>
      <c r="H389" s="1">
        <v>3253</v>
      </c>
      <c r="I389" s="1">
        <v>3420</v>
      </c>
      <c r="J389" s="1">
        <v>3609</v>
      </c>
      <c r="K389" s="1">
        <v>3642</v>
      </c>
      <c r="L389" s="1">
        <v>3669</v>
      </c>
      <c r="M389" s="1">
        <v>3863</v>
      </c>
      <c r="N389" s="1">
        <v>3879</v>
      </c>
      <c r="O389" s="1">
        <v>3809</v>
      </c>
      <c r="P389" s="1">
        <v>3673</v>
      </c>
      <c r="Q389" s="1">
        <v>3320</v>
      </c>
      <c r="R389" s="1">
        <v>3598</v>
      </c>
      <c r="S389" s="1">
        <v>3786</v>
      </c>
      <c r="T389" s="1">
        <v>3644</v>
      </c>
      <c r="U389" s="1">
        <v>3761</v>
      </c>
      <c r="V389" s="1">
        <v>3787</v>
      </c>
      <c r="W389" s="1">
        <v>3687</v>
      </c>
      <c r="X389" s="1">
        <v>3680</v>
      </c>
      <c r="Y389" s="1">
        <v>3661</v>
      </c>
      <c r="Z389" s="1">
        <v>3736</v>
      </c>
      <c r="AA389" s="1">
        <v>3990</v>
      </c>
      <c r="AB389" s="1">
        <v>3665</v>
      </c>
      <c r="AC389" s="1">
        <v>3486</v>
      </c>
      <c r="AD389" s="1">
        <v>3316</v>
      </c>
      <c r="AE389" s="1">
        <v>3822</v>
      </c>
      <c r="AF389" s="1">
        <v>3606</v>
      </c>
      <c r="AG389" s="1">
        <v>3481</v>
      </c>
      <c r="AH389" s="1">
        <v>3774</v>
      </c>
      <c r="AI389" s="1">
        <v>3584</v>
      </c>
      <c r="AJ389" s="1">
        <v>3776</v>
      </c>
      <c r="AK389" s="1">
        <v>3782</v>
      </c>
      <c r="AL389" s="1">
        <v>3790</v>
      </c>
      <c r="AM389" s="1">
        <v>4058</v>
      </c>
      <c r="AN389" s="1">
        <v>3727</v>
      </c>
      <c r="AO389" s="1">
        <v>3545</v>
      </c>
      <c r="AP389" s="1">
        <v>3362</v>
      </c>
      <c r="AQ389" s="1">
        <v>3867</v>
      </c>
      <c r="AR389" s="1">
        <v>3630</v>
      </c>
      <c r="AS389" s="1">
        <v>3540</v>
      </c>
      <c r="AT389" s="1">
        <v>3840</v>
      </c>
      <c r="AU389" s="1">
        <v>3846</v>
      </c>
      <c r="AV389" s="1">
        <v>3853</v>
      </c>
      <c r="AW389" s="1">
        <v>3859</v>
      </c>
      <c r="AX389" s="1">
        <v>3865</v>
      </c>
      <c r="AY389" s="1"/>
      <c r="BA389" s="21">
        <f t="shared" si="366"/>
        <v>40707</v>
      </c>
      <c r="BB389" s="22">
        <f t="shared" si="367"/>
        <v>3392.25</v>
      </c>
      <c r="BD389" s="7">
        <f t="shared" si="368"/>
        <v>44142</v>
      </c>
      <c r="BE389" s="7">
        <f t="shared" si="369"/>
        <v>3435</v>
      </c>
      <c r="BF389" s="8">
        <f t="shared" si="370"/>
        <v>8.4383521261699457E-2</v>
      </c>
      <c r="BG389" s="7">
        <f t="shared" si="371"/>
        <v>3678.5</v>
      </c>
      <c r="BI389" s="12">
        <f t="shared" si="372"/>
        <v>44072</v>
      </c>
      <c r="BJ389" s="12">
        <f t="shared" si="373"/>
        <v>-70</v>
      </c>
      <c r="BK389" s="13">
        <f t="shared" si="374"/>
        <v>-1.5857913098635823E-3</v>
      </c>
      <c r="BL389" s="24">
        <f t="shared" si="375"/>
        <v>3642.5</v>
      </c>
      <c r="BM389" s="24">
        <f t="shared" si="376"/>
        <v>3733</v>
      </c>
      <c r="BO389" s="17">
        <f t="shared" si="377"/>
        <v>44992</v>
      </c>
      <c r="BP389" s="17">
        <f t="shared" si="378"/>
        <v>920</v>
      </c>
      <c r="BQ389" s="18">
        <f t="shared" si="379"/>
        <v>2.0874931929569795E-2</v>
      </c>
      <c r="BR389" s="25">
        <f t="shared" si="380"/>
        <v>3749.3333333333335</v>
      </c>
    </row>
    <row r="390" spans="1:70">
      <c r="A390" t="s">
        <v>642</v>
      </c>
      <c r="B390">
        <v>310200</v>
      </c>
      <c r="C390" s="1">
        <v>6780</v>
      </c>
      <c r="D390" s="1">
        <v>6610</v>
      </c>
      <c r="E390" s="1">
        <v>7619</v>
      </c>
      <c r="F390" s="1">
        <v>4375</v>
      </c>
      <c r="G390" s="1">
        <v>4300</v>
      </c>
      <c r="H390" s="1">
        <v>4605</v>
      </c>
      <c r="I390" s="1">
        <v>4805</v>
      </c>
      <c r="J390" s="1">
        <v>5360</v>
      </c>
      <c r="K390" s="1">
        <v>4460</v>
      </c>
      <c r="L390" s="1">
        <v>4020</v>
      </c>
      <c r="M390" s="1">
        <v>3985</v>
      </c>
      <c r="N390" s="1">
        <v>3540</v>
      </c>
      <c r="O390" s="1">
        <v>3962</v>
      </c>
      <c r="P390" s="1">
        <v>4230</v>
      </c>
      <c r="Q390" s="1">
        <v>4618</v>
      </c>
      <c r="R390" s="1">
        <v>4520</v>
      </c>
      <c r="S390" s="1">
        <v>4260</v>
      </c>
      <c r="T390" s="1">
        <v>4390</v>
      </c>
      <c r="U390" s="1">
        <v>4870</v>
      </c>
      <c r="V390" s="1">
        <v>5210</v>
      </c>
      <c r="W390" s="1">
        <v>3930</v>
      </c>
      <c r="X390" s="1">
        <v>3990</v>
      </c>
      <c r="Y390" s="1">
        <v>3840</v>
      </c>
      <c r="Z390" s="1">
        <v>4730</v>
      </c>
      <c r="AA390" s="1">
        <v>5440</v>
      </c>
      <c r="AB390" s="1">
        <v>4830</v>
      </c>
      <c r="AC390" s="1">
        <v>5060</v>
      </c>
      <c r="AD390" s="1">
        <v>4820</v>
      </c>
      <c r="AE390" s="1">
        <v>5200</v>
      </c>
      <c r="AF390" s="1">
        <v>4450</v>
      </c>
      <c r="AG390" s="1">
        <v>5670</v>
      </c>
      <c r="AH390" s="1">
        <v>4540</v>
      </c>
      <c r="AI390" s="1">
        <v>5045</v>
      </c>
      <c r="AJ390" s="1">
        <v>4534</v>
      </c>
      <c r="AK390" s="1">
        <v>4502</v>
      </c>
      <c r="AL390" s="1">
        <v>4587</v>
      </c>
      <c r="AM390" s="1">
        <v>5438</v>
      </c>
      <c r="AN390" s="1">
        <v>4876</v>
      </c>
      <c r="AO390" s="1">
        <v>5172</v>
      </c>
      <c r="AP390" s="1">
        <v>4786</v>
      </c>
      <c r="AQ390" s="1">
        <v>5192</v>
      </c>
      <c r="AR390" s="1">
        <v>4429</v>
      </c>
      <c r="AS390" s="1">
        <v>5712</v>
      </c>
      <c r="AT390" s="1">
        <v>4642</v>
      </c>
      <c r="AU390" s="1">
        <v>4649</v>
      </c>
      <c r="AV390" s="1">
        <v>4656</v>
      </c>
      <c r="AW390" s="1">
        <v>4667</v>
      </c>
      <c r="AX390" s="1">
        <v>4673</v>
      </c>
      <c r="AY390" s="1"/>
      <c r="BA390" s="21">
        <f t="shared" si="366"/>
        <v>60459</v>
      </c>
      <c r="BB390" s="22">
        <f t="shared" si="367"/>
        <v>5038.25</v>
      </c>
      <c r="BD390" s="7">
        <f t="shared" si="368"/>
        <v>52550</v>
      </c>
      <c r="BE390" s="7">
        <f t="shared" si="369"/>
        <v>-7909</v>
      </c>
      <c r="BF390" s="8">
        <f t="shared" si="370"/>
        <v>-0.13081592484162818</v>
      </c>
      <c r="BG390" s="7">
        <f t="shared" si="371"/>
        <v>4379.166666666667</v>
      </c>
      <c r="BI390" s="12">
        <f t="shared" si="372"/>
        <v>58678</v>
      </c>
      <c r="BJ390" s="12">
        <f t="shared" si="373"/>
        <v>6128</v>
      </c>
      <c r="BK390" s="13">
        <f t="shared" si="374"/>
        <v>0.11661274976213121</v>
      </c>
      <c r="BL390" s="24">
        <f t="shared" si="375"/>
        <v>5001.25</v>
      </c>
      <c r="BM390" s="24">
        <f t="shared" si="376"/>
        <v>4667</v>
      </c>
      <c r="BO390" s="17">
        <f t="shared" si="377"/>
        <v>58892</v>
      </c>
      <c r="BP390" s="17">
        <f t="shared" si="378"/>
        <v>214</v>
      </c>
      <c r="BQ390" s="18">
        <f t="shared" si="379"/>
        <v>3.6470227342444428E-3</v>
      </c>
      <c r="BR390" s="25">
        <f t="shared" si="380"/>
        <v>4907.666666666667</v>
      </c>
    </row>
    <row r="391" spans="1:70">
      <c r="A391" t="s">
        <v>643</v>
      </c>
      <c r="B391">
        <v>310205</v>
      </c>
      <c r="C391" s="1">
        <v>860</v>
      </c>
      <c r="D391" s="1">
        <v>1055</v>
      </c>
      <c r="E391" s="1">
        <v>675</v>
      </c>
      <c r="F391" s="1">
        <v>1040</v>
      </c>
      <c r="G391" s="1">
        <v>855</v>
      </c>
      <c r="H391" s="1">
        <v>430</v>
      </c>
      <c r="I391" s="1">
        <v>930</v>
      </c>
      <c r="J391" s="1">
        <v>1030</v>
      </c>
      <c r="K391" s="1">
        <v>760</v>
      </c>
      <c r="L391" s="1">
        <v>1105</v>
      </c>
      <c r="M391" s="1">
        <v>1545</v>
      </c>
      <c r="N391" s="1">
        <v>560</v>
      </c>
      <c r="O391" s="1">
        <v>880</v>
      </c>
      <c r="P391" s="1">
        <v>505</v>
      </c>
      <c r="Q391" s="1">
        <v>515</v>
      </c>
      <c r="R391" s="1">
        <v>1095</v>
      </c>
      <c r="S391" s="1">
        <v>1070</v>
      </c>
      <c r="T391" s="1">
        <v>605</v>
      </c>
      <c r="U391" s="1">
        <v>1015</v>
      </c>
      <c r="V391" s="1">
        <v>1075</v>
      </c>
      <c r="W391" s="1">
        <v>985</v>
      </c>
      <c r="X391" s="1">
        <v>1400</v>
      </c>
      <c r="Y391" s="1">
        <v>840</v>
      </c>
      <c r="Z391" s="1">
        <v>605</v>
      </c>
      <c r="AA391" s="1">
        <v>1665</v>
      </c>
      <c r="AB391" s="1">
        <v>1135</v>
      </c>
      <c r="AC391" s="1">
        <v>435</v>
      </c>
      <c r="AD391" s="1">
        <v>760</v>
      </c>
      <c r="AE391" s="1">
        <v>730</v>
      </c>
      <c r="AF391" s="1">
        <v>635</v>
      </c>
      <c r="AG391" s="1">
        <v>970</v>
      </c>
      <c r="AH391" s="1">
        <v>755</v>
      </c>
      <c r="AI391" s="1">
        <v>785</v>
      </c>
      <c r="AJ391" s="1">
        <v>760</v>
      </c>
      <c r="AK391" s="1">
        <v>762</v>
      </c>
      <c r="AL391" s="1">
        <v>764</v>
      </c>
      <c r="AM391" s="1">
        <v>1730</v>
      </c>
      <c r="AN391" s="1">
        <v>1178</v>
      </c>
      <c r="AO391" s="1">
        <v>453</v>
      </c>
      <c r="AP391" s="1">
        <v>790</v>
      </c>
      <c r="AQ391" s="1">
        <v>758</v>
      </c>
      <c r="AR391" s="1">
        <v>660</v>
      </c>
      <c r="AS391" s="1">
        <v>930</v>
      </c>
      <c r="AT391" s="1">
        <v>785</v>
      </c>
      <c r="AU391" s="1">
        <v>789</v>
      </c>
      <c r="AV391" s="1">
        <v>789</v>
      </c>
      <c r="AW391" s="1">
        <v>793</v>
      </c>
      <c r="AX391" s="1">
        <v>795</v>
      </c>
      <c r="AY391" s="1"/>
      <c r="BA391" s="21">
        <f t="shared" si="366"/>
        <v>10845</v>
      </c>
      <c r="BB391" s="22">
        <f t="shared" si="367"/>
        <v>903.75</v>
      </c>
      <c r="BD391" s="7">
        <f t="shared" si="368"/>
        <v>10590</v>
      </c>
      <c r="BE391" s="7">
        <f t="shared" si="369"/>
        <v>-255</v>
      </c>
      <c r="BF391" s="8">
        <f t="shared" si="370"/>
        <v>-2.3513139695712337E-2</v>
      </c>
      <c r="BG391" s="7">
        <f t="shared" si="371"/>
        <v>882.5</v>
      </c>
      <c r="BI391" s="12">
        <f t="shared" si="372"/>
        <v>10156</v>
      </c>
      <c r="BJ391" s="12">
        <f t="shared" si="373"/>
        <v>-434</v>
      </c>
      <c r="BK391" s="13">
        <f t="shared" si="374"/>
        <v>-4.098205854579795E-2</v>
      </c>
      <c r="BL391" s="24">
        <f t="shared" si="375"/>
        <v>885.625</v>
      </c>
      <c r="BM391" s="24">
        <f t="shared" si="376"/>
        <v>767.75</v>
      </c>
      <c r="BO391" s="17">
        <f t="shared" si="377"/>
        <v>10450</v>
      </c>
      <c r="BP391" s="17">
        <f t="shared" si="378"/>
        <v>294</v>
      </c>
      <c r="BQ391" s="18">
        <f t="shared" si="379"/>
        <v>2.8948404883812451E-2</v>
      </c>
      <c r="BR391" s="25">
        <f t="shared" si="380"/>
        <v>870.83333333333337</v>
      </c>
    </row>
    <row r="392" spans="1:70">
      <c r="A392" t="s">
        <v>644</v>
      </c>
      <c r="B392">
        <v>310210</v>
      </c>
      <c r="C392" s="1">
        <v>12795</v>
      </c>
      <c r="D392" s="1">
        <v>8595</v>
      </c>
      <c r="E392" s="1">
        <v>7755</v>
      </c>
      <c r="F392" s="1">
        <v>8625</v>
      </c>
      <c r="G392" s="1">
        <v>7860</v>
      </c>
      <c r="H392" s="1">
        <v>9375</v>
      </c>
      <c r="I392" s="1">
        <v>8685</v>
      </c>
      <c r="J392" s="1">
        <v>8220</v>
      </c>
      <c r="K392" s="1">
        <v>6960</v>
      </c>
      <c r="L392" s="1">
        <v>6585</v>
      </c>
      <c r="M392" s="1">
        <v>6225</v>
      </c>
      <c r="N392" s="1">
        <v>7185</v>
      </c>
      <c r="O392" s="1">
        <v>11880</v>
      </c>
      <c r="P392" s="1">
        <v>7950</v>
      </c>
      <c r="Q392" s="1">
        <v>7095</v>
      </c>
      <c r="R392" s="1">
        <v>8100</v>
      </c>
      <c r="S392" s="1">
        <v>7245</v>
      </c>
      <c r="T392" s="1">
        <v>8550</v>
      </c>
      <c r="U392" s="1">
        <v>8085</v>
      </c>
      <c r="V392" s="1">
        <v>7665</v>
      </c>
      <c r="W392" s="1">
        <v>6600</v>
      </c>
      <c r="X392" s="1">
        <v>6075</v>
      </c>
      <c r="Y392" s="1">
        <v>5895</v>
      </c>
      <c r="Z392" s="1">
        <v>6510</v>
      </c>
      <c r="AA392" s="1">
        <v>10980</v>
      </c>
      <c r="AB392" s="1">
        <v>7485</v>
      </c>
      <c r="AC392" s="1">
        <v>6705</v>
      </c>
      <c r="AD392" s="1">
        <v>7395</v>
      </c>
      <c r="AE392" s="1">
        <v>6570</v>
      </c>
      <c r="AF392" s="1">
        <v>7890</v>
      </c>
      <c r="AG392" s="1">
        <v>7620</v>
      </c>
      <c r="AH392" s="1">
        <v>7080</v>
      </c>
      <c r="AI392" s="1">
        <v>6165</v>
      </c>
      <c r="AJ392" s="1">
        <v>7050</v>
      </c>
      <c r="AK392" s="1">
        <v>7095</v>
      </c>
      <c r="AL392" s="1">
        <v>7095</v>
      </c>
      <c r="AM392" s="1">
        <v>7219</v>
      </c>
      <c r="AN392" s="1">
        <v>7082</v>
      </c>
      <c r="AO392" s="1">
        <v>7112</v>
      </c>
      <c r="AP392" s="1">
        <v>7066</v>
      </c>
      <c r="AQ392" s="1">
        <v>7112</v>
      </c>
      <c r="AR392" s="1">
        <v>7158</v>
      </c>
      <c r="AS392" s="1">
        <v>7066</v>
      </c>
      <c r="AT392" s="1">
        <v>7082</v>
      </c>
      <c r="AU392" s="1">
        <v>7097</v>
      </c>
      <c r="AV392" s="1">
        <v>7051</v>
      </c>
      <c r="AW392" s="1">
        <v>7097</v>
      </c>
      <c r="AX392" s="1">
        <v>7097</v>
      </c>
      <c r="AY392" s="1"/>
      <c r="BA392" s="21">
        <f t="shared" si="366"/>
        <v>98865</v>
      </c>
      <c r="BB392" s="22">
        <f t="shared" si="367"/>
        <v>8238.75</v>
      </c>
      <c r="BD392" s="7">
        <f t="shared" si="368"/>
        <v>91650</v>
      </c>
      <c r="BE392" s="7">
        <f t="shared" si="369"/>
        <v>-7215</v>
      </c>
      <c r="BF392" s="8">
        <f t="shared" si="370"/>
        <v>-7.2978303747534556E-2</v>
      </c>
      <c r="BG392" s="7">
        <f t="shared" si="371"/>
        <v>7637.5</v>
      </c>
      <c r="BI392" s="12">
        <f t="shared" si="372"/>
        <v>89130</v>
      </c>
      <c r="BJ392" s="12">
        <f t="shared" si="373"/>
        <v>-2520</v>
      </c>
      <c r="BK392" s="13">
        <f t="shared" si="374"/>
        <v>-2.7495908346972131E-2</v>
      </c>
      <c r="BL392" s="24">
        <f t="shared" si="375"/>
        <v>7715.625</v>
      </c>
      <c r="BM392" s="24">
        <f t="shared" si="376"/>
        <v>6851.25</v>
      </c>
      <c r="BO392" s="17">
        <f t="shared" si="377"/>
        <v>85239</v>
      </c>
      <c r="BP392" s="17">
        <f t="shared" si="378"/>
        <v>-3891</v>
      </c>
      <c r="BQ392" s="18">
        <f t="shared" si="379"/>
        <v>-4.3655334904072696E-2</v>
      </c>
      <c r="BR392" s="25">
        <f t="shared" si="380"/>
        <v>7103.25</v>
      </c>
    </row>
    <row r="393" spans="1:70">
      <c r="A393" t="s">
        <v>645</v>
      </c>
      <c r="B393">
        <v>310217</v>
      </c>
      <c r="C393" s="1">
        <v>120</v>
      </c>
      <c r="D393" s="1">
        <v>160</v>
      </c>
      <c r="E393" s="1">
        <v>213</v>
      </c>
      <c r="F393" s="1">
        <v>247</v>
      </c>
      <c r="G393" s="1">
        <v>180</v>
      </c>
      <c r="H393" s="1">
        <v>180</v>
      </c>
      <c r="I393" s="1">
        <v>220</v>
      </c>
      <c r="J393" s="1">
        <v>40</v>
      </c>
      <c r="K393" s="1">
        <v>180</v>
      </c>
      <c r="L393" s="1">
        <v>185</v>
      </c>
      <c r="M393" s="1">
        <v>180</v>
      </c>
      <c r="N393" s="1">
        <v>180</v>
      </c>
      <c r="O393" s="1">
        <v>180</v>
      </c>
      <c r="P393" s="1">
        <v>185</v>
      </c>
      <c r="Q393" s="1">
        <v>210</v>
      </c>
      <c r="R393" s="1">
        <v>210</v>
      </c>
      <c r="S393" s="1">
        <v>200</v>
      </c>
      <c r="T393" s="1">
        <v>40</v>
      </c>
      <c r="U393" s="1">
        <v>175</v>
      </c>
      <c r="V393" s="1">
        <v>175</v>
      </c>
      <c r="W393" s="1">
        <v>155</v>
      </c>
      <c r="X393" s="1">
        <v>175</v>
      </c>
      <c r="Y393" s="1">
        <v>225</v>
      </c>
      <c r="Z393" s="1">
        <v>235</v>
      </c>
      <c r="AA393" s="1">
        <v>235</v>
      </c>
      <c r="AB393" s="1">
        <v>235</v>
      </c>
      <c r="AC393" s="1">
        <v>235</v>
      </c>
      <c r="AD393" s="1">
        <v>295</v>
      </c>
      <c r="AE393" s="1">
        <v>295</v>
      </c>
      <c r="AF393" s="1">
        <v>335</v>
      </c>
      <c r="AG393" s="1">
        <v>355</v>
      </c>
      <c r="AH393" s="1">
        <v>355</v>
      </c>
      <c r="AI393" s="1">
        <v>355</v>
      </c>
      <c r="AJ393" s="1">
        <v>355</v>
      </c>
      <c r="AK393" s="1">
        <v>356</v>
      </c>
      <c r="AL393" s="1">
        <v>356</v>
      </c>
      <c r="AM393" s="1">
        <v>742</v>
      </c>
      <c r="AN393" s="1">
        <v>822</v>
      </c>
      <c r="AO393" s="1">
        <v>902</v>
      </c>
      <c r="AP393" s="1">
        <v>1003</v>
      </c>
      <c r="AQ393" s="1">
        <v>1123</v>
      </c>
      <c r="AR393" s="1">
        <v>1244</v>
      </c>
      <c r="AS393" s="1">
        <v>1324</v>
      </c>
      <c r="AT393" s="1">
        <v>1363</v>
      </c>
      <c r="AU393" s="1">
        <v>1443</v>
      </c>
      <c r="AV393" s="1">
        <v>1524</v>
      </c>
      <c r="AW393" s="1">
        <v>1605</v>
      </c>
      <c r="AX393" s="1">
        <v>1685</v>
      </c>
      <c r="AY393" s="1"/>
      <c r="BA393" s="21">
        <f t="shared" si="366"/>
        <v>2085</v>
      </c>
      <c r="BB393" s="22">
        <f t="shared" si="367"/>
        <v>173.75</v>
      </c>
      <c r="BD393" s="7">
        <f t="shared" si="368"/>
        <v>2165</v>
      </c>
      <c r="BE393" s="7">
        <f t="shared" si="369"/>
        <v>80</v>
      </c>
      <c r="BF393" s="8">
        <f t="shared" si="370"/>
        <v>3.83693045563549E-2</v>
      </c>
      <c r="BG393" s="7">
        <f t="shared" si="371"/>
        <v>180.41666666666666</v>
      </c>
      <c r="BI393" s="12">
        <f t="shared" si="372"/>
        <v>3762</v>
      </c>
      <c r="BJ393" s="12">
        <f t="shared" si="373"/>
        <v>1597</v>
      </c>
      <c r="BK393" s="13">
        <f t="shared" si="374"/>
        <v>0.73764434180138561</v>
      </c>
      <c r="BL393" s="24">
        <f t="shared" si="375"/>
        <v>292.5</v>
      </c>
      <c r="BM393" s="24">
        <f t="shared" si="376"/>
        <v>355.5</v>
      </c>
      <c r="BO393" s="17">
        <f t="shared" si="377"/>
        <v>14780</v>
      </c>
      <c r="BP393" s="17">
        <f t="shared" si="378"/>
        <v>11018</v>
      </c>
      <c r="BQ393" s="18">
        <f t="shared" si="379"/>
        <v>2.92876129718235</v>
      </c>
      <c r="BR393" s="25">
        <f t="shared" si="380"/>
        <v>1231.6666666666667</v>
      </c>
    </row>
    <row r="394" spans="1:70">
      <c r="A394" t="s">
        <v>646</v>
      </c>
      <c r="B394">
        <v>310220</v>
      </c>
      <c r="C394" s="1">
        <v>4220</v>
      </c>
      <c r="D394" s="1">
        <v>2655</v>
      </c>
      <c r="E394" s="1">
        <v>2160</v>
      </c>
      <c r="F394" s="1">
        <v>-5</v>
      </c>
      <c r="G394" s="1">
        <v>0</v>
      </c>
      <c r="H394" s="1">
        <v>-5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-5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/>
      <c r="BA394" s="21">
        <f t="shared" si="366"/>
        <v>9025</v>
      </c>
      <c r="BB394" s="22">
        <f t="shared" si="367"/>
        <v>752.08333333333337</v>
      </c>
      <c r="BD394" s="7">
        <f t="shared" si="368"/>
        <v>-5</v>
      </c>
      <c r="BE394" s="7">
        <f t="shared" si="369"/>
        <v>-9030</v>
      </c>
      <c r="BF394" s="8">
        <f t="shared" si="370"/>
        <v>-1.0005540166204987</v>
      </c>
      <c r="BG394" s="7">
        <f t="shared" si="371"/>
        <v>-0.41666666666666669</v>
      </c>
      <c r="BI394" s="12">
        <f t="shared" si="372"/>
        <v>0</v>
      </c>
      <c r="BJ394" s="12">
        <f t="shared" si="373"/>
        <v>5</v>
      </c>
      <c r="BK394" s="13">
        <f t="shared" si="374"/>
        <v>-1</v>
      </c>
      <c r="BL394" s="24">
        <f t="shared" si="375"/>
        <v>0</v>
      </c>
      <c r="BM394" s="24">
        <f t="shared" si="376"/>
        <v>0</v>
      </c>
      <c r="BO394" s="17">
        <f t="shared" si="377"/>
        <v>0</v>
      </c>
      <c r="BP394" s="17">
        <f t="shared" si="378"/>
        <v>0</v>
      </c>
      <c r="BQ394" s="18" t="e">
        <f t="shared" si="379"/>
        <v>#DIV/0!</v>
      </c>
      <c r="BR394" s="25">
        <f t="shared" si="380"/>
        <v>0</v>
      </c>
    </row>
    <row r="395" spans="1:70">
      <c r="A395" t="s">
        <v>647</v>
      </c>
      <c r="B395">
        <v>310300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50</v>
      </c>
      <c r="AA395" s="1">
        <v>35950</v>
      </c>
      <c r="AB395" s="1">
        <v>47150</v>
      </c>
      <c r="AC395" s="1">
        <v>51050</v>
      </c>
      <c r="AD395" s="1">
        <v>53150</v>
      </c>
      <c r="AE395" s="1">
        <v>48250</v>
      </c>
      <c r="AF395" s="1">
        <v>48850</v>
      </c>
      <c r="AG395" s="1">
        <v>47250</v>
      </c>
      <c r="AH395" s="1">
        <v>40550</v>
      </c>
      <c r="AI395" s="1">
        <v>51790</v>
      </c>
      <c r="AJ395" s="1">
        <v>40550</v>
      </c>
      <c r="AK395" s="1">
        <v>40550</v>
      </c>
      <c r="AL395" s="1">
        <v>40550</v>
      </c>
      <c r="AM395" s="1">
        <v>75000</v>
      </c>
      <c r="AN395" s="1">
        <v>75000</v>
      </c>
      <c r="AO395" s="1">
        <v>75000</v>
      </c>
      <c r="AP395" s="1">
        <v>75000</v>
      </c>
      <c r="AQ395" s="1">
        <v>75000</v>
      </c>
      <c r="AR395" s="1">
        <v>75000</v>
      </c>
      <c r="AS395" s="1">
        <v>75000</v>
      </c>
      <c r="AT395" s="1">
        <v>75000</v>
      </c>
      <c r="AU395" s="1">
        <v>75000</v>
      </c>
      <c r="AV395" s="1">
        <v>75000</v>
      </c>
      <c r="AW395" s="1">
        <v>75000</v>
      </c>
      <c r="AX395" s="1">
        <v>75000</v>
      </c>
      <c r="AY395" s="1"/>
      <c r="BA395" s="21">
        <f t="shared" si="366"/>
        <v>0</v>
      </c>
      <c r="BB395" s="22">
        <f t="shared" si="367"/>
        <v>0</v>
      </c>
      <c r="BD395" s="7">
        <f t="shared" si="368"/>
        <v>50</v>
      </c>
      <c r="BE395" s="7">
        <f t="shared" si="369"/>
        <v>50</v>
      </c>
      <c r="BF395" s="8" t="e">
        <f t="shared" si="370"/>
        <v>#DIV/0!</v>
      </c>
      <c r="BG395" s="7">
        <f t="shared" si="371"/>
        <v>4.166666666666667</v>
      </c>
      <c r="BI395" s="12">
        <f t="shared" si="372"/>
        <v>545640</v>
      </c>
      <c r="BJ395" s="12">
        <f t="shared" si="373"/>
        <v>545590</v>
      </c>
      <c r="BK395" s="13">
        <f t="shared" si="374"/>
        <v>10911.8</v>
      </c>
      <c r="BL395" s="24">
        <f t="shared" si="375"/>
        <v>46525</v>
      </c>
      <c r="BM395" s="24">
        <f t="shared" si="376"/>
        <v>43360</v>
      </c>
      <c r="BO395" s="17">
        <f t="shared" si="377"/>
        <v>900000</v>
      </c>
      <c r="BP395" s="17">
        <f t="shared" si="378"/>
        <v>354360</v>
      </c>
      <c r="BQ395" s="18">
        <f t="shared" si="379"/>
        <v>0.64943919067517042</v>
      </c>
      <c r="BR395" s="25">
        <f t="shared" si="380"/>
        <v>75000</v>
      </c>
    </row>
    <row r="396" spans="1:70">
      <c r="A396" t="s">
        <v>648</v>
      </c>
      <c r="B396">
        <v>310225</v>
      </c>
      <c r="C396" s="1">
        <v>1077</v>
      </c>
      <c r="D396" s="1">
        <v>940</v>
      </c>
      <c r="E396" s="1">
        <v>1238</v>
      </c>
      <c r="F396" s="1">
        <v>977</v>
      </c>
      <c r="G396" s="1">
        <v>1205</v>
      </c>
      <c r="H396" s="1">
        <v>1174</v>
      </c>
      <c r="I396" s="1">
        <v>1038</v>
      </c>
      <c r="J396" s="1">
        <v>1375</v>
      </c>
      <c r="K396" s="1">
        <v>1033</v>
      </c>
      <c r="L396" s="1">
        <v>1111</v>
      </c>
      <c r="M396" s="1">
        <v>1132</v>
      </c>
      <c r="N396" s="1">
        <v>1051</v>
      </c>
      <c r="O396" s="1">
        <v>1288</v>
      </c>
      <c r="P396" s="1">
        <v>975</v>
      </c>
      <c r="Q396" s="1">
        <v>1183</v>
      </c>
      <c r="R396" s="1">
        <v>1511</v>
      </c>
      <c r="S396" s="1">
        <v>1148</v>
      </c>
      <c r="T396" s="1">
        <v>1061</v>
      </c>
      <c r="U396" s="1">
        <v>1297</v>
      </c>
      <c r="V396" s="1">
        <v>1243</v>
      </c>
      <c r="W396" s="1">
        <v>1427</v>
      </c>
      <c r="X396" s="1">
        <v>1352</v>
      </c>
      <c r="Y396" s="1">
        <v>1341</v>
      </c>
      <c r="Z396" s="1">
        <v>1387</v>
      </c>
      <c r="AA396" s="1">
        <v>1386</v>
      </c>
      <c r="AB396" s="1">
        <v>1077</v>
      </c>
      <c r="AC396" s="1">
        <v>1498</v>
      </c>
      <c r="AD396" s="1">
        <v>1492</v>
      </c>
      <c r="AE396" s="1">
        <v>1341</v>
      </c>
      <c r="AF396" s="1">
        <v>1397</v>
      </c>
      <c r="AG396" s="1">
        <v>1350</v>
      </c>
      <c r="AH396" s="1">
        <v>1127</v>
      </c>
      <c r="AI396" s="1">
        <v>1335</v>
      </c>
      <c r="AJ396" s="1">
        <v>1112</v>
      </c>
      <c r="AK396" s="1">
        <v>1112</v>
      </c>
      <c r="AL396" s="1">
        <v>1112</v>
      </c>
      <c r="AM396" s="1">
        <v>1112</v>
      </c>
      <c r="AN396" s="1">
        <v>1112</v>
      </c>
      <c r="AO396" s="1">
        <v>1112</v>
      </c>
      <c r="AP396" s="1">
        <v>1112</v>
      </c>
      <c r="AQ396" s="1">
        <v>1112</v>
      </c>
      <c r="AR396" s="1">
        <v>1112</v>
      </c>
      <c r="AS396" s="1">
        <v>1112</v>
      </c>
      <c r="AT396" s="1">
        <v>1112</v>
      </c>
      <c r="AU396" s="1">
        <v>1112</v>
      </c>
      <c r="AV396" s="1">
        <v>1112</v>
      </c>
      <c r="AW396" s="1">
        <v>1112</v>
      </c>
      <c r="AX396" s="1">
        <v>1112</v>
      </c>
      <c r="AY396" s="1"/>
      <c r="BA396" s="21">
        <f t="shared" si="366"/>
        <v>13351</v>
      </c>
      <c r="BB396" s="22">
        <f t="shared" si="367"/>
        <v>1112.5833333333333</v>
      </c>
      <c r="BD396" s="7">
        <f t="shared" si="368"/>
        <v>15213</v>
      </c>
      <c r="BE396" s="7">
        <f t="shared" si="369"/>
        <v>1862</v>
      </c>
      <c r="BF396" s="8">
        <f t="shared" si="370"/>
        <v>0.13946520859860678</v>
      </c>
      <c r="BG396" s="7">
        <f t="shared" si="371"/>
        <v>1267.75</v>
      </c>
      <c r="BI396" s="12">
        <f t="shared" si="372"/>
        <v>15339</v>
      </c>
      <c r="BJ396" s="12">
        <f t="shared" si="373"/>
        <v>126</v>
      </c>
      <c r="BK396" s="13">
        <f t="shared" si="374"/>
        <v>8.2823900611319612E-3</v>
      </c>
      <c r="BL396" s="24">
        <f t="shared" si="375"/>
        <v>1333.5</v>
      </c>
      <c r="BM396" s="24">
        <f t="shared" si="376"/>
        <v>1167.75</v>
      </c>
      <c r="BO396" s="17">
        <f t="shared" si="377"/>
        <v>13344</v>
      </c>
      <c r="BP396" s="17">
        <f t="shared" si="378"/>
        <v>-1995</v>
      </c>
      <c r="BQ396" s="18">
        <f t="shared" si="379"/>
        <v>-0.13006062976725996</v>
      </c>
      <c r="BR396" s="25">
        <f t="shared" si="380"/>
        <v>1112</v>
      </c>
    </row>
    <row r="397" spans="1:70">
      <c r="A397" t="s">
        <v>649</v>
      </c>
      <c r="B397">
        <v>310305</v>
      </c>
      <c r="C397" s="1">
        <v>450</v>
      </c>
      <c r="D397" s="1">
        <v>330</v>
      </c>
      <c r="E397" s="1">
        <v>840</v>
      </c>
      <c r="F397" s="1">
        <v>765</v>
      </c>
      <c r="G397" s="1">
        <v>435</v>
      </c>
      <c r="H397" s="1">
        <v>630</v>
      </c>
      <c r="I397" s="1">
        <v>795</v>
      </c>
      <c r="J397" s="1">
        <v>525</v>
      </c>
      <c r="K397" s="1">
        <v>570</v>
      </c>
      <c r="L397" s="1">
        <v>585</v>
      </c>
      <c r="M397" s="1">
        <v>540</v>
      </c>
      <c r="N397" s="1">
        <v>480</v>
      </c>
      <c r="O397" s="1">
        <v>495</v>
      </c>
      <c r="P397" s="1">
        <v>450</v>
      </c>
      <c r="Q397" s="1">
        <v>930</v>
      </c>
      <c r="R397" s="1">
        <v>900</v>
      </c>
      <c r="S397" s="1">
        <v>585</v>
      </c>
      <c r="T397" s="1">
        <v>705</v>
      </c>
      <c r="U397" s="1">
        <v>960</v>
      </c>
      <c r="V397" s="1">
        <v>600</v>
      </c>
      <c r="W397" s="1">
        <v>645</v>
      </c>
      <c r="X397" s="1">
        <v>735</v>
      </c>
      <c r="Y397" s="1">
        <v>630</v>
      </c>
      <c r="Z397" s="1">
        <v>585</v>
      </c>
      <c r="AA397" s="1">
        <v>555</v>
      </c>
      <c r="AB397" s="1">
        <v>600</v>
      </c>
      <c r="AC397" s="1">
        <v>1035</v>
      </c>
      <c r="AD397" s="1">
        <v>975</v>
      </c>
      <c r="AE397" s="1">
        <v>645</v>
      </c>
      <c r="AF397" s="1">
        <v>765</v>
      </c>
      <c r="AG397" s="1">
        <v>960</v>
      </c>
      <c r="AH397" s="1">
        <v>810</v>
      </c>
      <c r="AI397" s="1">
        <v>795</v>
      </c>
      <c r="AJ397" s="1">
        <v>793</v>
      </c>
      <c r="AK397" s="1">
        <v>793</v>
      </c>
      <c r="AL397" s="1">
        <v>793</v>
      </c>
      <c r="AM397" s="1">
        <v>827</v>
      </c>
      <c r="AN397" s="1">
        <v>827</v>
      </c>
      <c r="AO397" s="1">
        <v>827</v>
      </c>
      <c r="AP397" s="1">
        <v>827</v>
      </c>
      <c r="AQ397" s="1">
        <v>827</v>
      </c>
      <c r="AR397" s="1">
        <v>827</v>
      </c>
      <c r="AS397" s="1">
        <v>827</v>
      </c>
      <c r="AT397" s="1">
        <v>827</v>
      </c>
      <c r="AU397" s="1">
        <v>827</v>
      </c>
      <c r="AV397" s="1">
        <v>827</v>
      </c>
      <c r="AW397" s="1">
        <v>827</v>
      </c>
      <c r="AX397" s="1">
        <v>839</v>
      </c>
      <c r="AY397" s="1"/>
      <c r="BA397" s="21">
        <f t="shared" si="366"/>
        <v>6945</v>
      </c>
      <c r="BB397" s="22">
        <f t="shared" si="367"/>
        <v>578.75</v>
      </c>
      <c r="BD397" s="7">
        <f t="shared" si="368"/>
        <v>8220</v>
      </c>
      <c r="BE397" s="7">
        <f t="shared" si="369"/>
        <v>1275</v>
      </c>
      <c r="BF397" s="8">
        <f t="shared" si="370"/>
        <v>0.18358531317494609</v>
      </c>
      <c r="BG397" s="7">
        <f t="shared" si="371"/>
        <v>685</v>
      </c>
      <c r="BI397" s="12">
        <f t="shared" si="372"/>
        <v>9519</v>
      </c>
      <c r="BJ397" s="12">
        <f t="shared" si="373"/>
        <v>1299</v>
      </c>
      <c r="BK397" s="13">
        <f t="shared" si="374"/>
        <v>0.15802919708029206</v>
      </c>
      <c r="BL397" s="24">
        <f t="shared" si="375"/>
        <v>793.125</v>
      </c>
      <c r="BM397" s="24">
        <f t="shared" si="376"/>
        <v>793.5</v>
      </c>
      <c r="BO397" s="17">
        <f t="shared" si="377"/>
        <v>9936</v>
      </c>
      <c r="BP397" s="17">
        <f t="shared" si="378"/>
        <v>417</v>
      </c>
      <c r="BQ397" s="18">
        <f t="shared" si="379"/>
        <v>4.3807122596911441E-2</v>
      </c>
      <c r="BR397" s="25">
        <f t="shared" si="380"/>
        <v>828</v>
      </c>
    </row>
    <row r="398" spans="1:70">
      <c r="A398" t="s">
        <v>650</v>
      </c>
      <c r="B398">
        <v>310310</v>
      </c>
      <c r="C398" s="1">
        <v>16695</v>
      </c>
      <c r="D398" s="1">
        <v>15680</v>
      </c>
      <c r="E398" s="1">
        <v>16275</v>
      </c>
      <c r="F398" s="1">
        <v>13580</v>
      </c>
      <c r="G398" s="1">
        <v>15575</v>
      </c>
      <c r="H398" s="1">
        <v>19355</v>
      </c>
      <c r="I398" s="1">
        <v>20300</v>
      </c>
      <c r="J398" s="1">
        <v>18900</v>
      </c>
      <c r="K398" s="1">
        <v>18900</v>
      </c>
      <c r="L398" s="1">
        <v>19740</v>
      </c>
      <c r="M398" s="1">
        <v>23975</v>
      </c>
      <c r="N398" s="1">
        <v>31290</v>
      </c>
      <c r="O398" s="1">
        <v>19600</v>
      </c>
      <c r="P398" s="1">
        <v>16730</v>
      </c>
      <c r="Q398" s="1">
        <v>17115</v>
      </c>
      <c r="R398" s="1">
        <v>18270</v>
      </c>
      <c r="S398" s="1">
        <v>17780</v>
      </c>
      <c r="T398" s="1">
        <v>20055</v>
      </c>
      <c r="U398" s="1">
        <v>22470</v>
      </c>
      <c r="V398" s="1">
        <v>21595</v>
      </c>
      <c r="W398" s="1">
        <v>19460</v>
      </c>
      <c r="X398" s="1">
        <v>19985</v>
      </c>
      <c r="Y398" s="1">
        <v>24815</v>
      </c>
      <c r="Z398" s="1">
        <v>31815</v>
      </c>
      <c r="AA398" s="1">
        <v>22085</v>
      </c>
      <c r="AB398" s="1">
        <v>16345</v>
      </c>
      <c r="AC398" s="1">
        <v>20370</v>
      </c>
      <c r="AD398" s="1">
        <v>19355</v>
      </c>
      <c r="AE398" s="1">
        <v>20790</v>
      </c>
      <c r="AF398" s="1">
        <v>20160</v>
      </c>
      <c r="AG398" s="1">
        <v>22680</v>
      </c>
      <c r="AH398" s="1">
        <v>22715</v>
      </c>
      <c r="AI398" s="1">
        <v>22260</v>
      </c>
      <c r="AJ398" s="1">
        <v>20074</v>
      </c>
      <c r="AK398" s="1">
        <v>22676</v>
      </c>
      <c r="AL398" s="1">
        <v>27095</v>
      </c>
      <c r="AM398" s="1">
        <v>22231</v>
      </c>
      <c r="AN398" s="1">
        <v>20519</v>
      </c>
      <c r="AO398" s="1">
        <v>21874</v>
      </c>
      <c r="AP398" s="1">
        <v>21339</v>
      </c>
      <c r="AQ398" s="1">
        <v>21696</v>
      </c>
      <c r="AR398" s="1">
        <v>22625</v>
      </c>
      <c r="AS398" s="1">
        <v>22591</v>
      </c>
      <c r="AT398" s="1">
        <v>22018</v>
      </c>
      <c r="AU398" s="1">
        <v>22027</v>
      </c>
      <c r="AV398" s="1">
        <v>22037</v>
      </c>
      <c r="AW398" s="1">
        <v>22050</v>
      </c>
      <c r="AX398" s="1">
        <v>22060</v>
      </c>
      <c r="AY398" s="1"/>
      <c r="BA398" s="21">
        <f t="shared" si="366"/>
        <v>230265</v>
      </c>
      <c r="BB398" s="22">
        <f t="shared" si="367"/>
        <v>19188.75</v>
      </c>
      <c r="BD398" s="7">
        <f t="shared" si="368"/>
        <v>249690</v>
      </c>
      <c r="BE398" s="7">
        <f t="shared" si="369"/>
        <v>19425</v>
      </c>
      <c r="BF398" s="8">
        <f t="shared" si="370"/>
        <v>8.4359325125398898E-2</v>
      </c>
      <c r="BG398" s="7">
        <f t="shared" si="371"/>
        <v>20807.5</v>
      </c>
      <c r="BI398" s="12">
        <f t="shared" si="372"/>
        <v>256605</v>
      </c>
      <c r="BJ398" s="12">
        <f t="shared" si="373"/>
        <v>6915</v>
      </c>
      <c r="BK398" s="13">
        <f t="shared" si="374"/>
        <v>2.7694340982818755E-2</v>
      </c>
      <c r="BL398" s="24">
        <f t="shared" si="375"/>
        <v>20562.5</v>
      </c>
      <c r="BM398" s="24">
        <f t="shared" si="376"/>
        <v>23026.25</v>
      </c>
      <c r="BO398" s="17">
        <f t="shared" si="377"/>
        <v>263067</v>
      </c>
      <c r="BP398" s="17">
        <f t="shared" si="378"/>
        <v>6462</v>
      </c>
      <c r="BQ398" s="18">
        <f t="shared" si="379"/>
        <v>2.5182673759279739E-2</v>
      </c>
      <c r="BR398" s="25">
        <f t="shared" si="380"/>
        <v>21922.25</v>
      </c>
    </row>
    <row r="399" spans="1:70">
      <c r="A399" t="s">
        <v>651</v>
      </c>
      <c r="B399">
        <v>310315</v>
      </c>
      <c r="C399" s="1">
        <v>2900</v>
      </c>
      <c r="D399" s="1">
        <v>0</v>
      </c>
      <c r="E399" s="1">
        <v>72395</v>
      </c>
      <c r="F399" s="1">
        <v>87500</v>
      </c>
      <c r="G399" s="1">
        <v>0</v>
      </c>
      <c r="H399" s="1">
        <v>22013</v>
      </c>
      <c r="I399" s="1">
        <v>495</v>
      </c>
      <c r="J399" s="1">
        <v>0</v>
      </c>
      <c r="K399" s="1">
        <v>1000</v>
      </c>
      <c r="L399" s="1">
        <v>24000</v>
      </c>
      <c r="M399" s="1">
        <v>0</v>
      </c>
      <c r="N399" s="1">
        <v>495</v>
      </c>
      <c r="O399" s="1">
        <v>0</v>
      </c>
      <c r="P399" s="1">
        <v>0</v>
      </c>
      <c r="Q399" s="1">
        <v>1056</v>
      </c>
      <c r="R399" s="1">
        <v>0</v>
      </c>
      <c r="S399" s="1">
        <v>4373</v>
      </c>
      <c r="T399" s="1">
        <v>0</v>
      </c>
      <c r="U399" s="1">
        <v>4750</v>
      </c>
      <c r="V399" s="1">
        <v>0</v>
      </c>
      <c r="W399" s="1">
        <v>2750</v>
      </c>
      <c r="X399" s="1">
        <v>1710</v>
      </c>
      <c r="Y399" s="1">
        <v>0</v>
      </c>
      <c r="Z399" s="1">
        <v>6150</v>
      </c>
      <c r="AA399" s="1">
        <v>4750</v>
      </c>
      <c r="AB399" s="1">
        <v>0</v>
      </c>
      <c r="AC399" s="1">
        <v>20000</v>
      </c>
      <c r="AD399" s="1">
        <v>600</v>
      </c>
      <c r="AE399" s="1">
        <v>2500</v>
      </c>
      <c r="AF399" s="1">
        <v>16308</v>
      </c>
      <c r="AG399" s="1">
        <v>20890</v>
      </c>
      <c r="AH399" s="1">
        <v>2329</v>
      </c>
      <c r="AI399" s="1">
        <v>1500</v>
      </c>
      <c r="AJ399" s="1">
        <v>13156</v>
      </c>
      <c r="AK399" s="1">
        <v>13156</v>
      </c>
      <c r="AL399" s="1">
        <v>13157</v>
      </c>
      <c r="AM399" s="1">
        <v>14916</v>
      </c>
      <c r="AN399" s="1">
        <v>14916</v>
      </c>
      <c r="AO399" s="1">
        <v>14916</v>
      </c>
      <c r="AP399" s="1">
        <v>14916</v>
      </c>
      <c r="AQ399" s="1">
        <v>14917</v>
      </c>
      <c r="AR399" s="1">
        <v>14917</v>
      </c>
      <c r="AS399" s="1">
        <v>14917</v>
      </c>
      <c r="AT399" s="1">
        <v>14917</v>
      </c>
      <c r="AU399" s="1">
        <v>14917</v>
      </c>
      <c r="AV399" s="1">
        <v>14917</v>
      </c>
      <c r="AW399" s="1">
        <v>14917</v>
      </c>
      <c r="AX399" s="1">
        <v>14917</v>
      </c>
      <c r="AY399" s="1"/>
      <c r="BA399" s="21">
        <f t="shared" si="366"/>
        <v>210798</v>
      </c>
      <c r="BB399" s="22">
        <f t="shared" si="367"/>
        <v>17566.5</v>
      </c>
      <c r="BD399" s="7">
        <f t="shared" si="368"/>
        <v>20789</v>
      </c>
      <c r="BE399" s="7">
        <f t="shared" si="369"/>
        <v>-190009</v>
      </c>
      <c r="BF399" s="8">
        <f t="shared" si="370"/>
        <v>-0.90137951972978869</v>
      </c>
      <c r="BG399" s="7">
        <f t="shared" si="371"/>
        <v>1732.4166666666667</v>
      </c>
      <c r="BI399" s="12">
        <f t="shared" si="372"/>
        <v>108346</v>
      </c>
      <c r="BJ399" s="12">
        <f t="shared" si="373"/>
        <v>87557</v>
      </c>
      <c r="BK399" s="13">
        <f t="shared" si="374"/>
        <v>4.2116984943960745</v>
      </c>
      <c r="BL399" s="24">
        <f t="shared" si="375"/>
        <v>8422.125</v>
      </c>
      <c r="BM399" s="24">
        <f t="shared" si="376"/>
        <v>10242.25</v>
      </c>
      <c r="BO399" s="17">
        <f t="shared" si="377"/>
        <v>179000</v>
      </c>
      <c r="BP399" s="17">
        <f t="shared" si="378"/>
        <v>70654</v>
      </c>
      <c r="BQ399" s="18">
        <f t="shared" si="379"/>
        <v>0.65211452199435138</v>
      </c>
      <c r="BR399" s="25">
        <f t="shared" si="380"/>
        <v>14916.666666666666</v>
      </c>
    </row>
    <row r="400" spans="1:70">
      <c r="A400" t="s">
        <v>652</v>
      </c>
      <c r="B400">
        <v>310320</v>
      </c>
      <c r="C400" s="1">
        <v>195</v>
      </c>
      <c r="D400" s="1">
        <v>0</v>
      </c>
      <c r="E400" s="1">
        <v>390</v>
      </c>
      <c r="F400" s="1">
        <v>195</v>
      </c>
      <c r="G400" s="1">
        <v>0</v>
      </c>
      <c r="H400" s="1">
        <v>585</v>
      </c>
      <c r="I400" s="1">
        <v>0</v>
      </c>
      <c r="J400" s="1">
        <v>0</v>
      </c>
      <c r="K400" s="1">
        <v>195</v>
      </c>
      <c r="L400" s="1">
        <v>195</v>
      </c>
      <c r="M400" s="1">
        <v>0</v>
      </c>
      <c r="N400" s="1">
        <v>0</v>
      </c>
      <c r="O400" s="1">
        <v>0</v>
      </c>
      <c r="P400" s="1">
        <v>0</v>
      </c>
      <c r="Q400" s="1">
        <v>195</v>
      </c>
      <c r="R400" s="1">
        <v>0</v>
      </c>
      <c r="S400" s="1">
        <v>0</v>
      </c>
      <c r="T400" s="1">
        <v>0</v>
      </c>
      <c r="U400" s="1">
        <v>195</v>
      </c>
      <c r="V400" s="1">
        <v>0</v>
      </c>
      <c r="W400" s="1">
        <v>195</v>
      </c>
      <c r="X400" s="1">
        <v>195</v>
      </c>
      <c r="Y400" s="1">
        <v>0</v>
      </c>
      <c r="Z400" s="1">
        <v>390</v>
      </c>
      <c r="AA400" s="1">
        <v>195</v>
      </c>
      <c r="AB400" s="1">
        <v>0</v>
      </c>
      <c r="AC400" s="1">
        <v>195</v>
      </c>
      <c r="AD400" s="1">
        <v>0</v>
      </c>
      <c r="AE400" s="1">
        <v>195</v>
      </c>
      <c r="AF400" s="1">
        <v>780</v>
      </c>
      <c r="AG400" s="1">
        <v>390</v>
      </c>
      <c r="AH400" s="1">
        <v>585</v>
      </c>
      <c r="AI400" s="1">
        <v>195</v>
      </c>
      <c r="AJ400" s="1">
        <v>315</v>
      </c>
      <c r="AK400" s="1">
        <v>315</v>
      </c>
      <c r="AL400" s="1">
        <v>315</v>
      </c>
      <c r="AM400" s="1">
        <v>447</v>
      </c>
      <c r="AN400" s="1">
        <v>447</v>
      </c>
      <c r="AO400" s="1">
        <v>447</v>
      </c>
      <c r="AP400" s="1">
        <v>447</v>
      </c>
      <c r="AQ400" s="1">
        <v>447</v>
      </c>
      <c r="AR400" s="1">
        <v>447</v>
      </c>
      <c r="AS400" s="1">
        <v>448</v>
      </c>
      <c r="AT400" s="1">
        <v>448</v>
      </c>
      <c r="AU400" s="1">
        <v>448</v>
      </c>
      <c r="AV400" s="1">
        <v>448</v>
      </c>
      <c r="AW400" s="1">
        <v>448</v>
      </c>
      <c r="AX400" s="1">
        <v>448</v>
      </c>
      <c r="AY400" s="1"/>
      <c r="BA400" s="21">
        <f t="shared" si="366"/>
        <v>1755</v>
      </c>
      <c r="BB400" s="22">
        <f t="shared" si="367"/>
        <v>146.25</v>
      </c>
      <c r="BD400" s="7">
        <f t="shared" si="368"/>
        <v>1170</v>
      </c>
      <c r="BE400" s="7">
        <f t="shared" si="369"/>
        <v>-585</v>
      </c>
      <c r="BF400" s="8">
        <f t="shared" si="370"/>
        <v>-0.33333333333333337</v>
      </c>
      <c r="BG400" s="7">
        <f t="shared" si="371"/>
        <v>97.5</v>
      </c>
      <c r="BI400" s="12">
        <f t="shared" si="372"/>
        <v>3480</v>
      </c>
      <c r="BJ400" s="12">
        <f t="shared" si="373"/>
        <v>2310</v>
      </c>
      <c r="BK400" s="13">
        <f t="shared" si="374"/>
        <v>1.9743589743589745</v>
      </c>
      <c r="BL400" s="24">
        <f t="shared" si="375"/>
        <v>292.5</v>
      </c>
      <c r="BM400" s="24">
        <f t="shared" si="376"/>
        <v>285</v>
      </c>
      <c r="BO400" s="17">
        <f t="shared" si="377"/>
        <v>5370</v>
      </c>
      <c r="BP400" s="17">
        <f t="shared" si="378"/>
        <v>1890</v>
      </c>
      <c r="BQ400" s="18">
        <f t="shared" si="379"/>
        <v>0.5431034482758621</v>
      </c>
      <c r="BR400" s="25">
        <f t="shared" si="380"/>
        <v>447.5</v>
      </c>
    </row>
    <row r="401" spans="1:70">
      <c r="A401" t="s">
        <v>653</v>
      </c>
      <c r="B401">
        <v>310321</v>
      </c>
      <c r="C401" s="1">
        <v>0</v>
      </c>
      <c r="D401" s="1">
        <v>0</v>
      </c>
      <c r="E401" s="1">
        <v>5211</v>
      </c>
      <c r="F401" s="1">
        <v>70</v>
      </c>
      <c r="G401" s="1">
        <v>0</v>
      </c>
      <c r="H401" s="1">
        <v>35</v>
      </c>
      <c r="I401" s="1">
        <v>14089</v>
      </c>
      <c r="J401" s="1">
        <v>35</v>
      </c>
      <c r="K401" s="1">
        <v>0</v>
      </c>
      <c r="L401" s="1">
        <v>0</v>
      </c>
      <c r="M401" s="1">
        <v>35</v>
      </c>
      <c r="N401" s="1">
        <v>0</v>
      </c>
      <c r="O401" s="1">
        <v>0</v>
      </c>
      <c r="P401" s="1">
        <v>35</v>
      </c>
      <c r="Q401" s="1">
        <v>0</v>
      </c>
      <c r="R401" s="1">
        <v>2958</v>
      </c>
      <c r="S401" s="1">
        <v>35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8771</v>
      </c>
      <c r="AB401" s="1">
        <v>0</v>
      </c>
      <c r="AC401" s="1">
        <v>0</v>
      </c>
      <c r="AD401" s="1">
        <v>35</v>
      </c>
      <c r="AE401" s="1">
        <v>0</v>
      </c>
      <c r="AF401" s="1">
        <v>35</v>
      </c>
      <c r="AG401" s="1">
        <v>70</v>
      </c>
      <c r="AH401" s="1">
        <v>0</v>
      </c>
      <c r="AI401" s="1">
        <v>35</v>
      </c>
      <c r="AJ401" s="1">
        <v>772</v>
      </c>
      <c r="AK401" s="1">
        <v>773</v>
      </c>
      <c r="AL401" s="1">
        <v>773</v>
      </c>
      <c r="AM401" s="1">
        <v>1000</v>
      </c>
      <c r="AN401" s="1">
        <v>1000</v>
      </c>
      <c r="AO401" s="1">
        <v>1000</v>
      </c>
      <c r="AP401" s="1">
        <v>1000</v>
      </c>
      <c r="AQ401" s="1">
        <v>1000</v>
      </c>
      <c r="AR401" s="1">
        <v>1000</v>
      </c>
      <c r="AS401" s="1">
        <v>1000</v>
      </c>
      <c r="AT401" s="1">
        <v>1000</v>
      </c>
      <c r="AU401" s="1">
        <v>1000</v>
      </c>
      <c r="AV401" s="1">
        <v>1000</v>
      </c>
      <c r="AW401" s="1">
        <v>1000</v>
      </c>
      <c r="AX401" s="1">
        <v>1000</v>
      </c>
      <c r="AY401" s="1"/>
      <c r="BA401" s="21">
        <f t="shared" si="366"/>
        <v>19475</v>
      </c>
      <c r="BB401" s="22">
        <f t="shared" si="367"/>
        <v>1622.9166666666667</v>
      </c>
      <c r="BD401" s="7">
        <f t="shared" si="368"/>
        <v>3028</v>
      </c>
      <c r="BE401" s="7">
        <f t="shared" si="369"/>
        <v>-16447</v>
      </c>
      <c r="BF401" s="8">
        <f t="shared" si="370"/>
        <v>-0.84451861360718872</v>
      </c>
      <c r="BG401" s="7">
        <f t="shared" si="371"/>
        <v>252.33333333333334</v>
      </c>
      <c r="BI401" s="12">
        <f t="shared" si="372"/>
        <v>11264</v>
      </c>
      <c r="BJ401" s="12">
        <f t="shared" si="373"/>
        <v>8236</v>
      </c>
      <c r="BK401" s="13">
        <f t="shared" si="374"/>
        <v>2.7199471598414795</v>
      </c>
      <c r="BL401" s="24">
        <f t="shared" si="375"/>
        <v>1113.875</v>
      </c>
      <c r="BM401" s="24">
        <f t="shared" si="376"/>
        <v>588.25</v>
      </c>
      <c r="BO401" s="17">
        <f t="shared" si="377"/>
        <v>12000</v>
      </c>
      <c r="BP401" s="17">
        <f t="shared" si="378"/>
        <v>736</v>
      </c>
      <c r="BQ401" s="18">
        <f t="shared" si="379"/>
        <v>6.5340909090909172E-2</v>
      </c>
      <c r="BR401" s="25">
        <f t="shared" si="380"/>
        <v>1000</v>
      </c>
    </row>
    <row r="402" spans="1:70">
      <c r="A402" t="s">
        <v>654</v>
      </c>
      <c r="B402">
        <v>310325</v>
      </c>
      <c r="C402" s="1">
        <v>51</v>
      </c>
      <c r="D402" s="1">
        <v>0</v>
      </c>
      <c r="E402" s="1">
        <v>158</v>
      </c>
      <c r="F402" s="1">
        <v>76</v>
      </c>
      <c r="G402" s="1">
        <v>0</v>
      </c>
      <c r="H402" s="1">
        <v>262</v>
      </c>
      <c r="I402" s="1">
        <v>0</v>
      </c>
      <c r="J402" s="1">
        <v>0</v>
      </c>
      <c r="K402" s="1">
        <v>46</v>
      </c>
      <c r="L402" s="1">
        <v>91</v>
      </c>
      <c r="M402" s="1">
        <v>0</v>
      </c>
      <c r="N402" s="1">
        <v>0</v>
      </c>
      <c r="O402" s="1">
        <v>0</v>
      </c>
      <c r="P402" s="1">
        <v>0</v>
      </c>
      <c r="Q402" s="1">
        <v>76</v>
      </c>
      <c r="R402" s="1">
        <v>0</v>
      </c>
      <c r="S402" s="1">
        <v>0</v>
      </c>
      <c r="T402" s="1">
        <v>0</v>
      </c>
      <c r="U402" s="1">
        <v>271</v>
      </c>
      <c r="V402" s="1">
        <v>0</v>
      </c>
      <c r="W402" s="1">
        <v>61</v>
      </c>
      <c r="X402" s="1">
        <v>76</v>
      </c>
      <c r="Y402" s="1">
        <v>0</v>
      </c>
      <c r="Z402" s="1">
        <v>101</v>
      </c>
      <c r="AA402" s="1">
        <v>41</v>
      </c>
      <c r="AB402" s="1">
        <v>0</v>
      </c>
      <c r="AC402" s="1">
        <v>186</v>
      </c>
      <c r="AD402" s="1">
        <v>0</v>
      </c>
      <c r="AE402" s="1">
        <v>61</v>
      </c>
      <c r="AF402" s="1">
        <v>164</v>
      </c>
      <c r="AG402" s="1">
        <v>116</v>
      </c>
      <c r="AH402" s="1">
        <v>91</v>
      </c>
      <c r="AI402" s="1">
        <v>55</v>
      </c>
      <c r="AJ402" s="1">
        <v>90</v>
      </c>
      <c r="AK402" s="1">
        <v>90</v>
      </c>
      <c r="AL402" s="1">
        <v>90</v>
      </c>
      <c r="AM402" s="1">
        <v>125</v>
      </c>
      <c r="AN402" s="1">
        <v>125</v>
      </c>
      <c r="AO402" s="1">
        <v>125</v>
      </c>
      <c r="AP402" s="1">
        <v>125</v>
      </c>
      <c r="AQ402" s="1">
        <v>125</v>
      </c>
      <c r="AR402" s="1">
        <v>125</v>
      </c>
      <c r="AS402" s="1">
        <v>125</v>
      </c>
      <c r="AT402" s="1">
        <v>125</v>
      </c>
      <c r="AU402" s="1">
        <v>125</v>
      </c>
      <c r="AV402" s="1">
        <v>125</v>
      </c>
      <c r="AW402" s="1">
        <v>125</v>
      </c>
      <c r="AX402" s="1">
        <v>0</v>
      </c>
      <c r="AY402" s="1"/>
      <c r="BA402" s="21">
        <f t="shared" si="366"/>
        <v>684</v>
      </c>
      <c r="BB402" s="22">
        <f t="shared" si="367"/>
        <v>57</v>
      </c>
      <c r="BD402" s="7">
        <f t="shared" si="368"/>
        <v>585</v>
      </c>
      <c r="BE402" s="7">
        <f t="shared" si="369"/>
        <v>-99</v>
      </c>
      <c r="BF402" s="8">
        <f t="shared" si="370"/>
        <v>-0.14473684210526316</v>
      </c>
      <c r="BG402" s="7">
        <f t="shared" si="371"/>
        <v>48.75</v>
      </c>
      <c r="BI402" s="12">
        <f t="shared" si="372"/>
        <v>984</v>
      </c>
      <c r="BJ402" s="12">
        <f t="shared" si="373"/>
        <v>399</v>
      </c>
      <c r="BK402" s="13">
        <f t="shared" si="374"/>
        <v>0.68205128205128207</v>
      </c>
      <c r="BL402" s="24">
        <f t="shared" si="375"/>
        <v>82.375</v>
      </c>
      <c r="BM402" s="24">
        <f t="shared" si="376"/>
        <v>81.25</v>
      </c>
      <c r="BO402" s="17">
        <f t="shared" si="377"/>
        <v>1375</v>
      </c>
      <c r="BP402" s="17">
        <f t="shared" si="378"/>
        <v>391</v>
      </c>
      <c r="BQ402" s="18">
        <f t="shared" si="379"/>
        <v>0.39735772357723587</v>
      </c>
      <c r="BR402" s="25">
        <f t="shared" si="380"/>
        <v>114.58333333333333</v>
      </c>
    </row>
    <row r="403" spans="1:70">
      <c r="A403" t="s">
        <v>655</v>
      </c>
      <c r="B403">
        <v>310330</v>
      </c>
      <c r="C403" s="1">
        <v>28794</v>
      </c>
      <c r="D403" s="1">
        <v>23566</v>
      </c>
      <c r="E403" s="1">
        <v>20170</v>
      </c>
      <c r="F403" s="1">
        <v>21647</v>
      </c>
      <c r="G403" s="1">
        <v>23019</v>
      </c>
      <c r="H403" s="1">
        <v>23081</v>
      </c>
      <c r="I403" s="1">
        <v>22380</v>
      </c>
      <c r="J403" s="1">
        <v>23412</v>
      </c>
      <c r="K403" s="1">
        <v>25994</v>
      </c>
      <c r="L403" s="1">
        <v>24449</v>
      </c>
      <c r="M403" s="1">
        <v>21855</v>
      </c>
      <c r="N403" s="1">
        <v>23805</v>
      </c>
      <c r="O403" s="1">
        <v>25438</v>
      </c>
      <c r="P403" s="1">
        <v>25313</v>
      </c>
      <c r="Q403" s="1">
        <v>21382</v>
      </c>
      <c r="R403" s="1">
        <v>23991</v>
      </c>
      <c r="S403" s="1">
        <v>25702</v>
      </c>
      <c r="T403" s="1">
        <v>28789</v>
      </c>
      <c r="U403" s="1">
        <v>28140</v>
      </c>
      <c r="V403" s="1">
        <v>26856</v>
      </c>
      <c r="W403" s="1">
        <v>19270</v>
      </c>
      <c r="X403" s="1">
        <v>20568</v>
      </c>
      <c r="Y403" s="1">
        <v>21875</v>
      </c>
      <c r="Z403" s="1">
        <v>21143</v>
      </c>
      <c r="AA403" s="1">
        <v>21630</v>
      </c>
      <c r="AB403" s="1">
        <v>22206</v>
      </c>
      <c r="AC403" s="1">
        <v>17767</v>
      </c>
      <c r="AD403" s="1">
        <v>19678</v>
      </c>
      <c r="AE403" s="1">
        <v>20076</v>
      </c>
      <c r="AF403" s="1">
        <v>21072</v>
      </c>
      <c r="AG403" s="1">
        <v>22005</v>
      </c>
      <c r="AH403" s="1">
        <v>22060</v>
      </c>
      <c r="AI403" s="1">
        <v>22465</v>
      </c>
      <c r="AJ403" s="1">
        <v>20783</v>
      </c>
      <c r="AK403" s="1">
        <v>20783</v>
      </c>
      <c r="AL403" s="1">
        <v>20783</v>
      </c>
      <c r="AM403" s="1">
        <v>21697</v>
      </c>
      <c r="AN403" s="1">
        <v>21697</v>
      </c>
      <c r="AO403" s="1">
        <v>21697</v>
      </c>
      <c r="AP403" s="1">
        <v>21697</v>
      </c>
      <c r="AQ403" s="1">
        <v>21697</v>
      </c>
      <c r="AR403" s="1">
        <v>21697</v>
      </c>
      <c r="AS403" s="1">
        <v>21697</v>
      </c>
      <c r="AT403" s="1">
        <v>21697</v>
      </c>
      <c r="AU403" s="1">
        <v>21697</v>
      </c>
      <c r="AV403" s="1">
        <v>21697</v>
      </c>
      <c r="AW403" s="1">
        <v>21697</v>
      </c>
      <c r="AX403" s="1">
        <v>21708</v>
      </c>
      <c r="AY403" s="1"/>
      <c r="BA403" s="21">
        <f t="shared" si="366"/>
        <v>282172</v>
      </c>
      <c r="BB403" s="22">
        <f t="shared" si="367"/>
        <v>23514.333333333332</v>
      </c>
      <c r="BD403" s="7">
        <f t="shared" si="368"/>
        <v>288467</v>
      </c>
      <c r="BE403" s="7">
        <f t="shared" si="369"/>
        <v>6295</v>
      </c>
      <c r="BF403" s="8">
        <f t="shared" si="370"/>
        <v>2.2309088073940719E-2</v>
      </c>
      <c r="BG403" s="7">
        <f t="shared" si="371"/>
        <v>24038.916666666668</v>
      </c>
      <c r="BI403" s="12">
        <f t="shared" si="372"/>
        <v>251308</v>
      </c>
      <c r="BJ403" s="12">
        <f t="shared" si="373"/>
        <v>-37159</v>
      </c>
      <c r="BK403" s="13">
        <f t="shared" si="374"/>
        <v>-0.12881542776123434</v>
      </c>
      <c r="BL403" s="24">
        <f t="shared" si="375"/>
        <v>20811.75</v>
      </c>
      <c r="BM403" s="24">
        <f t="shared" si="376"/>
        <v>21203.5</v>
      </c>
      <c r="BO403" s="17">
        <f t="shared" si="377"/>
        <v>260375</v>
      </c>
      <c r="BP403" s="17">
        <f t="shared" si="378"/>
        <v>9067</v>
      </c>
      <c r="BQ403" s="18">
        <f t="shared" si="379"/>
        <v>3.6079233450586612E-2</v>
      </c>
      <c r="BR403" s="25">
        <f t="shared" si="380"/>
        <v>21697.916666666668</v>
      </c>
    </row>
    <row r="404" spans="1:70">
      <c r="A404" t="s">
        <v>656</v>
      </c>
      <c r="B404">
        <v>310332</v>
      </c>
      <c r="C404" s="1">
        <v>68</v>
      </c>
      <c r="D404" s="1">
        <v>77</v>
      </c>
      <c r="E404" s="1">
        <v>235</v>
      </c>
      <c r="F404" s="1">
        <v>27</v>
      </c>
      <c r="G404" s="1">
        <v>36</v>
      </c>
      <c r="H404" s="1">
        <v>84</v>
      </c>
      <c r="I404" s="1">
        <v>36</v>
      </c>
      <c r="J404" s="1">
        <v>36</v>
      </c>
      <c r="K404" s="1">
        <v>96</v>
      </c>
      <c r="L404" s="1">
        <v>292</v>
      </c>
      <c r="M404" s="1">
        <v>107</v>
      </c>
      <c r="N404" s="1">
        <v>150</v>
      </c>
      <c r="O404" s="1">
        <v>36</v>
      </c>
      <c r="P404" s="1">
        <v>120</v>
      </c>
      <c r="Q404" s="1">
        <v>116</v>
      </c>
      <c r="R404" s="1">
        <v>134</v>
      </c>
      <c r="S404" s="1">
        <v>234</v>
      </c>
      <c r="T404" s="1">
        <v>69</v>
      </c>
      <c r="U404" s="1">
        <v>219</v>
      </c>
      <c r="V404" s="1">
        <v>152</v>
      </c>
      <c r="W404" s="1">
        <v>111</v>
      </c>
      <c r="X404" s="1">
        <v>84</v>
      </c>
      <c r="Y404" s="1">
        <v>107</v>
      </c>
      <c r="Z404" s="1">
        <v>178</v>
      </c>
      <c r="AA404" s="1">
        <v>42</v>
      </c>
      <c r="AB404" s="1">
        <v>65</v>
      </c>
      <c r="AC404" s="1">
        <v>112</v>
      </c>
      <c r="AD404" s="1">
        <v>85</v>
      </c>
      <c r="AE404" s="1">
        <v>191</v>
      </c>
      <c r="AF404" s="1">
        <v>134</v>
      </c>
      <c r="AG404" s="1">
        <v>112</v>
      </c>
      <c r="AH404" s="1">
        <v>5</v>
      </c>
      <c r="AI404" s="1">
        <v>67</v>
      </c>
      <c r="AJ404" s="1">
        <v>93</v>
      </c>
      <c r="AK404" s="1">
        <v>93</v>
      </c>
      <c r="AL404" s="1">
        <v>93</v>
      </c>
      <c r="AM404" s="1">
        <v>97</v>
      </c>
      <c r="AN404" s="1">
        <v>97</v>
      </c>
      <c r="AO404" s="1">
        <v>97</v>
      </c>
      <c r="AP404" s="1">
        <v>97</v>
      </c>
      <c r="AQ404" s="1">
        <v>97</v>
      </c>
      <c r="AR404" s="1">
        <v>97</v>
      </c>
      <c r="AS404" s="1">
        <v>97</v>
      </c>
      <c r="AT404" s="1">
        <v>97</v>
      </c>
      <c r="AU404" s="1">
        <v>97</v>
      </c>
      <c r="AV404" s="1">
        <v>97</v>
      </c>
      <c r="AW404" s="1">
        <v>97</v>
      </c>
      <c r="AX404" s="1">
        <v>101</v>
      </c>
      <c r="AY404" s="1"/>
      <c r="BA404" s="21">
        <f t="shared" si="366"/>
        <v>1244</v>
      </c>
      <c r="BB404" s="22">
        <f t="shared" si="367"/>
        <v>103.66666666666667</v>
      </c>
      <c r="BD404" s="7">
        <f t="shared" si="368"/>
        <v>1560</v>
      </c>
      <c r="BE404" s="7">
        <f t="shared" si="369"/>
        <v>316</v>
      </c>
      <c r="BF404" s="8">
        <f t="shared" si="370"/>
        <v>0.25401929260450151</v>
      </c>
      <c r="BG404" s="7">
        <f t="shared" si="371"/>
        <v>130</v>
      </c>
      <c r="BI404" s="12">
        <f t="shared" si="372"/>
        <v>1092</v>
      </c>
      <c r="BJ404" s="12">
        <f t="shared" si="373"/>
        <v>-468</v>
      </c>
      <c r="BK404" s="13">
        <f t="shared" si="374"/>
        <v>-0.30000000000000004</v>
      </c>
      <c r="BL404" s="24">
        <f t="shared" si="375"/>
        <v>93.25</v>
      </c>
      <c r="BM404" s="24">
        <f t="shared" si="376"/>
        <v>86.5</v>
      </c>
      <c r="BO404" s="17">
        <f t="shared" si="377"/>
        <v>1168</v>
      </c>
      <c r="BP404" s="17">
        <f t="shared" si="378"/>
        <v>76</v>
      </c>
      <c r="BQ404" s="18">
        <f t="shared" si="379"/>
        <v>6.9597069597069572E-2</v>
      </c>
      <c r="BR404" s="25">
        <f t="shared" si="380"/>
        <v>97.333333333333329</v>
      </c>
    </row>
    <row r="405" spans="1:70">
      <c r="A405" t="s">
        <v>657</v>
      </c>
      <c r="B405">
        <v>310335</v>
      </c>
      <c r="C405" s="1">
        <v>218</v>
      </c>
      <c r="D405" s="1">
        <v>123</v>
      </c>
      <c r="E405" s="1">
        <v>146</v>
      </c>
      <c r="F405" s="1">
        <v>136</v>
      </c>
      <c r="G405" s="1">
        <v>131</v>
      </c>
      <c r="H405" s="1">
        <v>137</v>
      </c>
      <c r="I405" s="1">
        <v>175</v>
      </c>
      <c r="J405" s="1">
        <v>137</v>
      </c>
      <c r="K405" s="1">
        <v>155</v>
      </c>
      <c r="L405" s="1">
        <v>163</v>
      </c>
      <c r="M405" s="1">
        <v>147</v>
      </c>
      <c r="N405" s="1">
        <v>102</v>
      </c>
      <c r="O405" s="1">
        <v>139</v>
      </c>
      <c r="P405" s="1">
        <v>161</v>
      </c>
      <c r="Q405" s="1">
        <v>110</v>
      </c>
      <c r="R405" s="1">
        <v>106</v>
      </c>
      <c r="S405" s="1">
        <v>130</v>
      </c>
      <c r="T405" s="1">
        <v>97</v>
      </c>
      <c r="U405" s="1">
        <v>152</v>
      </c>
      <c r="V405" s="1">
        <v>141</v>
      </c>
      <c r="W405" s="1">
        <v>125</v>
      </c>
      <c r="X405" s="1">
        <v>113</v>
      </c>
      <c r="Y405" s="1">
        <v>118</v>
      </c>
      <c r="Z405" s="1">
        <v>125</v>
      </c>
      <c r="AA405" s="1">
        <v>111</v>
      </c>
      <c r="AB405" s="1">
        <v>84</v>
      </c>
      <c r="AC405" s="1">
        <v>65</v>
      </c>
      <c r="AD405" s="1">
        <v>80</v>
      </c>
      <c r="AE405" s="1">
        <v>100</v>
      </c>
      <c r="AF405" s="1">
        <v>100</v>
      </c>
      <c r="AG405" s="1">
        <v>105</v>
      </c>
      <c r="AH405" s="1">
        <v>126</v>
      </c>
      <c r="AI405" s="1">
        <v>90</v>
      </c>
      <c r="AJ405" s="1">
        <v>96</v>
      </c>
      <c r="AK405" s="1">
        <v>96</v>
      </c>
      <c r="AL405" s="1">
        <v>96</v>
      </c>
      <c r="AM405" s="1">
        <v>100</v>
      </c>
      <c r="AN405" s="1">
        <v>100</v>
      </c>
      <c r="AO405" s="1">
        <v>100</v>
      </c>
      <c r="AP405" s="1">
        <v>100</v>
      </c>
      <c r="AQ405" s="1">
        <v>100</v>
      </c>
      <c r="AR405" s="1">
        <v>100</v>
      </c>
      <c r="AS405" s="1">
        <v>100</v>
      </c>
      <c r="AT405" s="1">
        <v>100</v>
      </c>
      <c r="AU405" s="1">
        <v>100</v>
      </c>
      <c r="AV405" s="1">
        <v>100</v>
      </c>
      <c r="AW405" s="1">
        <v>100</v>
      </c>
      <c r="AX405" s="1">
        <v>106</v>
      </c>
      <c r="AY405" s="1"/>
      <c r="BA405" s="21">
        <f t="shared" si="366"/>
        <v>1770</v>
      </c>
      <c r="BB405" s="22">
        <f t="shared" si="367"/>
        <v>147.5</v>
      </c>
      <c r="BD405" s="7">
        <f t="shared" si="368"/>
        <v>1517</v>
      </c>
      <c r="BE405" s="7">
        <f t="shared" si="369"/>
        <v>-253</v>
      </c>
      <c r="BF405" s="8">
        <f t="shared" si="370"/>
        <v>-0.14293785310734464</v>
      </c>
      <c r="BG405" s="7">
        <f t="shared" si="371"/>
        <v>126.41666666666667</v>
      </c>
      <c r="BI405" s="12">
        <f t="shared" si="372"/>
        <v>1149</v>
      </c>
      <c r="BJ405" s="12">
        <f t="shared" si="373"/>
        <v>-368</v>
      </c>
      <c r="BK405" s="13">
        <f t="shared" si="374"/>
        <v>-0.24258404746209628</v>
      </c>
      <c r="BL405" s="24">
        <f t="shared" si="375"/>
        <v>96.375</v>
      </c>
      <c r="BM405" s="24">
        <f t="shared" si="376"/>
        <v>94.5</v>
      </c>
      <c r="BO405" s="17">
        <f t="shared" si="377"/>
        <v>1206</v>
      </c>
      <c r="BP405" s="17">
        <f t="shared" si="378"/>
        <v>57</v>
      </c>
      <c r="BQ405" s="18">
        <f t="shared" si="379"/>
        <v>4.9608355091383727E-2</v>
      </c>
      <c r="BR405" s="25">
        <f t="shared" si="380"/>
        <v>100.5</v>
      </c>
    </row>
    <row r="406" spans="1:70">
      <c r="A406" t="s">
        <v>658</v>
      </c>
      <c r="B406">
        <v>310340</v>
      </c>
      <c r="C406" s="1">
        <v>121937</v>
      </c>
      <c r="D406" s="1">
        <v>100914</v>
      </c>
      <c r="E406" s="1">
        <v>103946</v>
      </c>
      <c r="F406" s="1">
        <v>93225</v>
      </c>
      <c r="G406" s="1">
        <v>97958</v>
      </c>
      <c r="H406" s="1">
        <v>98480</v>
      </c>
      <c r="I406" s="1">
        <v>96759</v>
      </c>
      <c r="J406" s="1">
        <v>96634</v>
      </c>
      <c r="K406" s="1">
        <v>104575</v>
      </c>
      <c r="L406" s="1">
        <v>108800</v>
      </c>
      <c r="M406" s="1">
        <v>110582</v>
      </c>
      <c r="N406" s="1">
        <v>122342</v>
      </c>
      <c r="O406" s="1">
        <v>125842</v>
      </c>
      <c r="P406" s="1">
        <v>117531</v>
      </c>
      <c r="Q406" s="1">
        <v>114272</v>
      </c>
      <c r="R406" s="1">
        <v>110950</v>
      </c>
      <c r="S406" s="1">
        <v>120297</v>
      </c>
      <c r="T406" s="1">
        <v>118261</v>
      </c>
      <c r="U406" s="1">
        <v>127584</v>
      </c>
      <c r="V406" s="1">
        <v>127860</v>
      </c>
      <c r="W406" s="1">
        <v>106267</v>
      </c>
      <c r="X406" s="1">
        <v>114823</v>
      </c>
      <c r="Y406" s="1">
        <v>112674</v>
      </c>
      <c r="Z406" s="1">
        <v>120598</v>
      </c>
      <c r="AA406" s="1">
        <v>120085</v>
      </c>
      <c r="AB406" s="1">
        <v>113727</v>
      </c>
      <c r="AC406" s="1">
        <v>115360</v>
      </c>
      <c r="AD406" s="1">
        <v>113929</v>
      </c>
      <c r="AE406" s="1">
        <v>123665</v>
      </c>
      <c r="AF406" s="1">
        <v>115812</v>
      </c>
      <c r="AG406" s="1">
        <v>127191</v>
      </c>
      <c r="AH406" s="1">
        <v>120087</v>
      </c>
      <c r="AI406" s="1">
        <v>120161</v>
      </c>
      <c r="AJ406" s="1">
        <v>117047</v>
      </c>
      <c r="AK406" s="1">
        <v>113537</v>
      </c>
      <c r="AL406" s="1">
        <v>121832</v>
      </c>
      <c r="AM406" s="1">
        <v>122986</v>
      </c>
      <c r="AN406" s="1">
        <v>122986</v>
      </c>
      <c r="AO406" s="1">
        <v>122986</v>
      </c>
      <c r="AP406" s="1">
        <v>122986</v>
      </c>
      <c r="AQ406" s="1">
        <v>122986</v>
      </c>
      <c r="AR406" s="1">
        <v>122986</v>
      </c>
      <c r="AS406" s="1">
        <v>122986</v>
      </c>
      <c r="AT406" s="1">
        <v>122986</v>
      </c>
      <c r="AU406" s="1">
        <v>122986</v>
      </c>
      <c r="AV406" s="1">
        <v>122986</v>
      </c>
      <c r="AW406" s="1">
        <v>122986</v>
      </c>
      <c r="AX406" s="1">
        <v>122999</v>
      </c>
      <c r="AY406" s="1"/>
      <c r="BA406" s="21">
        <f t="shared" si="366"/>
        <v>1256152</v>
      </c>
      <c r="BB406" s="22">
        <f t="shared" si="367"/>
        <v>104679.33333333333</v>
      </c>
      <c r="BD406" s="7">
        <f t="shared" si="368"/>
        <v>1416959</v>
      </c>
      <c r="BE406" s="7">
        <f t="shared" si="369"/>
        <v>160807</v>
      </c>
      <c r="BF406" s="8">
        <f t="shared" si="370"/>
        <v>0.12801555862666292</v>
      </c>
      <c r="BG406" s="7">
        <f t="shared" si="371"/>
        <v>118079.91666666667</v>
      </c>
      <c r="BI406" s="12">
        <f t="shared" si="372"/>
        <v>1422433</v>
      </c>
      <c r="BJ406" s="12">
        <f t="shared" si="373"/>
        <v>5474</v>
      </c>
      <c r="BK406" s="13">
        <f t="shared" si="374"/>
        <v>3.8632028167364663E-3</v>
      </c>
      <c r="BL406" s="24">
        <f t="shared" si="375"/>
        <v>118732</v>
      </c>
      <c r="BM406" s="24">
        <f t="shared" si="376"/>
        <v>118144.25</v>
      </c>
      <c r="BO406" s="17">
        <f t="shared" si="377"/>
        <v>1475845</v>
      </c>
      <c r="BP406" s="17">
        <f t="shared" si="378"/>
        <v>53412</v>
      </c>
      <c r="BQ406" s="18">
        <f t="shared" si="379"/>
        <v>3.7549747510076115E-2</v>
      </c>
      <c r="BR406" s="25">
        <f t="shared" si="380"/>
        <v>122987.08333333333</v>
      </c>
    </row>
    <row r="407" spans="1:70">
      <c r="A407" t="s">
        <v>659</v>
      </c>
      <c r="B407">
        <v>310345</v>
      </c>
      <c r="C407" s="1">
        <v>265</v>
      </c>
      <c r="D407" s="1">
        <v>292</v>
      </c>
      <c r="E407" s="1">
        <v>169</v>
      </c>
      <c r="F407" s="1">
        <v>145</v>
      </c>
      <c r="G407" s="1">
        <v>84</v>
      </c>
      <c r="H407" s="1">
        <v>86</v>
      </c>
      <c r="I407" s="1">
        <v>1810</v>
      </c>
      <c r="J407" s="1">
        <v>148</v>
      </c>
      <c r="K407" s="1">
        <v>78</v>
      </c>
      <c r="L407" s="1">
        <v>515</v>
      </c>
      <c r="M407" s="1">
        <v>175</v>
      </c>
      <c r="N407" s="1">
        <v>181</v>
      </c>
      <c r="O407" s="1">
        <v>172</v>
      </c>
      <c r="P407" s="1">
        <v>72</v>
      </c>
      <c r="Q407" s="1">
        <v>45</v>
      </c>
      <c r="R407" s="1">
        <v>141</v>
      </c>
      <c r="S407" s="1">
        <v>277</v>
      </c>
      <c r="T407" s="1">
        <v>189</v>
      </c>
      <c r="U407" s="1">
        <v>501</v>
      </c>
      <c r="V407" s="1">
        <v>113</v>
      </c>
      <c r="W407" s="1">
        <v>219</v>
      </c>
      <c r="X407" s="1">
        <v>212</v>
      </c>
      <c r="Y407" s="1">
        <v>58</v>
      </c>
      <c r="Z407" s="1">
        <v>108</v>
      </c>
      <c r="AA407" s="1">
        <v>195</v>
      </c>
      <c r="AB407" s="1">
        <v>31</v>
      </c>
      <c r="AC407" s="1">
        <v>31</v>
      </c>
      <c r="AD407" s="1">
        <v>82</v>
      </c>
      <c r="AE407" s="1">
        <v>23</v>
      </c>
      <c r="AF407" s="1">
        <v>241</v>
      </c>
      <c r="AG407" s="1">
        <v>236</v>
      </c>
      <c r="AH407" s="1">
        <v>31</v>
      </c>
      <c r="AI407" s="1">
        <v>109</v>
      </c>
      <c r="AJ407" s="1">
        <v>31</v>
      </c>
      <c r="AK407" s="1">
        <v>31</v>
      </c>
      <c r="AL407" s="1">
        <v>31</v>
      </c>
      <c r="AM407" s="1">
        <v>205</v>
      </c>
      <c r="AN407" s="1">
        <v>32</v>
      </c>
      <c r="AO407" s="1">
        <v>32</v>
      </c>
      <c r="AP407" s="1">
        <v>86</v>
      </c>
      <c r="AQ407" s="1">
        <v>25</v>
      </c>
      <c r="AR407" s="1">
        <v>253</v>
      </c>
      <c r="AS407" s="1">
        <v>248</v>
      </c>
      <c r="AT407" s="1">
        <v>32</v>
      </c>
      <c r="AU407" s="1">
        <v>32</v>
      </c>
      <c r="AV407" s="1">
        <v>32</v>
      </c>
      <c r="AW407" s="1">
        <v>32</v>
      </c>
      <c r="AX407" s="1">
        <v>32</v>
      </c>
      <c r="AY407" s="1"/>
      <c r="BA407" s="21">
        <f t="shared" si="366"/>
        <v>3948</v>
      </c>
      <c r="BB407" s="22">
        <f t="shared" si="367"/>
        <v>329</v>
      </c>
      <c r="BD407" s="7">
        <f t="shared" si="368"/>
        <v>2107</v>
      </c>
      <c r="BE407" s="7">
        <f t="shared" si="369"/>
        <v>-1841</v>
      </c>
      <c r="BF407" s="8">
        <f t="shared" si="370"/>
        <v>-0.46631205673758869</v>
      </c>
      <c r="BG407" s="7">
        <f t="shared" si="371"/>
        <v>175.58333333333334</v>
      </c>
      <c r="BI407" s="12">
        <f t="shared" si="372"/>
        <v>1072</v>
      </c>
      <c r="BJ407" s="12">
        <f t="shared" si="373"/>
        <v>-1035</v>
      </c>
      <c r="BK407" s="13">
        <f t="shared" si="374"/>
        <v>-0.49121974371143806</v>
      </c>
      <c r="BL407" s="24">
        <f t="shared" si="375"/>
        <v>108.75</v>
      </c>
      <c r="BM407" s="24">
        <f t="shared" si="376"/>
        <v>50.5</v>
      </c>
      <c r="BO407" s="17">
        <f t="shared" si="377"/>
        <v>1041</v>
      </c>
      <c r="BP407" s="17">
        <f t="shared" si="378"/>
        <v>-31</v>
      </c>
      <c r="BQ407" s="18">
        <f t="shared" si="379"/>
        <v>-2.8917910447761153E-2</v>
      </c>
      <c r="BR407" s="25">
        <f t="shared" si="380"/>
        <v>86.75</v>
      </c>
    </row>
    <row r="408" spans="1:70">
      <c r="A408" t="s">
        <v>660</v>
      </c>
      <c r="B408">
        <v>310351</v>
      </c>
      <c r="C408" s="1">
        <v>0</v>
      </c>
      <c r="D408" s="1">
        <v>0</v>
      </c>
      <c r="E408" s="1">
        <v>0</v>
      </c>
      <c r="F408" s="1">
        <v>0</v>
      </c>
      <c r="G408" s="1">
        <v>-135</v>
      </c>
      <c r="H408" s="1">
        <v>0</v>
      </c>
      <c r="I408" s="1">
        <v>0</v>
      </c>
      <c r="J408" s="1">
        <v>10732</v>
      </c>
      <c r="K408" s="1">
        <v>18096</v>
      </c>
      <c r="L408" s="1">
        <v>22006</v>
      </c>
      <c r="M408" s="1">
        <v>0</v>
      </c>
      <c r="N408" s="1">
        <v>0</v>
      </c>
      <c r="O408" s="1">
        <v>0</v>
      </c>
      <c r="P408" s="1">
        <v>266</v>
      </c>
      <c r="Q408" s="1">
        <v>1448</v>
      </c>
      <c r="R408" s="1">
        <v>13218</v>
      </c>
      <c r="S408" s="1">
        <v>0</v>
      </c>
      <c r="T408" s="1">
        <v>3157</v>
      </c>
      <c r="U408" s="1">
        <v>-155</v>
      </c>
      <c r="V408" s="1">
        <v>7254</v>
      </c>
      <c r="W408" s="1">
        <v>12207</v>
      </c>
      <c r="X408" s="1">
        <v>0</v>
      </c>
      <c r="Y408" s="1">
        <v>11008</v>
      </c>
      <c r="Z408" s="1">
        <v>16654</v>
      </c>
      <c r="AA408" s="1">
        <v>1849</v>
      </c>
      <c r="AB408" s="1">
        <v>0</v>
      </c>
      <c r="AC408" s="1">
        <v>0</v>
      </c>
      <c r="AD408" s="1">
        <v>14195</v>
      </c>
      <c r="AE408" s="1">
        <v>4241</v>
      </c>
      <c r="AF408" s="1">
        <v>14981</v>
      </c>
      <c r="AG408" s="1">
        <v>3808</v>
      </c>
      <c r="AH408" s="1">
        <v>185</v>
      </c>
      <c r="AI408" s="1">
        <v>1938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/>
      <c r="BA408" s="21">
        <f t="shared" si="366"/>
        <v>50699</v>
      </c>
      <c r="BB408" s="22">
        <f t="shared" si="367"/>
        <v>4224.916666666667</v>
      </c>
      <c r="BD408" s="7">
        <f t="shared" si="368"/>
        <v>65057</v>
      </c>
      <c r="BE408" s="7">
        <f t="shared" si="369"/>
        <v>14358</v>
      </c>
      <c r="BF408" s="8">
        <f t="shared" si="370"/>
        <v>0.28320085208781243</v>
      </c>
      <c r="BG408" s="7">
        <f t="shared" si="371"/>
        <v>5421.416666666667</v>
      </c>
      <c r="BI408" s="12">
        <f t="shared" si="372"/>
        <v>41197</v>
      </c>
      <c r="BJ408" s="12">
        <f t="shared" si="373"/>
        <v>-23860</v>
      </c>
      <c r="BK408" s="13">
        <f t="shared" si="374"/>
        <v>-0.3667553068847319</v>
      </c>
      <c r="BL408" s="24">
        <f t="shared" si="375"/>
        <v>4907.375</v>
      </c>
      <c r="BM408" s="24">
        <f t="shared" si="376"/>
        <v>484.5</v>
      </c>
      <c r="BO408" s="17">
        <f t="shared" si="377"/>
        <v>0</v>
      </c>
      <c r="BP408" s="17">
        <f t="shared" si="378"/>
        <v>-41197</v>
      </c>
      <c r="BQ408" s="18">
        <f t="shared" si="379"/>
        <v>-1</v>
      </c>
      <c r="BR408" s="25">
        <f t="shared" si="380"/>
        <v>0</v>
      </c>
    </row>
    <row r="409" spans="1:70">
      <c r="A409" t="s">
        <v>661</v>
      </c>
      <c r="B409">
        <v>310355</v>
      </c>
      <c r="C409" s="1">
        <v>24</v>
      </c>
      <c r="D409" s="1">
        <v>26</v>
      </c>
      <c r="E409" s="1">
        <v>40</v>
      </c>
      <c r="F409" s="1">
        <v>14</v>
      </c>
      <c r="G409" s="1">
        <v>30</v>
      </c>
      <c r="H409" s="1">
        <v>10</v>
      </c>
      <c r="I409" s="1">
        <v>0</v>
      </c>
      <c r="J409" s="1">
        <v>252</v>
      </c>
      <c r="K409" s="1">
        <v>44</v>
      </c>
      <c r="L409" s="1">
        <v>153</v>
      </c>
      <c r="M409" s="1">
        <v>-70</v>
      </c>
      <c r="N409" s="1">
        <v>10</v>
      </c>
      <c r="O409" s="1">
        <v>42</v>
      </c>
      <c r="P409" s="1">
        <v>62</v>
      </c>
      <c r="Q409" s="1">
        <v>460</v>
      </c>
      <c r="R409" s="1">
        <v>37</v>
      </c>
      <c r="S409" s="1">
        <v>500</v>
      </c>
      <c r="T409" s="1">
        <v>110</v>
      </c>
      <c r="U409" s="1">
        <v>691</v>
      </c>
      <c r="V409" s="1">
        <v>143</v>
      </c>
      <c r="W409" s="1">
        <v>12</v>
      </c>
      <c r="X409" s="1">
        <v>31</v>
      </c>
      <c r="Y409" s="1">
        <v>41</v>
      </c>
      <c r="Z409" s="1">
        <v>154</v>
      </c>
      <c r="AA409" s="1">
        <v>134</v>
      </c>
      <c r="AB409" s="1">
        <v>31</v>
      </c>
      <c r="AC409" s="1">
        <v>90</v>
      </c>
      <c r="AD409" s="1">
        <v>-45</v>
      </c>
      <c r="AE409" s="1">
        <v>706</v>
      </c>
      <c r="AF409" s="1">
        <v>2053</v>
      </c>
      <c r="AG409" s="1">
        <v>-1794</v>
      </c>
      <c r="AH409" s="1">
        <v>4573</v>
      </c>
      <c r="AI409" s="1">
        <v>628</v>
      </c>
      <c r="AJ409" s="1">
        <v>83</v>
      </c>
      <c r="AK409" s="1">
        <v>82</v>
      </c>
      <c r="AL409" s="1">
        <v>82</v>
      </c>
      <c r="AM409" s="1">
        <v>587</v>
      </c>
      <c r="AN409" s="1">
        <v>587</v>
      </c>
      <c r="AO409" s="1">
        <v>587</v>
      </c>
      <c r="AP409" s="1">
        <v>587</v>
      </c>
      <c r="AQ409" s="1">
        <v>587</v>
      </c>
      <c r="AR409" s="1">
        <v>587</v>
      </c>
      <c r="AS409" s="1">
        <v>587</v>
      </c>
      <c r="AT409" s="1">
        <v>587</v>
      </c>
      <c r="AU409" s="1">
        <v>587</v>
      </c>
      <c r="AV409" s="1">
        <v>587</v>
      </c>
      <c r="AW409" s="1">
        <v>587</v>
      </c>
      <c r="AX409" s="1">
        <v>586</v>
      </c>
      <c r="AY409" s="1"/>
      <c r="BA409" s="21">
        <f t="shared" si="366"/>
        <v>533</v>
      </c>
      <c r="BB409" s="22">
        <f t="shared" si="367"/>
        <v>44.416666666666664</v>
      </c>
      <c r="BD409" s="7">
        <f t="shared" si="368"/>
        <v>2283</v>
      </c>
      <c r="BE409" s="7">
        <f t="shared" si="369"/>
        <v>1750</v>
      </c>
      <c r="BF409" s="8">
        <f t="shared" si="370"/>
        <v>3.2833020637898684</v>
      </c>
      <c r="BG409" s="7">
        <f t="shared" si="371"/>
        <v>190.25</v>
      </c>
      <c r="BI409" s="12">
        <f t="shared" si="372"/>
        <v>6623</v>
      </c>
      <c r="BJ409" s="12">
        <f t="shared" si="373"/>
        <v>4340</v>
      </c>
      <c r="BK409" s="13">
        <f t="shared" si="374"/>
        <v>1.9010074463425317</v>
      </c>
      <c r="BL409" s="24">
        <f t="shared" si="375"/>
        <v>718.5</v>
      </c>
      <c r="BM409" s="24">
        <f t="shared" si="376"/>
        <v>218.75</v>
      </c>
      <c r="BO409" s="17">
        <f t="shared" si="377"/>
        <v>7043</v>
      </c>
      <c r="BP409" s="17">
        <f t="shared" si="378"/>
        <v>420</v>
      </c>
      <c r="BQ409" s="18">
        <f t="shared" si="379"/>
        <v>6.3415370677940563E-2</v>
      </c>
      <c r="BR409" s="25">
        <f t="shared" si="380"/>
        <v>586.91666666666663</v>
      </c>
    </row>
    <row r="410" spans="1:70">
      <c r="A410" t="s">
        <v>662</v>
      </c>
      <c r="B410">
        <v>310360</v>
      </c>
      <c r="C410" s="1">
        <v>1000</v>
      </c>
      <c r="D410" s="1">
        <v>2500</v>
      </c>
      <c r="E410" s="1">
        <v>3000</v>
      </c>
      <c r="F410" s="1">
        <v>3500</v>
      </c>
      <c r="G410" s="1">
        <v>2748</v>
      </c>
      <c r="H410" s="1">
        <v>4250</v>
      </c>
      <c r="I410" s="1">
        <v>1000</v>
      </c>
      <c r="J410" s="1">
        <v>2000</v>
      </c>
      <c r="K410" s="1">
        <v>3250</v>
      </c>
      <c r="L410" s="1">
        <v>5250</v>
      </c>
      <c r="M410" s="1">
        <v>2750</v>
      </c>
      <c r="N410" s="1">
        <v>3000</v>
      </c>
      <c r="O410" s="1">
        <v>1500</v>
      </c>
      <c r="P410" s="1">
        <v>2250</v>
      </c>
      <c r="Q410" s="1">
        <v>1500</v>
      </c>
      <c r="R410" s="1">
        <v>1750</v>
      </c>
      <c r="S410" s="1">
        <v>2250</v>
      </c>
      <c r="T410" s="1">
        <v>625</v>
      </c>
      <c r="U410" s="1">
        <v>3250</v>
      </c>
      <c r="V410" s="1">
        <v>2500</v>
      </c>
      <c r="W410" s="1">
        <v>1625</v>
      </c>
      <c r="X410" s="1">
        <v>3375</v>
      </c>
      <c r="Y410" s="1">
        <v>1250</v>
      </c>
      <c r="Z410" s="1">
        <v>1000</v>
      </c>
      <c r="AA410" s="1">
        <v>500</v>
      </c>
      <c r="AB410" s="1">
        <v>625</v>
      </c>
      <c r="AC410" s="1">
        <v>1000</v>
      </c>
      <c r="AD410" s="1">
        <v>500</v>
      </c>
      <c r="AE410" s="1">
        <v>875</v>
      </c>
      <c r="AF410" s="1">
        <v>1875</v>
      </c>
      <c r="AG410" s="1">
        <v>2375</v>
      </c>
      <c r="AH410" s="1">
        <v>2875</v>
      </c>
      <c r="AI410" s="1">
        <v>1250</v>
      </c>
      <c r="AJ410" s="1">
        <v>2000</v>
      </c>
      <c r="AK410" s="1">
        <v>2000</v>
      </c>
      <c r="AL410" s="1">
        <v>2000</v>
      </c>
      <c r="AM410" s="1">
        <v>1629</v>
      </c>
      <c r="AN410" s="1">
        <v>1629</v>
      </c>
      <c r="AO410" s="1">
        <v>1629</v>
      </c>
      <c r="AP410" s="1">
        <v>1629</v>
      </c>
      <c r="AQ410" s="1">
        <v>1629</v>
      </c>
      <c r="AR410" s="1">
        <v>1629</v>
      </c>
      <c r="AS410" s="1">
        <v>1629</v>
      </c>
      <c r="AT410" s="1">
        <v>1629</v>
      </c>
      <c r="AU410" s="1">
        <v>1629</v>
      </c>
      <c r="AV410" s="1">
        <v>1629</v>
      </c>
      <c r="AW410" s="1">
        <v>1629</v>
      </c>
      <c r="AX410" s="1">
        <v>1637</v>
      </c>
      <c r="AY410" s="1"/>
      <c r="BA410" s="21">
        <f t="shared" si="366"/>
        <v>34248</v>
      </c>
      <c r="BB410" s="22">
        <f t="shared" si="367"/>
        <v>2854</v>
      </c>
      <c r="BD410" s="7">
        <f t="shared" si="368"/>
        <v>22875</v>
      </c>
      <c r="BE410" s="7">
        <f t="shared" si="369"/>
        <v>-11373</v>
      </c>
      <c r="BF410" s="8">
        <f t="shared" si="370"/>
        <v>-0.33207778556412049</v>
      </c>
      <c r="BG410" s="7">
        <f t="shared" si="371"/>
        <v>1906.25</v>
      </c>
      <c r="BI410" s="12">
        <f t="shared" si="372"/>
        <v>17875</v>
      </c>
      <c r="BJ410" s="12">
        <f t="shared" si="373"/>
        <v>-5000</v>
      </c>
      <c r="BK410" s="13">
        <f t="shared" si="374"/>
        <v>-0.21857923497267762</v>
      </c>
      <c r="BL410" s="24">
        <f t="shared" si="375"/>
        <v>1328.125</v>
      </c>
      <c r="BM410" s="24">
        <f t="shared" si="376"/>
        <v>1812.5</v>
      </c>
      <c r="BO410" s="17">
        <f t="shared" si="377"/>
        <v>19556</v>
      </c>
      <c r="BP410" s="17">
        <f t="shared" si="378"/>
        <v>1681</v>
      </c>
      <c r="BQ410" s="18">
        <f t="shared" si="379"/>
        <v>9.4041958041958029E-2</v>
      </c>
      <c r="BR410" s="25">
        <f t="shared" si="380"/>
        <v>1629.6666666666667</v>
      </c>
    </row>
    <row r="411" spans="1:70">
      <c r="A411" t="s">
        <v>663</v>
      </c>
      <c r="B411">
        <v>310365</v>
      </c>
      <c r="C411" s="1">
        <v>400</v>
      </c>
      <c r="D411" s="1">
        <v>400</v>
      </c>
      <c r="E411" s="1">
        <v>200</v>
      </c>
      <c r="F411" s="1">
        <v>200</v>
      </c>
      <c r="G411" s="1">
        <v>800</v>
      </c>
      <c r="H411" s="1">
        <v>1000</v>
      </c>
      <c r="I411" s="1">
        <v>1000</v>
      </c>
      <c r="J411" s="1">
        <v>1000</v>
      </c>
      <c r="K411" s="1">
        <v>600</v>
      </c>
      <c r="L411" s="1">
        <v>1000</v>
      </c>
      <c r="M411" s="1">
        <v>400</v>
      </c>
      <c r="N411" s="1">
        <v>800</v>
      </c>
      <c r="O411" s="1">
        <v>800</v>
      </c>
      <c r="P411" s="1">
        <v>1000</v>
      </c>
      <c r="Q411" s="1">
        <v>1800</v>
      </c>
      <c r="R411" s="1">
        <v>1200</v>
      </c>
      <c r="S411" s="1">
        <v>1000</v>
      </c>
      <c r="T411" s="1">
        <v>0</v>
      </c>
      <c r="U411" s="1">
        <v>0</v>
      </c>
      <c r="V411" s="1">
        <v>800</v>
      </c>
      <c r="W411" s="1">
        <v>800</v>
      </c>
      <c r="X411" s="1">
        <v>600</v>
      </c>
      <c r="Y411" s="1">
        <v>600</v>
      </c>
      <c r="Z411" s="1">
        <v>200</v>
      </c>
      <c r="AA411" s="1">
        <v>600</v>
      </c>
      <c r="AB411" s="1">
        <v>400</v>
      </c>
      <c r="AC411" s="1">
        <v>0</v>
      </c>
      <c r="AD411" s="1">
        <v>800</v>
      </c>
      <c r="AE411" s="1">
        <v>200</v>
      </c>
      <c r="AF411" s="1">
        <v>200</v>
      </c>
      <c r="AG411" s="1">
        <v>1000</v>
      </c>
      <c r="AH411" s="1">
        <v>800</v>
      </c>
      <c r="AI411" s="1">
        <v>0</v>
      </c>
      <c r="AJ411" s="1">
        <v>450</v>
      </c>
      <c r="AK411" s="1">
        <v>450</v>
      </c>
      <c r="AL411" s="1">
        <v>450</v>
      </c>
      <c r="AM411" s="1">
        <v>452</v>
      </c>
      <c r="AN411" s="1">
        <v>452</v>
      </c>
      <c r="AO411" s="1">
        <v>452</v>
      </c>
      <c r="AP411" s="1">
        <v>452</v>
      </c>
      <c r="AQ411" s="1">
        <v>452</v>
      </c>
      <c r="AR411" s="1">
        <v>452</v>
      </c>
      <c r="AS411" s="1">
        <v>452</v>
      </c>
      <c r="AT411" s="1">
        <v>452</v>
      </c>
      <c r="AU411" s="1">
        <v>452</v>
      </c>
      <c r="AV411" s="1">
        <v>452</v>
      </c>
      <c r="AW411" s="1">
        <v>452</v>
      </c>
      <c r="AX411" s="1">
        <v>457</v>
      </c>
      <c r="AY411" s="1"/>
      <c r="BA411" s="21">
        <f t="shared" si="366"/>
        <v>7800</v>
      </c>
      <c r="BB411" s="22">
        <f t="shared" si="367"/>
        <v>650</v>
      </c>
      <c r="BD411" s="7">
        <f t="shared" si="368"/>
        <v>8800</v>
      </c>
      <c r="BE411" s="7">
        <f t="shared" si="369"/>
        <v>1000</v>
      </c>
      <c r="BF411" s="8">
        <f t="shared" si="370"/>
        <v>0.12820512820512819</v>
      </c>
      <c r="BG411" s="7">
        <f t="shared" si="371"/>
        <v>733.33333333333337</v>
      </c>
      <c r="BI411" s="12">
        <f t="shared" si="372"/>
        <v>5350</v>
      </c>
      <c r="BJ411" s="12">
        <f t="shared" si="373"/>
        <v>-3450</v>
      </c>
      <c r="BK411" s="13">
        <f t="shared" si="374"/>
        <v>-0.39204545454545459</v>
      </c>
      <c r="BL411" s="24">
        <f t="shared" si="375"/>
        <v>500</v>
      </c>
      <c r="BM411" s="24">
        <f t="shared" si="376"/>
        <v>337.5</v>
      </c>
      <c r="BO411" s="17">
        <f t="shared" si="377"/>
        <v>5429</v>
      </c>
      <c r="BP411" s="17">
        <f t="shared" si="378"/>
        <v>79</v>
      </c>
      <c r="BQ411" s="18">
        <f t="shared" si="379"/>
        <v>1.4766355140186871E-2</v>
      </c>
      <c r="BR411" s="25">
        <f t="shared" si="380"/>
        <v>452.41666666666669</v>
      </c>
    </row>
    <row r="412" spans="1:70">
      <c r="A412" t="s">
        <v>664</v>
      </c>
      <c r="B412">
        <v>310370</v>
      </c>
      <c r="C412" s="1">
        <v>13481</v>
      </c>
      <c r="D412" s="1">
        <v>30435</v>
      </c>
      <c r="E412" s="1">
        <v>15252</v>
      </c>
      <c r="F412" s="1">
        <v>20513</v>
      </c>
      <c r="G412" s="1">
        <v>31294</v>
      </c>
      <c r="H412" s="1">
        <v>13037</v>
      </c>
      <c r="I412" s="1">
        <v>22875</v>
      </c>
      <c r="J412" s="1">
        <v>37303</v>
      </c>
      <c r="K412" s="1">
        <v>13312</v>
      </c>
      <c r="L412" s="1">
        <v>8822</v>
      </c>
      <c r="M412" s="1">
        <v>2187</v>
      </c>
      <c r="N412" s="1">
        <v>7331</v>
      </c>
      <c r="O412" s="1">
        <v>2831</v>
      </c>
      <c r="P412" s="1">
        <v>4554</v>
      </c>
      <c r="Q412" s="1">
        <v>5211</v>
      </c>
      <c r="R412" s="1">
        <v>6725</v>
      </c>
      <c r="S412" s="1">
        <v>5318</v>
      </c>
      <c r="T412" s="1">
        <v>6689</v>
      </c>
      <c r="U412" s="1">
        <v>37604</v>
      </c>
      <c r="V412" s="1">
        <v>26057</v>
      </c>
      <c r="W412" s="1">
        <v>10016</v>
      </c>
      <c r="X412" s="1">
        <v>9148</v>
      </c>
      <c r="Y412" s="1">
        <v>3259</v>
      </c>
      <c r="Z412" s="1">
        <v>3521</v>
      </c>
      <c r="AA412" s="1">
        <v>47036</v>
      </c>
      <c r="AB412" s="1">
        <v>63931</v>
      </c>
      <c r="AC412" s="1">
        <v>25495</v>
      </c>
      <c r="AD412" s="1">
        <v>10901</v>
      </c>
      <c r="AE412" s="1">
        <v>15301</v>
      </c>
      <c r="AF412" s="1">
        <v>10667</v>
      </c>
      <c r="AG412" s="1">
        <v>6584</v>
      </c>
      <c r="AH412" s="1">
        <v>4561</v>
      </c>
      <c r="AI412" s="1">
        <v>4673</v>
      </c>
      <c r="AJ412" s="1">
        <v>22676</v>
      </c>
      <c r="AK412" s="1">
        <v>22676</v>
      </c>
      <c r="AL412" s="1">
        <v>22676</v>
      </c>
      <c r="AM412" s="1">
        <v>23666</v>
      </c>
      <c r="AN412" s="1">
        <v>23666</v>
      </c>
      <c r="AO412" s="1">
        <v>23666</v>
      </c>
      <c r="AP412" s="1">
        <v>23666</v>
      </c>
      <c r="AQ412" s="1">
        <v>23666</v>
      </c>
      <c r="AR412" s="1">
        <v>23666</v>
      </c>
      <c r="AS412" s="1">
        <v>23666</v>
      </c>
      <c r="AT412" s="1">
        <v>23666</v>
      </c>
      <c r="AU412" s="1">
        <v>23666</v>
      </c>
      <c r="AV412" s="1">
        <v>23666</v>
      </c>
      <c r="AW412" s="1">
        <v>23666</v>
      </c>
      <c r="AX412" s="1">
        <v>23669</v>
      </c>
      <c r="AY412" s="1"/>
      <c r="BA412" s="21">
        <f t="shared" si="366"/>
        <v>215842</v>
      </c>
      <c r="BB412" s="22">
        <f t="shared" si="367"/>
        <v>17986.833333333332</v>
      </c>
      <c r="BD412" s="7">
        <f t="shared" si="368"/>
        <v>120933</v>
      </c>
      <c r="BE412" s="7">
        <f t="shared" si="369"/>
        <v>-94909</v>
      </c>
      <c r="BF412" s="8">
        <f t="shared" si="370"/>
        <v>-0.43971516201666039</v>
      </c>
      <c r="BG412" s="7">
        <f t="shared" si="371"/>
        <v>10077.75</v>
      </c>
      <c r="BI412" s="12">
        <f t="shared" si="372"/>
        <v>257177</v>
      </c>
      <c r="BJ412" s="12">
        <f t="shared" si="373"/>
        <v>136244</v>
      </c>
      <c r="BK412" s="13">
        <f t="shared" si="374"/>
        <v>1.1266072949484425</v>
      </c>
      <c r="BL412" s="24">
        <f t="shared" si="375"/>
        <v>23059.5</v>
      </c>
      <c r="BM412" s="24">
        <f t="shared" si="376"/>
        <v>18175.25</v>
      </c>
      <c r="BO412" s="17">
        <f t="shared" si="377"/>
        <v>283995</v>
      </c>
      <c r="BP412" s="17">
        <f t="shared" si="378"/>
        <v>26818</v>
      </c>
      <c r="BQ412" s="18">
        <f t="shared" si="379"/>
        <v>0.10427837637113746</v>
      </c>
      <c r="BR412" s="25">
        <f t="shared" si="380"/>
        <v>23666.25</v>
      </c>
    </row>
    <row r="413" spans="1:70">
      <c r="A413" t="s">
        <v>665</v>
      </c>
      <c r="B413">
        <v>310371</v>
      </c>
      <c r="C413" s="1">
        <v>42</v>
      </c>
      <c r="D413" s="1">
        <v>0</v>
      </c>
      <c r="E413" s="1">
        <v>385</v>
      </c>
      <c r="F413" s="1">
        <v>593</v>
      </c>
      <c r="G413" s="1">
        <v>456</v>
      </c>
      <c r="H413" s="1">
        <v>669</v>
      </c>
      <c r="I413" s="1">
        <v>183</v>
      </c>
      <c r="J413" s="1">
        <v>469</v>
      </c>
      <c r="K413" s="1">
        <v>481</v>
      </c>
      <c r="L413" s="1">
        <v>0</v>
      </c>
      <c r="M413" s="1">
        <v>108</v>
      </c>
      <c r="N413" s="1">
        <v>194</v>
      </c>
      <c r="O413" s="1">
        <v>219</v>
      </c>
      <c r="P413" s="1">
        <v>760</v>
      </c>
      <c r="Q413" s="1">
        <v>281</v>
      </c>
      <c r="R413" s="1">
        <v>406</v>
      </c>
      <c r="S413" s="1">
        <v>510</v>
      </c>
      <c r="T413" s="1">
        <v>377</v>
      </c>
      <c r="U413" s="1">
        <v>30</v>
      </c>
      <c r="V413" s="1">
        <v>520</v>
      </c>
      <c r="W413" s="1">
        <v>435</v>
      </c>
      <c r="X413" s="1">
        <v>118</v>
      </c>
      <c r="Y413" s="1">
        <v>130</v>
      </c>
      <c r="Z413" s="1">
        <v>1794</v>
      </c>
      <c r="AA413" s="1">
        <v>187</v>
      </c>
      <c r="AB413" s="1">
        <v>1101</v>
      </c>
      <c r="AC413" s="1">
        <v>1037</v>
      </c>
      <c r="AD413" s="1">
        <v>2145</v>
      </c>
      <c r="AE413" s="1">
        <v>182</v>
      </c>
      <c r="AF413" s="1">
        <v>0</v>
      </c>
      <c r="AG413" s="1">
        <v>444</v>
      </c>
      <c r="AH413" s="1">
        <v>504</v>
      </c>
      <c r="AI413" s="1">
        <v>1868</v>
      </c>
      <c r="AJ413" s="1">
        <v>699</v>
      </c>
      <c r="AK413" s="1">
        <v>699</v>
      </c>
      <c r="AL413" s="1">
        <v>699</v>
      </c>
      <c r="AM413" s="1">
        <v>730</v>
      </c>
      <c r="AN413" s="1">
        <v>730</v>
      </c>
      <c r="AO413" s="1">
        <v>730</v>
      </c>
      <c r="AP413" s="1">
        <v>730</v>
      </c>
      <c r="AQ413" s="1">
        <v>730</v>
      </c>
      <c r="AR413" s="1">
        <v>730</v>
      </c>
      <c r="AS413" s="1">
        <v>730</v>
      </c>
      <c r="AT413" s="1">
        <v>730</v>
      </c>
      <c r="AU413" s="1">
        <v>730</v>
      </c>
      <c r="AV413" s="1">
        <v>730</v>
      </c>
      <c r="AW413" s="1">
        <v>730</v>
      </c>
      <c r="AX413" s="1">
        <v>735</v>
      </c>
      <c r="AY413" s="1"/>
      <c r="BA413" s="21">
        <f t="shared" si="366"/>
        <v>3580</v>
      </c>
      <c r="BB413" s="22">
        <f t="shared" si="367"/>
        <v>298.33333333333331</v>
      </c>
      <c r="BD413" s="7">
        <f t="shared" si="368"/>
        <v>5580</v>
      </c>
      <c r="BE413" s="7">
        <f t="shared" si="369"/>
        <v>2000</v>
      </c>
      <c r="BF413" s="8">
        <f t="shared" si="370"/>
        <v>0.55865921787709505</v>
      </c>
      <c r="BG413" s="7">
        <f t="shared" si="371"/>
        <v>465</v>
      </c>
      <c r="BI413" s="12">
        <f t="shared" si="372"/>
        <v>9565</v>
      </c>
      <c r="BJ413" s="12">
        <f t="shared" si="373"/>
        <v>3985</v>
      </c>
      <c r="BK413" s="13">
        <f t="shared" si="374"/>
        <v>0.71415770609319007</v>
      </c>
      <c r="BL413" s="24">
        <f t="shared" si="375"/>
        <v>700</v>
      </c>
      <c r="BM413" s="24">
        <f t="shared" si="376"/>
        <v>991.25</v>
      </c>
      <c r="BO413" s="17">
        <f t="shared" si="377"/>
        <v>8765</v>
      </c>
      <c r="BP413" s="17">
        <f t="shared" si="378"/>
        <v>-800</v>
      </c>
      <c r="BQ413" s="18">
        <f t="shared" si="379"/>
        <v>-8.3638264506011528E-2</v>
      </c>
      <c r="BR413" s="25">
        <f t="shared" si="380"/>
        <v>730.41666666666663</v>
      </c>
    </row>
    <row r="414" spans="1:70">
      <c r="A414" t="s">
        <v>666</v>
      </c>
      <c r="B414">
        <v>310372</v>
      </c>
      <c r="C414" s="1">
        <v>1479</v>
      </c>
      <c r="D414" s="1">
        <v>394</v>
      </c>
      <c r="E414" s="1">
        <v>2491</v>
      </c>
      <c r="F414" s="1">
        <v>938</v>
      </c>
      <c r="G414" s="1">
        <v>2491</v>
      </c>
      <c r="H414" s="1">
        <v>2935</v>
      </c>
      <c r="I414" s="1">
        <v>1509</v>
      </c>
      <c r="J414" s="1">
        <v>3208</v>
      </c>
      <c r="K414" s="1">
        <v>2251</v>
      </c>
      <c r="L414" s="1">
        <v>2167</v>
      </c>
      <c r="M414" s="1">
        <v>1430</v>
      </c>
      <c r="N414" s="1">
        <v>1798</v>
      </c>
      <c r="O414" s="1">
        <v>2216</v>
      </c>
      <c r="P414" s="1">
        <v>2529</v>
      </c>
      <c r="Q414" s="1">
        <v>1789</v>
      </c>
      <c r="R414" s="1">
        <v>1940</v>
      </c>
      <c r="S414" s="1">
        <v>204</v>
      </c>
      <c r="T414" s="1">
        <v>1546</v>
      </c>
      <c r="U414" s="1">
        <v>2031</v>
      </c>
      <c r="V414" s="1">
        <v>2992</v>
      </c>
      <c r="W414" s="1">
        <v>666</v>
      </c>
      <c r="X414" s="1">
        <v>1246</v>
      </c>
      <c r="Y414" s="1">
        <v>1838</v>
      </c>
      <c r="Z414" s="1">
        <v>4620</v>
      </c>
      <c r="AA414" s="1">
        <v>1596</v>
      </c>
      <c r="AB414" s="1">
        <v>2762</v>
      </c>
      <c r="AC414" s="1">
        <v>1852</v>
      </c>
      <c r="AD414" s="1">
        <v>4326</v>
      </c>
      <c r="AE414" s="1">
        <v>1866</v>
      </c>
      <c r="AF414" s="1">
        <v>2669</v>
      </c>
      <c r="AG414" s="1">
        <v>2071</v>
      </c>
      <c r="AH414" s="1">
        <v>2712</v>
      </c>
      <c r="AI414" s="1">
        <v>1058</v>
      </c>
      <c r="AJ414" s="1">
        <v>2481</v>
      </c>
      <c r="AK414" s="1">
        <v>2481</v>
      </c>
      <c r="AL414" s="1">
        <v>2481</v>
      </c>
      <c r="AM414" s="1">
        <v>2590</v>
      </c>
      <c r="AN414" s="1">
        <v>2590</v>
      </c>
      <c r="AO414" s="1">
        <v>2590</v>
      </c>
      <c r="AP414" s="1">
        <v>2590</v>
      </c>
      <c r="AQ414" s="1">
        <v>2590</v>
      </c>
      <c r="AR414" s="1">
        <v>2590</v>
      </c>
      <c r="AS414" s="1">
        <v>2590</v>
      </c>
      <c r="AT414" s="1">
        <v>2590</v>
      </c>
      <c r="AU414" s="1">
        <v>2590</v>
      </c>
      <c r="AV414" s="1">
        <v>2590</v>
      </c>
      <c r="AW414" s="1">
        <v>2590</v>
      </c>
      <c r="AX414" s="1">
        <v>2598</v>
      </c>
      <c r="AY414" s="1"/>
      <c r="BA414" s="21">
        <f t="shared" si="366"/>
        <v>23091</v>
      </c>
      <c r="BB414" s="22">
        <f t="shared" si="367"/>
        <v>1924.25</v>
      </c>
      <c r="BD414" s="7">
        <f t="shared" si="368"/>
        <v>23617</v>
      </c>
      <c r="BE414" s="7">
        <f t="shared" si="369"/>
        <v>526</v>
      </c>
      <c r="BF414" s="8">
        <f t="shared" si="370"/>
        <v>2.2779437876228936E-2</v>
      </c>
      <c r="BG414" s="7">
        <f t="shared" si="371"/>
        <v>1968.0833333333333</v>
      </c>
      <c r="BI414" s="12">
        <f t="shared" si="372"/>
        <v>28355</v>
      </c>
      <c r="BJ414" s="12">
        <f t="shared" si="373"/>
        <v>4738</v>
      </c>
      <c r="BK414" s="13">
        <f t="shared" si="374"/>
        <v>0.20061819875513409</v>
      </c>
      <c r="BL414" s="24">
        <f t="shared" si="375"/>
        <v>2481.75</v>
      </c>
      <c r="BM414" s="24">
        <f t="shared" si="376"/>
        <v>2125.25</v>
      </c>
      <c r="BO414" s="17">
        <f t="shared" si="377"/>
        <v>31088</v>
      </c>
      <c r="BP414" s="17">
        <f t="shared" si="378"/>
        <v>2733</v>
      </c>
      <c r="BQ414" s="18">
        <f t="shared" si="379"/>
        <v>9.638511726326926E-2</v>
      </c>
      <c r="BR414" s="25">
        <f t="shared" si="380"/>
        <v>2590.6666666666665</v>
      </c>
    </row>
    <row r="415" spans="1:70">
      <c r="A415" t="s">
        <v>667</v>
      </c>
      <c r="B415">
        <v>310215</v>
      </c>
      <c r="C415" s="1">
        <v>2920</v>
      </c>
      <c r="D415" s="1">
        <v>2682</v>
      </c>
      <c r="E415" s="1">
        <v>3044</v>
      </c>
      <c r="F415" s="1">
        <v>2715</v>
      </c>
      <c r="G415" s="1">
        <v>3344</v>
      </c>
      <c r="H415" s="1">
        <v>3145</v>
      </c>
      <c r="I415" s="1">
        <v>3169</v>
      </c>
      <c r="J415" s="1">
        <v>3430</v>
      </c>
      <c r="K415" s="1">
        <v>2857</v>
      </c>
      <c r="L415" s="1">
        <v>3160</v>
      </c>
      <c r="M415" s="1">
        <v>2918</v>
      </c>
      <c r="N415" s="1">
        <v>2961</v>
      </c>
      <c r="O415" s="1">
        <v>3029</v>
      </c>
      <c r="P415" s="1">
        <v>2755</v>
      </c>
      <c r="Q415" s="1">
        <v>3060</v>
      </c>
      <c r="R415" s="1">
        <v>3285</v>
      </c>
      <c r="S415" s="1">
        <v>3472</v>
      </c>
      <c r="T415" s="1">
        <v>2951</v>
      </c>
      <c r="U415" s="1">
        <v>3501</v>
      </c>
      <c r="V415" s="1">
        <v>3070</v>
      </c>
      <c r="W415" s="1">
        <v>2907</v>
      </c>
      <c r="X415" s="1">
        <v>3298</v>
      </c>
      <c r="Y415" s="1">
        <v>2936</v>
      </c>
      <c r="Z415" s="1">
        <v>3010</v>
      </c>
      <c r="AA415" s="1">
        <v>3074</v>
      </c>
      <c r="AB415" s="1">
        <v>2394</v>
      </c>
      <c r="AC415" s="1">
        <v>2886</v>
      </c>
      <c r="AD415" s="1">
        <v>3333</v>
      </c>
      <c r="AE415" s="1">
        <v>3041</v>
      </c>
      <c r="AF415" s="1">
        <v>2946</v>
      </c>
      <c r="AG415" s="1">
        <v>3605</v>
      </c>
      <c r="AH415" s="1">
        <v>2991</v>
      </c>
      <c r="AI415" s="1">
        <v>3332</v>
      </c>
      <c r="AJ415" s="1">
        <v>3009</v>
      </c>
      <c r="AK415" s="1">
        <v>3020</v>
      </c>
      <c r="AL415" s="1">
        <v>3030</v>
      </c>
      <c r="AM415" s="1">
        <v>3134</v>
      </c>
      <c r="AN415" s="1">
        <v>2447</v>
      </c>
      <c r="AO415" s="1">
        <v>2923</v>
      </c>
      <c r="AP415" s="1">
        <v>3425</v>
      </c>
      <c r="AQ415" s="1">
        <v>3085</v>
      </c>
      <c r="AR415" s="1">
        <v>2998</v>
      </c>
      <c r="AS415" s="1">
        <v>3629</v>
      </c>
      <c r="AT415" s="1">
        <v>3018</v>
      </c>
      <c r="AU415" s="1">
        <v>3029</v>
      </c>
      <c r="AV415" s="1">
        <v>3036</v>
      </c>
      <c r="AW415" s="1">
        <v>3047</v>
      </c>
      <c r="AX415" s="1">
        <v>3059</v>
      </c>
      <c r="AY415" s="1"/>
      <c r="BA415" s="21">
        <f t="shared" si="366"/>
        <v>36345</v>
      </c>
      <c r="BB415" s="22">
        <f t="shared" si="367"/>
        <v>3028.75</v>
      </c>
      <c r="BD415" s="7">
        <f t="shared" si="368"/>
        <v>37274</v>
      </c>
      <c r="BE415" s="7">
        <f t="shared" si="369"/>
        <v>929</v>
      </c>
      <c r="BF415" s="8">
        <f t="shared" si="370"/>
        <v>2.556059980740133E-2</v>
      </c>
      <c r="BG415" s="7">
        <f t="shared" si="371"/>
        <v>3106.1666666666665</v>
      </c>
      <c r="BI415" s="12">
        <f t="shared" si="372"/>
        <v>36661</v>
      </c>
      <c r="BJ415" s="12">
        <f t="shared" si="373"/>
        <v>-613</v>
      </c>
      <c r="BK415" s="13">
        <f t="shared" si="374"/>
        <v>-1.6445779900198576E-2</v>
      </c>
      <c r="BL415" s="24">
        <f t="shared" si="375"/>
        <v>3033.75</v>
      </c>
      <c r="BM415" s="24">
        <f t="shared" si="376"/>
        <v>3097.75</v>
      </c>
      <c r="BO415" s="17">
        <f t="shared" si="377"/>
        <v>36830</v>
      </c>
      <c r="BP415" s="17">
        <f t="shared" si="378"/>
        <v>169</v>
      </c>
      <c r="BQ415" s="18">
        <f t="shared" si="379"/>
        <v>4.6098033332424571E-3</v>
      </c>
      <c r="BR415" s="25">
        <f t="shared" si="380"/>
        <v>3069.1666666666665</v>
      </c>
    </row>
    <row r="416" spans="1:70">
      <c r="A416" t="s">
        <v>668</v>
      </c>
      <c r="B416">
        <v>310216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50</v>
      </c>
      <c r="AP416" s="1">
        <v>150</v>
      </c>
      <c r="AQ416" s="1">
        <v>300</v>
      </c>
      <c r="AR416" s="1">
        <v>450</v>
      </c>
      <c r="AS416" s="1">
        <v>600</v>
      </c>
      <c r="AT416" s="1">
        <v>750</v>
      </c>
      <c r="AU416" s="1">
        <v>900</v>
      </c>
      <c r="AV416" s="1">
        <v>1050</v>
      </c>
      <c r="AW416" s="1">
        <v>1200</v>
      </c>
      <c r="AX416" s="1">
        <v>1350</v>
      </c>
      <c r="AY416" s="1"/>
      <c r="BA416" s="21">
        <f t="shared" si="366"/>
        <v>0</v>
      </c>
      <c r="BB416" s="22">
        <f t="shared" si="367"/>
        <v>0</v>
      </c>
      <c r="BD416" s="7">
        <f t="shared" si="368"/>
        <v>0</v>
      </c>
      <c r="BE416" s="7">
        <f t="shared" si="369"/>
        <v>0</v>
      </c>
      <c r="BF416" s="8" t="e">
        <f t="shared" si="370"/>
        <v>#DIV/0!</v>
      </c>
      <c r="BG416" s="7">
        <f t="shared" si="371"/>
        <v>0</v>
      </c>
      <c r="BI416" s="12">
        <f t="shared" si="372"/>
        <v>0</v>
      </c>
      <c r="BJ416" s="12">
        <f t="shared" si="373"/>
        <v>0</v>
      </c>
      <c r="BK416" s="13" t="e">
        <f t="shared" si="374"/>
        <v>#DIV/0!</v>
      </c>
      <c r="BL416" s="24">
        <f t="shared" si="375"/>
        <v>0</v>
      </c>
      <c r="BM416" s="24">
        <f t="shared" si="376"/>
        <v>0</v>
      </c>
      <c r="BO416" s="17">
        <f t="shared" si="377"/>
        <v>6800</v>
      </c>
      <c r="BP416" s="17">
        <f t="shared" si="378"/>
        <v>6800</v>
      </c>
      <c r="BQ416" s="18" t="e">
        <f t="shared" si="379"/>
        <v>#DIV/0!</v>
      </c>
      <c r="BR416" s="25">
        <f t="shared" si="380"/>
        <v>566.66666666666663</v>
      </c>
    </row>
    <row r="417" spans="1:70">
      <c r="A417" t="s">
        <v>669</v>
      </c>
      <c r="B417">
        <v>310230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20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50</v>
      </c>
      <c r="AN417" s="1">
        <v>50</v>
      </c>
      <c r="AO417" s="1">
        <v>50</v>
      </c>
      <c r="AP417" s="1">
        <v>80</v>
      </c>
      <c r="AQ417" s="1">
        <v>80</v>
      </c>
      <c r="AR417" s="1">
        <v>80</v>
      </c>
      <c r="AS417" s="1">
        <v>100</v>
      </c>
      <c r="AT417" s="1">
        <v>100</v>
      </c>
      <c r="AU417" s="1">
        <v>100</v>
      </c>
      <c r="AV417" s="1">
        <v>120</v>
      </c>
      <c r="AW417" s="1">
        <v>120</v>
      </c>
      <c r="AX417" s="1">
        <v>120</v>
      </c>
      <c r="AY417" s="1"/>
      <c r="BA417" s="21">
        <f t="shared" si="366"/>
        <v>0</v>
      </c>
      <c r="BB417" s="22">
        <f t="shared" si="367"/>
        <v>0</v>
      </c>
      <c r="BD417" s="7">
        <f t="shared" si="368"/>
        <v>20</v>
      </c>
      <c r="BE417" s="7">
        <f t="shared" si="369"/>
        <v>20</v>
      </c>
      <c r="BF417" s="8" t="e">
        <f t="shared" si="370"/>
        <v>#DIV/0!</v>
      </c>
      <c r="BG417" s="7">
        <f t="shared" si="371"/>
        <v>1.6666666666666667</v>
      </c>
      <c r="BI417" s="12">
        <f t="shared" si="372"/>
        <v>0</v>
      </c>
      <c r="BJ417" s="12">
        <f t="shared" si="373"/>
        <v>-20</v>
      </c>
      <c r="BK417" s="13">
        <f t="shared" si="374"/>
        <v>-1</v>
      </c>
      <c r="BL417" s="24">
        <f t="shared" si="375"/>
        <v>0</v>
      </c>
      <c r="BM417" s="24">
        <f t="shared" si="376"/>
        <v>0</v>
      </c>
      <c r="BO417" s="17">
        <f t="shared" si="377"/>
        <v>1050</v>
      </c>
      <c r="BP417" s="17">
        <f t="shared" si="378"/>
        <v>1050</v>
      </c>
      <c r="BQ417" s="18" t="e">
        <f t="shared" si="379"/>
        <v>#DIV/0!</v>
      </c>
      <c r="BR417" s="25">
        <f t="shared" si="380"/>
        <v>87.5</v>
      </c>
    </row>
    <row r="418" spans="1:70">
      <c r="A418" t="s">
        <v>670</v>
      </c>
      <c r="B418">
        <v>310235</v>
      </c>
      <c r="C418" s="1">
        <v>0</v>
      </c>
      <c r="D418" s="1">
        <v>0</v>
      </c>
      <c r="E418" s="1">
        <v>0</v>
      </c>
      <c r="F418" s="1">
        <v>0</v>
      </c>
      <c r="G418" s="1">
        <v>30</v>
      </c>
      <c r="H418" s="1">
        <v>60</v>
      </c>
      <c r="I418" s="1">
        <v>60</v>
      </c>
      <c r="J418" s="1">
        <v>30</v>
      </c>
      <c r="K418" s="1">
        <v>30</v>
      </c>
      <c r="L418" s="1">
        <v>30</v>
      </c>
      <c r="M418" s="1">
        <v>30</v>
      </c>
      <c r="N418" s="1">
        <v>30</v>
      </c>
      <c r="O418" s="1">
        <v>30</v>
      </c>
      <c r="P418" s="1">
        <v>30</v>
      </c>
      <c r="Q418" s="1">
        <v>30</v>
      </c>
      <c r="R418" s="1">
        <v>30</v>
      </c>
      <c r="S418" s="1">
        <v>30</v>
      </c>
      <c r="T418" s="1">
        <v>30</v>
      </c>
      <c r="U418" s="1">
        <v>30</v>
      </c>
      <c r="V418" s="1">
        <v>30</v>
      </c>
      <c r="W418" s="1">
        <v>59</v>
      </c>
      <c r="X418" s="1">
        <v>90</v>
      </c>
      <c r="Y418" s="1">
        <v>120</v>
      </c>
      <c r="Z418" s="1">
        <v>120</v>
      </c>
      <c r="AA418" s="1">
        <v>120</v>
      </c>
      <c r="AB418" s="1">
        <v>120</v>
      </c>
      <c r="AC418" s="1">
        <v>120</v>
      </c>
      <c r="AD418" s="1">
        <v>120</v>
      </c>
      <c r="AE418" s="1">
        <v>180</v>
      </c>
      <c r="AF418" s="1">
        <v>180</v>
      </c>
      <c r="AG418" s="1">
        <v>180</v>
      </c>
      <c r="AH418" s="1">
        <v>180</v>
      </c>
      <c r="AI418" s="1">
        <v>150</v>
      </c>
      <c r="AJ418" s="1">
        <v>180</v>
      </c>
      <c r="AK418" s="1">
        <v>180</v>
      </c>
      <c r="AL418" s="1">
        <v>180</v>
      </c>
      <c r="AM418" s="1">
        <v>240</v>
      </c>
      <c r="AN418" s="1">
        <v>300</v>
      </c>
      <c r="AO418" s="1">
        <v>400</v>
      </c>
      <c r="AP418" s="1">
        <v>500</v>
      </c>
      <c r="AQ418" s="1">
        <v>600</v>
      </c>
      <c r="AR418" s="1">
        <v>700</v>
      </c>
      <c r="AS418" s="1">
        <v>800</v>
      </c>
      <c r="AT418" s="1">
        <v>900</v>
      </c>
      <c r="AU418" s="1">
        <v>1000</v>
      </c>
      <c r="AV418" s="1">
        <v>1100</v>
      </c>
      <c r="AW418" s="1">
        <v>1200</v>
      </c>
      <c r="AX418" s="1">
        <v>1300</v>
      </c>
      <c r="AY418" s="1"/>
      <c r="BA418" s="21">
        <f t="shared" si="366"/>
        <v>300</v>
      </c>
      <c r="BB418" s="22">
        <f t="shared" si="367"/>
        <v>25</v>
      </c>
      <c r="BD418" s="7">
        <f t="shared" si="368"/>
        <v>629</v>
      </c>
      <c r="BE418" s="7">
        <f t="shared" si="369"/>
        <v>329</v>
      </c>
      <c r="BF418" s="8">
        <f t="shared" si="370"/>
        <v>1.0966666666666667</v>
      </c>
      <c r="BG418" s="7">
        <f t="shared" si="371"/>
        <v>52.416666666666664</v>
      </c>
      <c r="BI418" s="12">
        <f t="shared" si="372"/>
        <v>1890</v>
      </c>
      <c r="BJ418" s="12">
        <f t="shared" si="373"/>
        <v>1261</v>
      </c>
      <c r="BK418" s="13">
        <f t="shared" si="374"/>
        <v>2.0047694753577106</v>
      </c>
      <c r="BL418" s="24">
        <f t="shared" si="375"/>
        <v>150</v>
      </c>
      <c r="BM418" s="24">
        <f t="shared" si="376"/>
        <v>172.5</v>
      </c>
      <c r="BO418" s="17">
        <f t="shared" si="377"/>
        <v>9040</v>
      </c>
      <c r="BP418" s="17">
        <f t="shared" si="378"/>
        <v>7150</v>
      </c>
      <c r="BQ418" s="18">
        <f t="shared" si="379"/>
        <v>3.7830687830687832</v>
      </c>
      <c r="BR418" s="25">
        <f t="shared" si="380"/>
        <v>753.33333333333337</v>
      </c>
    </row>
    <row r="419" spans="1:70">
      <c r="A419" t="s">
        <v>671</v>
      </c>
      <c r="B419">
        <v>310505</v>
      </c>
      <c r="C419" s="1">
        <v>93150</v>
      </c>
      <c r="D419" s="1">
        <v>92130</v>
      </c>
      <c r="E419" s="1">
        <v>99860</v>
      </c>
      <c r="F419" s="1">
        <v>87740</v>
      </c>
      <c r="G419" s="1">
        <v>94725</v>
      </c>
      <c r="H419" s="1">
        <v>95700</v>
      </c>
      <c r="I419" s="1">
        <v>96280</v>
      </c>
      <c r="J419" s="1">
        <v>96505</v>
      </c>
      <c r="K419" s="1">
        <v>96975</v>
      </c>
      <c r="L419" s="1">
        <v>88200</v>
      </c>
      <c r="M419" s="1">
        <v>85295</v>
      </c>
      <c r="N419" s="1">
        <v>84595</v>
      </c>
      <c r="O419" s="1">
        <v>84380</v>
      </c>
      <c r="P419" s="1">
        <v>78240</v>
      </c>
      <c r="Q419" s="1">
        <v>78805</v>
      </c>
      <c r="R419" s="1">
        <v>73025</v>
      </c>
      <c r="S419" s="1">
        <v>73435</v>
      </c>
      <c r="T419" s="1">
        <v>66150</v>
      </c>
      <c r="U419" s="1">
        <v>72115</v>
      </c>
      <c r="V419" s="1">
        <v>74710</v>
      </c>
      <c r="W419" s="1">
        <v>64598</v>
      </c>
      <c r="X419" s="1">
        <v>69260</v>
      </c>
      <c r="Y419" s="1">
        <v>64840</v>
      </c>
      <c r="Z419" s="1">
        <v>65745</v>
      </c>
      <c r="AA419" s="1">
        <v>64685</v>
      </c>
      <c r="AB419" s="1">
        <v>61080</v>
      </c>
      <c r="AC419" s="1">
        <v>66370</v>
      </c>
      <c r="AD419" s="1">
        <v>61570</v>
      </c>
      <c r="AE419" s="1">
        <v>62860</v>
      </c>
      <c r="AF419" s="1">
        <v>55275</v>
      </c>
      <c r="AG419" s="1">
        <v>59580</v>
      </c>
      <c r="AH419" s="1">
        <v>57590</v>
      </c>
      <c r="AI419" s="1">
        <v>55210</v>
      </c>
      <c r="AJ419" s="1">
        <v>56588</v>
      </c>
      <c r="AK419" s="1">
        <v>56093</v>
      </c>
      <c r="AL419" s="1">
        <v>55603</v>
      </c>
      <c r="AM419" s="1">
        <v>55116</v>
      </c>
      <c r="AN419" s="1">
        <v>54635</v>
      </c>
      <c r="AO419" s="1">
        <v>54157</v>
      </c>
      <c r="AP419" s="1">
        <v>53684</v>
      </c>
      <c r="AQ419" s="1">
        <v>53214</v>
      </c>
      <c r="AR419" s="1">
        <v>52749</v>
      </c>
      <c r="AS419" s="1">
        <v>52288</v>
      </c>
      <c r="AT419" s="1">
        <v>51831</v>
      </c>
      <c r="AU419" s="1">
        <v>51378</v>
      </c>
      <c r="AV419" s="1">
        <v>50929</v>
      </c>
      <c r="AW419" s="1">
        <v>50484</v>
      </c>
      <c r="AX419" s="1">
        <v>50042</v>
      </c>
      <c r="AY419" s="1"/>
      <c r="BA419" s="21">
        <f t="shared" si="366"/>
        <v>1111155</v>
      </c>
      <c r="BB419" s="22">
        <f t="shared" si="367"/>
        <v>92596.25</v>
      </c>
      <c r="BD419" s="7">
        <f t="shared" si="368"/>
        <v>865303</v>
      </c>
      <c r="BE419" s="7">
        <f t="shared" si="369"/>
        <v>-245852</v>
      </c>
      <c r="BF419" s="8">
        <f t="shared" si="370"/>
        <v>-0.22125806030661788</v>
      </c>
      <c r="BG419" s="7">
        <f t="shared" si="371"/>
        <v>72108.583333333328</v>
      </c>
      <c r="BI419" s="12">
        <f t="shared" si="372"/>
        <v>712504</v>
      </c>
      <c r="BJ419" s="12">
        <f t="shared" si="373"/>
        <v>-152799</v>
      </c>
      <c r="BK419" s="13">
        <f t="shared" si="374"/>
        <v>-0.17658438720309533</v>
      </c>
      <c r="BL419" s="24">
        <f t="shared" si="375"/>
        <v>61126.25</v>
      </c>
      <c r="BM419" s="24">
        <f t="shared" si="376"/>
        <v>55873.5</v>
      </c>
      <c r="BO419" s="17">
        <f t="shared" si="377"/>
        <v>630507</v>
      </c>
      <c r="BP419" s="17">
        <f t="shared" si="378"/>
        <v>-81997</v>
      </c>
      <c r="BQ419" s="18">
        <f t="shared" si="379"/>
        <v>-0.11508286269270063</v>
      </c>
      <c r="BR419" s="25">
        <f t="shared" si="380"/>
        <v>52542.25</v>
      </c>
    </row>
    <row r="420" spans="1:70">
      <c r="A420" t="s">
        <v>672</v>
      </c>
      <c r="B420">
        <v>310545</v>
      </c>
      <c r="C420" s="1">
        <v>10046</v>
      </c>
      <c r="D420" s="1">
        <v>8095</v>
      </c>
      <c r="E420" s="1">
        <v>8631</v>
      </c>
      <c r="F420" s="1">
        <v>7089</v>
      </c>
      <c r="G420" s="1">
        <v>9075</v>
      </c>
      <c r="H420" s="1">
        <v>8244</v>
      </c>
      <c r="I420" s="1">
        <v>9931</v>
      </c>
      <c r="J420" s="1">
        <v>8332</v>
      </c>
      <c r="K420" s="1">
        <v>10099</v>
      </c>
      <c r="L420" s="1">
        <v>10014</v>
      </c>
      <c r="M420" s="1">
        <v>9080</v>
      </c>
      <c r="N420" s="1">
        <v>8523</v>
      </c>
      <c r="O420" s="1">
        <v>9047</v>
      </c>
      <c r="P420" s="1">
        <v>7497</v>
      </c>
      <c r="Q420" s="1">
        <v>7084</v>
      </c>
      <c r="R420" s="1">
        <v>6708</v>
      </c>
      <c r="S420" s="1">
        <v>7707</v>
      </c>
      <c r="T420" s="1">
        <v>7556</v>
      </c>
      <c r="U420" s="1">
        <v>9713</v>
      </c>
      <c r="V420" s="1">
        <v>10128</v>
      </c>
      <c r="W420" s="1">
        <v>8178</v>
      </c>
      <c r="X420" s="1">
        <v>8998</v>
      </c>
      <c r="Y420" s="1">
        <v>8971</v>
      </c>
      <c r="Z420" s="1">
        <v>9858</v>
      </c>
      <c r="AA420" s="1">
        <v>10025</v>
      </c>
      <c r="AB420" s="1">
        <v>8890</v>
      </c>
      <c r="AC420" s="1">
        <v>9271</v>
      </c>
      <c r="AD420" s="1">
        <v>8661</v>
      </c>
      <c r="AE420" s="1">
        <v>8171</v>
      </c>
      <c r="AF420" s="1">
        <v>9505</v>
      </c>
      <c r="AG420" s="1">
        <v>10685</v>
      </c>
      <c r="AH420" s="1">
        <v>10337</v>
      </c>
      <c r="AI420" s="1">
        <v>9841</v>
      </c>
      <c r="AJ420" s="1">
        <v>8995</v>
      </c>
      <c r="AK420" s="1">
        <v>9005</v>
      </c>
      <c r="AL420" s="1">
        <v>10080</v>
      </c>
      <c r="AM420" s="1">
        <v>9724</v>
      </c>
      <c r="AN420" s="1">
        <v>9724</v>
      </c>
      <c r="AO420" s="1">
        <v>9724</v>
      </c>
      <c r="AP420" s="1">
        <v>9724</v>
      </c>
      <c r="AQ420" s="1">
        <v>9724</v>
      </c>
      <c r="AR420" s="1">
        <v>9724</v>
      </c>
      <c r="AS420" s="1">
        <v>9724</v>
      </c>
      <c r="AT420" s="1">
        <v>9724</v>
      </c>
      <c r="AU420" s="1">
        <v>9724</v>
      </c>
      <c r="AV420" s="1">
        <v>9724</v>
      </c>
      <c r="AW420" s="1">
        <v>9724</v>
      </c>
      <c r="AX420" s="1">
        <v>9732</v>
      </c>
      <c r="AY420" s="1"/>
      <c r="BA420" s="21">
        <f t="shared" si="366"/>
        <v>107159</v>
      </c>
      <c r="BB420" s="22">
        <f t="shared" si="367"/>
        <v>8929.9166666666661</v>
      </c>
      <c r="BD420" s="7">
        <f t="shared" si="368"/>
        <v>101445</v>
      </c>
      <c r="BE420" s="7">
        <f t="shared" si="369"/>
        <v>-5714</v>
      </c>
      <c r="BF420" s="8">
        <f t="shared" si="370"/>
        <v>-5.3322632723336372E-2</v>
      </c>
      <c r="BG420" s="7">
        <f t="shared" si="371"/>
        <v>8453.75</v>
      </c>
      <c r="BI420" s="12">
        <f t="shared" si="372"/>
        <v>113466</v>
      </c>
      <c r="BJ420" s="12">
        <f t="shared" si="373"/>
        <v>12021</v>
      </c>
      <c r="BK420" s="13">
        <f t="shared" si="374"/>
        <v>0.11849770811769922</v>
      </c>
      <c r="BL420" s="24">
        <f t="shared" si="375"/>
        <v>9443.125</v>
      </c>
      <c r="BM420" s="24">
        <f t="shared" si="376"/>
        <v>9480.25</v>
      </c>
      <c r="BO420" s="17">
        <f t="shared" si="377"/>
        <v>116696</v>
      </c>
      <c r="BP420" s="17">
        <f t="shared" si="378"/>
        <v>3230</v>
      </c>
      <c r="BQ420" s="18">
        <f t="shared" si="379"/>
        <v>2.8466677242521943E-2</v>
      </c>
      <c r="BR420" s="25">
        <f t="shared" si="380"/>
        <v>9724.6666666666661</v>
      </c>
    </row>
    <row r="421" spans="1:70">
      <c r="A421" t="s">
        <v>11</v>
      </c>
      <c r="B421" t="s">
        <v>12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BA421" s="21"/>
      <c r="BB421" s="22"/>
      <c r="BD421" s="7"/>
      <c r="BE421" s="7"/>
      <c r="BF421" s="8"/>
      <c r="BG421" s="7"/>
      <c r="BI421" s="12"/>
      <c r="BJ421" s="12"/>
      <c r="BK421" s="13"/>
      <c r="BL421" s="24"/>
      <c r="BM421" s="24"/>
      <c r="BO421" s="17"/>
      <c r="BP421" s="17"/>
      <c r="BQ421" s="18"/>
      <c r="BR421" s="25"/>
    </row>
    <row r="422" spans="1:70">
      <c r="A422" t="s">
        <v>673</v>
      </c>
      <c r="C422" s="1">
        <v>911250</v>
      </c>
      <c r="D422" s="1">
        <v>798300</v>
      </c>
      <c r="E422" s="1">
        <v>894953</v>
      </c>
      <c r="F422" s="1">
        <v>846854</v>
      </c>
      <c r="G422" s="1">
        <v>813835</v>
      </c>
      <c r="H422" s="1">
        <v>816023</v>
      </c>
      <c r="I422" s="1">
        <v>857980</v>
      </c>
      <c r="J422" s="1">
        <v>848237</v>
      </c>
      <c r="K422" s="1">
        <v>826661</v>
      </c>
      <c r="L422" s="1">
        <v>878294</v>
      </c>
      <c r="M422" s="1">
        <v>779346</v>
      </c>
      <c r="N422" s="1">
        <v>855414</v>
      </c>
      <c r="O422" s="1">
        <v>877691</v>
      </c>
      <c r="P422" s="1">
        <v>783557</v>
      </c>
      <c r="Q422" s="1">
        <v>760350</v>
      </c>
      <c r="R422" s="1">
        <v>831529</v>
      </c>
      <c r="S422" s="1">
        <v>830555</v>
      </c>
      <c r="T422" s="1">
        <v>805896</v>
      </c>
      <c r="U422" s="1">
        <v>919013</v>
      </c>
      <c r="V422" s="1">
        <v>856231</v>
      </c>
      <c r="W422" s="1">
        <v>798499</v>
      </c>
      <c r="X422" s="1">
        <v>835904</v>
      </c>
      <c r="Y422" s="1">
        <v>790656</v>
      </c>
      <c r="Z422" s="1">
        <v>866857</v>
      </c>
      <c r="AA422" s="1">
        <v>934642</v>
      </c>
      <c r="AB422" s="1">
        <v>851834</v>
      </c>
      <c r="AC422" s="1">
        <v>874467</v>
      </c>
      <c r="AD422" s="1">
        <v>877338</v>
      </c>
      <c r="AE422" s="1">
        <v>880001</v>
      </c>
      <c r="AF422" s="1">
        <v>893809</v>
      </c>
      <c r="AG422" s="1">
        <v>952147</v>
      </c>
      <c r="AH422" s="1">
        <v>874872</v>
      </c>
      <c r="AI422" s="1">
        <v>820816</v>
      </c>
      <c r="AJ422" s="1">
        <v>866511</v>
      </c>
      <c r="AK422" s="1">
        <v>839576</v>
      </c>
      <c r="AL422" s="1">
        <v>839663</v>
      </c>
      <c r="AM422" s="1">
        <v>930266</v>
      </c>
      <c r="AN422" s="1">
        <v>919451</v>
      </c>
      <c r="AO422" s="1">
        <v>922024</v>
      </c>
      <c r="AP422" s="1">
        <v>928023</v>
      </c>
      <c r="AQ422" s="1">
        <v>918068</v>
      </c>
      <c r="AR422" s="1">
        <v>914766</v>
      </c>
      <c r="AS422" s="1">
        <v>1155706</v>
      </c>
      <c r="AT422" s="1">
        <v>1148471</v>
      </c>
      <c r="AU422" s="1">
        <v>1147650</v>
      </c>
      <c r="AV422" s="1">
        <v>1151600</v>
      </c>
      <c r="AW422" s="1">
        <v>1157189</v>
      </c>
      <c r="AX422" s="1">
        <v>1161512</v>
      </c>
      <c r="AY422" s="1"/>
      <c r="BA422" s="21">
        <f>SUM(C422:N422)</f>
        <v>10127147</v>
      </c>
      <c r="BB422" s="22">
        <f t="shared" ref="BB422" si="381">+BA422/12</f>
        <v>843928.91666666663</v>
      </c>
      <c r="BD422" s="7">
        <f>SUM(O422:Z422)</f>
        <v>9956738</v>
      </c>
      <c r="BE422" s="7">
        <f t="shared" ref="BE422" si="382">+BD422-BA422</f>
        <v>-170409</v>
      </c>
      <c r="BF422" s="8">
        <f t="shared" ref="BF422" si="383">(BD422/BA422)-1</f>
        <v>-1.6826950374078664E-2</v>
      </c>
      <c r="BG422" s="7">
        <f t="shared" ref="BG422" si="384">BD422/12</f>
        <v>829728.16666666663</v>
      </c>
      <c r="BI422" s="12">
        <f>+SUM(AA422:AL422)</f>
        <v>10505676</v>
      </c>
      <c r="BJ422" s="12">
        <f t="shared" ref="BJ422" si="385">+BI422-BD422</f>
        <v>548938</v>
      </c>
      <c r="BK422" s="13">
        <f t="shared" ref="BK422" si="386">(BI422/BD422)-1</f>
        <v>5.5132313414292922E-2</v>
      </c>
      <c r="BL422" s="24">
        <f>SUM(AA422:AH422)/8</f>
        <v>892388.75</v>
      </c>
      <c r="BM422" s="24">
        <f>SUM(AI422:AL422)/4</f>
        <v>841641.5</v>
      </c>
      <c r="BO422" s="17">
        <f>+SUM(AM422:AX422)</f>
        <v>12454726</v>
      </c>
      <c r="BP422" s="17">
        <f t="shared" ref="BP422" si="387">+BO422-BI422</f>
        <v>1949050</v>
      </c>
      <c r="BQ422" s="18">
        <f t="shared" ref="BQ422" si="388">(BO422/BI422)-1</f>
        <v>0.18552352080913215</v>
      </c>
      <c r="BR422" s="25">
        <f t="shared" ref="BR422" si="389">BO422/12</f>
        <v>1037893.8333333334</v>
      </c>
    </row>
    <row r="423" spans="1:70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BA423" s="21"/>
      <c r="BB423" s="22"/>
      <c r="BD423" s="7"/>
      <c r="BE423" s="7"/>
      <c r="BF423" s="8"/>
      <c r="BG423" s="7"/>
      <c r="BI423" s="12"/>
      <c r="BJ423" s="12"/>
      <c r="BK423" s="13"/>
      <c r="BL423" s="24"/>
      <c r="BM423" s="24"/>
      <c r="BO423" s="17"/>
      <c r="BP423" s="17"/>
      <c r="BQ423" s="18"/>
      <c r="BR423" s="25"/>
    </row>
    <row r="424" spans="1:70">
      <c r="A424" t="s">
        <v>327</v>
      </c>
      <c r="B424">
        <v>320006</v>
      </c>
      <c r="C424" s="1">
        <v>0</v>
      </c>
      <c r="D424" s="1">
        <v>0</v>
      </c>
      <c r="E424" s="1">
        <v>-50051</v>
      </c>
      <c r="F424" s="1">
        <v>0</v>
      </c>
      <c r="G424" s="1">
        <v>0</v>
      </c>
      <c r="H424" s="1">
        <v>-19131</v>
      </c>
      <c r="I424" s="1">
        <v>0</v>
      </c>
      <c r="J424" s="1">
        <v>0</v>
      </c>
      <c r="K424" s="1">
        <v>-19185</v>
      </c>
      <c r="L424" s="1">
        <v>0</v>
      </c>
      <c r="M424" s="1">
        <v>0</v>
      </c>
      <c r="N424" s="1">
        <v>211984</v>
      </c>
      <c r="O424" s="1">
        <v>0</v>
      </c>
      <c r="P424" s="1">
        <v>0</v>
      </c>
      <c r="Q424" s="1">
        <v>-24396</v>
      </c>
      <c r="R424" s="1">
        <v>0</v>
      </c>
      <c r="S424" s="1">
        <v>0</v>
      </c>
      <c r="T424" s="1">
        <v>-24111</v>
      </c>
      <c r="U424" s="1">
        <v>0</v>
      </c>
      <c r="V424" s="1">
        <v>0</v>
      </c>
      <c r="W424" s="1">
        <v>-23940</v>
      </c>
      <c r="X424" s="1">
        <v>0</v>
      </c>
      <c r="Y424" s="1">
        <v>0</v>
      </c>
      <c r="Z424" s="1">
        <v>385725</v>
      </c>
      <c r="AA424" s="1">
        <v>0</v>
      </c>
      <c r="AB424" s="1">
        <v>0</v>
      </c>
      <c r="AC424" s="1">
        <v>-16454</v>
      </c>
      <c r="AD424" s="1">
        <v>0</v>
      </c>
      <c r="AE424" s="1">
        <v>0</v>
      </c>
      <c r="AF424" s="1">
        <v>-16363</v>
      </c>
      <c r="AG424" s="1">
        <v>0</v>
      </c>
      <c r="AH424" s="1">
        <v>0</v>
      </c>
      <c r="AI424" s="1">
        <v>-16269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/>
      <c r="BA424" s="21">
        <f t="shared" ref="BA424:BA452" si="390">SUM(C424:N424)</f>
        <v>123617</v>
      </c>
      <c r="BB424" s="22">
        <f t="shared" ref="BB424:BB452" si="391">+BA424/12</f>
        <v>10301.416666666666</v>
      </c>
      <c r="BD424" s="7">
        <f t="shared" ref="BD424:BD452" si="392">SUM(O424:Z424)</f>
        <v>313278</v>
      </c>
      <c r="BE424" s="7">
        <f t="shared" ref="BE424:BE452" si="393">+BD424-BA424</f>
        <v>189661</v>
      </c>
      <c r="BF424" s="8">
        <f t="shared" ref="BF424:BF452" si="394">(BD424/BA424)-1</f>
        <v>1.5342630867922695</v>
      </c>
      <c r="BG424" s="7">
        <f t="shared" ref="BG424:BG452" si="395">BD424/12</f>
        <v>26106.5</v>
      </c>
      <c r="BI424" s="12">
        <f t="shared" ref="BI424:BI452" si="396">+SUM(AA424:AL424)</f>
        <v>-49086</v>
      </c>
      <c r="BJ424" s="12">
        <f t="shared" ref="BJ424:BJ452" si="397">+BI424-BD424</f>
        <v>-362364</v>
      </c>
      <c r="BK424" s="13">
        <f t="shared" ref="BK424:BK452" si="398">(BI424/BD424)-1</f>
        <v>-1.1566851167333805</v>
      </c>
      <c r="BL424" s="24">
        <f t="shared" ref="BL424:BL452" si="399">SUM(AA424:AH424)/8</f>
        <v>-4102.125</v>
      </c>
      <c r="BM424" s="24">
        <f t="shared" ref="BM424:BM452" si="400">SUM(AI424:AL424)/4</f>
        <v>-4067.25</v>
      </c>
      <c r="BO424" s="17">
        <f t="shared" ref="BO424:BO452" si="401">+SUM(AM424:AX424)</f>
        <v>0</v>
      </c>
      <c r="BP424" s="17">
        <f t="shared" ref="BP424:BP452" si="402">+BO424-BI424</f>
        <v>49086</v>
      </c>
      <c r="BQ424" s="18">
        <f t="shared" ref="BQ424:BQ452" si="403">(BO424/BI424)-1</f>
        <v>-1</v>
      </c>
      <c r="BR424" s="25">
        <f t="shared" ref="BR424:BR452" si="404">BO424/12</f>
        <v>0</v>
      </c>
    </row>
    <row r="425" spans="1:70">
      <c r="A425" t="s">
        <v>674</v>
      </c>
      <c r="B425">
        <v>320007</v>
      </c>
      <c r="C425" s="1">
        <v>74766</v>
      </c>
      <c r="D425" s="1">
        <v>74942</v>
      </c>
      <c r="E425" s="1">
        <v>75118</v>
      </c>
      <c r="F425" s="1">
        <v>-33589</v>
      </c>
      <c r="G425" s="1">
        <v>16451</v>
      </c>
      <c r="H425" s="1">
        <v>10420</v>
      </c>
      <c r="I425" s="1">
        <v>24060</v>
      </c>
      <c r="J425" s="1">
        <v>17568</v>
      </c>
      <c r="K425" s="1">
        <v>17610</v>
      </c>
      <c r="L425" s="1">
        <v>17653</v>
      </c>
      <c r="M425" s="1">
        <v>17695</v>
      </c>
      <c r="N425" s="1">
        <v>17738</v>
      </c>
      <c r="O425" s="1">
        <v>17780</v>
      </c>
      <c r="P425" s="1">
        <v>17823</v>
      </c>
      <c r="Q425" s="1">
        <v>17866</v>
      </c>
      <c r="R425" s="1">
        <v>15197</v>
      </c>
      <c r="S425" s="1">
        <v>12199</v>
      </c>
      <c r="T425" s="1">
        <v>12520</v>
      </c>
      <c r="U425" s="1">
        <v>12887</v>
      </c>
      <c r="V425" s="1">
        <v>12920</v>
      </c>
      <c r="W425" s="1">
        <v>12954</v>
      </c>
      <c r="X425" s="1">
        <v>12987</v>
      </c>
      <c r="Y425" s="1">
        <v>13020</v>
      </c>
      <c r="Z425" s="1">
        <v>13054</v>
      </c>
      <c r="AA425" s="1">
        <v>13088</v>
      </c>
      <c r="AB425" s="1">
        <v>13122</v>
      </c>
      <c r="AC425" s="1">
        <v>13155</v>
      </c>
      <c r="AD425" s="1">
        <v>13169</v>
      </c>
      <c r="AE425" s="1">
        <v>13203</v>
      </c>
      <c r="AF425" s="1">
        <v>13638</v>
      </c>
      <c r="AG425" s="1">
        <v>14132</v>
      </c>
      <c r="AH425" s="1">
        <v>14169</v>
      </c>
      <c r="AI425" s="1">
        <v>14206</v>
      </c>
      <c r="AJ425" s="1">
        <v>14169</v>
      </c>
      <c r="AK425" s="1">
        <v>14169</v>
      </c>
      <c r="AL425" s="1">
        <v>14169</v>
      </c>
      <c r="AM425" s="1">
        <v>14169</v>
      </c>
      <c r="AN425" s="1">
        <v>14169</v>
      </c>
      <c r="AO425" s="1">
        <v>14169</v>
      </c>
      <c r="AP425" s="1">
        <v>14169</v>
      </c>
      <c r="AQ425" s="1">
        <v>14169</v>
      </c>
      <c r="AR425" s="1">
        <v>14169</v>
      </c>
      <c r="AS425" s="1">
        <v>14169</v>
      </c>
      <c r="AT425" s="1">
        <v>14169</v>
      </c>
      <c r="AU425" s="1">
        <v>14169</v>
      </c>
      <c r="AV425" s="1">
        <v>14169</v>
      </c>
      <c r="AW425" s="1">
        <v>14169</v>
      </c>
      <c r="AX425" s="1">
        <v>14169</v>
      </c>
      <c r="AY425" s="1"/>
      <c r="BA425" s="21">
        <f t="shared" si="390"/>
        <v>330432</v>
      </c>
      <c r="BB425" s="22">
        <f t="shared" si="391"/>
        <v>27536</v>
      </c>
      <c r="BD425" s="7">
        <f t="shared" si="392"/>
        <v>171207</v>
      </c>
      <c r="BE425" s="7">
        <f t="shared" si="393"/>
        <v>-159225</v>
      </c>
      <c r="BF425" s="8">
        <f t="shared" si="394"/>
        <v>-0.4818691894247531</v>
      </c>
      <c r="BG425" s="7">
        <f t="shared" si="395"/>
        <v>14267.25</v>
      </c>
      <c r="BI425" s="12">
        <f t="shared" si="396"/>
        <v>164389</v>
      </c>
      <c r="BJ425" s="12">
        <f t="shared" si="397"/>
        <v>-6818</v>
      </c>
      <c r="BK425" s="13">
        <f t="shared" si="398"/>
        <v>-3.9823138072625497E-2</v>
      </c>
      <c r="BL425" s="24">
        <f t="shared" si="399"/>
        <v>13459.5</v>
      </c>
      <c r="BM425" s="24">
        <f t="shared" si="400"/>
        <v>14178.25</v>
      </c>
      <c r="BO425" s="17">
        <f t="shared" si="401"/>
        <v>170028</v>
      </c>
      <c r="BP425" s="17">
        <f t="shared" si="402"/>
        <v>5639</v>
      </c>
      <c r="BQ425" s="18">
        <f t="shared" si="403"/>
        <v>3.4302781816301531E-2</v>
      </c>
      <c r="BR425" s="25">
        <f t="shared" si="404"/>
        <v>14169</v>
      </c>
    </row>
    <row r="426" spans="1:70">
      <c r="A426" t="s">
        <v>675</v>
      </c>
      <c r="B426">
        <v>320010</v>
      </c>
      <c r="C426" s="1">
        <v>779</v>
      </c>
      <c r="D426" s="1">
        <v>511</v>
      </c>
      <c r="E426" s="1">
        <v>946</v>
      </c>
      <c r="F426" s="1">
        <v>864</v>
      </c>
      <c r="G426" s="1">
        <v>668</v>
      </c>
      <c r="H426" s="1">
        <v>647</v>
      </c>
      <c r="I426" s="1">
        <v>619</v>
      </c>
      <c r="J426" s="1">
        <v>589</v>
      </c>
      <c r="K426" s="1">
        <v>1124</v>
      </c>
      <c r="L426" s="1">
        <v>1045</v>
      </c>
      <c r="M426" s="1">
        <v>494</v>
      </c>
      <c r="N426" s="1">
        <v>625</v>
      </c>
      <c r="O426" s="1">
        <v>772</v>
      </c>
      <c r="P426" s="1">
        <v>780</v>
      </c>
      <c r="Q426" s="1">
        <v>825</v>
      </c>
      <c r="R426" s="1">
        <v>1000</v>
      </c>
      <c r="S426" s="1">
        <v>0</v>
      </c>
      <c r="T426" s="1">
        <v>898</v>
      </c>
      <c r="U426" s="1">
        <v>465</v>
      </c>
      <c r="V426" s="1">
        <v>517</v>
      </c>
      <c r="W426" s="1">
        <v>694</v>
      </c>
      <c r="X426" s="1">
        <v>904</v>
      </c>
      <c r="Y426" s="1">
        <v>686</v>
      </c>
      <c r="Z426" s="1">
        <v>708</v>
      </c>
      <c r="AA426" s="1">
        <v>446</v>
      </c>
      <c r="AB426" s="1">
        <v>0</v>
      </c>
      <c r="AC426" s="1">
        <v>1454</v>
      </c>
      <c r="AD426" s="1">
        <v>909</v>
      </c>
      <c r="AE426" s="1">
        <v>705</v>
      </c>
      <c r="AF426" s="1">
        <v>648</v>
      </c>
      <c r="AG426" s="1">
        <v>379</v>
      </c>
      <c r="AH426" s="1">
        <v>463</v>
      </c>
      <c r="AI426" s="1">
        <v>710</v>
      </c>
      <c r="AJ426" s="1">
        <v>745</v>
      </c>
      <c r="AK426" s="1">
        <v>650</v>
      </c>
      <c r="AL426" s="1">
        <v>650</v>
      </c>
      <c r="AM426" s="1">
        <v>650</v>
      </c>
      <c r="AN426" s="1">
        <v>650</v>
      </c>
      <c r="AO426" s="1">
        <v>650</v>
      </c>
      <c r="AP426" s="1">
        <v>650</v>
      </c>
      <c r="AQ426" s="1">
        <v>650</v>
      </c>
      <c r="AR426" s="1">
        <v>650</v>
      </c>
      <c r="AS426" s="1">
        <v>650</v>
      </c>
      <c r="AT426" s="1">
        <v>650</v>
      </c>
      <c r="AU426" s="1">
        <v>650</v>
      </c>
      <c r="AV426" s="1">
        <v>650</v>
      </c>
      <c r="AW426" s="1">
        <v>650</v>
      </c>
      <c r="AX426" s="1">
        <v>650</v>
      </c>
      <c r="AY426" s="1"/>
      <c r="BA426" s="21">
        <f t="shared" si="390"/>
        <v>8911</v>
      </c>
      <c r="BB426" s="22">
        <f t="shared" si="391"/>
        <v>742.58333333333337</v>
      </c>
      <c r="BD426" s="7">
        <f t="shared" si="392"/>
        <v>8249</v>
      </c>
      <c r="BE426" s="7">
        <f t="shared" si="393"/>
        <v>-662</v>
      </c>
      <c r="BF426" s="8">
        <f t="shared" si="394"/>
        <v>-7.4290203119739662E-2</v>
      </c>
      <c r="BG426" s="7">
        <f t="shared" si="395"/>
        <v>687.41666666666663</v>
      </c>
      <c r="BI426" s="12">
        <f t="shared" si="396"/>
        <v>7759</v>
      </c>
      <c r="BJ426" s="12">
        <f t="shared" si="397"/>
        <v>-490</v>
      </c>
      <c r="BK426" s="13">
        <f t="shared" si="398"/>
        <v>-5.9401139532064495E-2</v>
      </c>
      <c r="BL426" s="24">
        <f t="shared" si="399"/>
        <v>625.5</v>
      </c>
      <c r="BM426" s="24">
        <f t="shared" si="400"/>
        <v>688.75</v>
      </c>
      <c r="BO426" s="17">
        <f t="shared" si="401"/>
        <v>7800</v>
      </c>
      <c r="BP426" s="17">
        <f t="shared" si="402"/>
        <v>41</v>
      </c>
      <c r="BQ426" s="18">
        <f t="shared" si="403"/>
        <v>5.2841861064569784E-3</v>
      </c>
      <c r="BR426" s="25">
        <f t="shared" si="404"/>
        <v>650</v>
      </c>
    </row>
    <row r="427" spans="1:70">
      <c r="A427" t="s">
        <v>676</v>
      </c>
      <c r="B427">
        <v>320015</v>
      </c>
      <c r="C427" s="1">
        <v>19817</v>
      </c>
      <c r="D427" s="1">
        <v>21787</v>
      </c>
      <c r="E427" s="1">
        <v>25984</v>
      </c>
      <c r="F427" s="1">
        <v>26245</v>
      </c>
      <c r="G427" s="1">
        <v>24296</v>
      </c>
      <c r="H427" s="1">
        <v>23613</v>
      </c>
      <c r="I427" s="1">
        <v>26846</v>
      </c>
      <c r="J427" s="1">
        <v>24389</v>
      </c>
      <c r="K427" s="1">
        <v>21250</v>
      </c>
      <c r="L427" s="1">
        <v>32562</v>
      </c>
      <c r="M427" s="1">
        <v>30485</v>
      </c>
      <c r="N427" s="1">
        <v>31100</v>
      </c>
      <c r="O427" s="1">
        <v>52776</v>
      </c>
      <c r="P427" s="1">
        <v>25069</v>
      </c>
      <c r="Q427" s="1">
        <v>34624</v>
      </c>
      <c r="R427" s="1">
        <v>35941</v>
      </c>
      <c r="S427" s="1">
        <v>34782</v>
      </c>
      <c r="T427" s="1">
        <v>30736</v>
      </c>
      <c r="U427" s="1">
        <v>40210</v>
      </c>
      <c r="V427" s="1">
        <v>43332</v>
      </c>
      <c r="W427" s="1">
        <v>38972</v>
      </c>
      <c r="X427" s="1">
        <v>42399</v>
      </c>
      <c r="Y427" s="1">
        <v>40833</v>
      </c>
      <c r="Z427" s="1">
        <v>44891</v>
      </c>
      <c r="AA427" s="1">
        <v>36933</v>
      </c>
      <c r="AB427" s="1">
        <v>35480</v>
      </c>
      <c r="AC427" s="1">
        <v>34807</v>
      </c>
      <c r="AD427" s="1">
        <v>42542</v>
      </c>
      <c r="AE427" s="1">
        <v>36170</v>
      </c>
      <c r="AF427" s="1">
        <v>36805</v>
      </c>
      <c r="AG427" s="1">
        <v>46126</v>
      </c>
      <c r="AH427" s="1">
        <v>66683</v>
      </c>
      <c r="AI427" s="1">
        <v>38256</v>
      </c>
      <c r="AJ427" s="1">
        <v>50000</v>
      </c>
      <c r="AK427" s="1">
        <v>50000</v>
      </c>
      <c r="AL427" s="1">
        <v>50000</v>
      </c>
      <c r="AM427" s="1">
        <v>40626</v>
      </c>
      <c r="AN427" s="1">
        <v>39028</v>
      </c>
      <c r="AO427" s="1">
        <v>38288</v>
      </c>
      <c r="AP427" s="1">
        <v>46797</v>
      </c>
      <c r="AQ427" s="1">
        <v>39787</v>
      </c>
      <c r="AR427" s="1">
        <v>40485</v>
      </c>
      <c r="AS427" s="1">
        <v>50739</v>
      </c>
      <c r="AT427" s="1">
        <v>73351</v>
      </c>
      <c r="AU427" s="1">
        <v>55000</v>
      </c>
      <c r="AV427" s="1">
        <v>55000</v>
      </c>
      <c r="AW427" s="1">
        <v>55000</v>
      </c>
      <c r="AX427" s="1">
        <v>55000</v>
      </c>
      <c r="AY427" s="1"/>
      <c r="BA427" s="21">
        <f t="shared" si="390"/>
        <v>308374</v>
      </c>
      <c r="BB427" s="22">
        <f t="shared" si="391"/>
        <v>25697.833333333332</v>
      </c>
      <c r="BD427" s="7">
        <f t="shared" si="392"/>
        <v>464565</v>
      </c>
      <c r="BE427" s="7">
        <f t="shared" si="393"/>
        <v>156191</v>
      </c>
      <c r="BF427" s="8">
        <f t="shared" si="394"/>
        <v>0.50649860234650124</v>
      </c>
      <c r="BG427" s="7">
        <f t="shared" si="395"/>
        <v>38713.75</v>
      </c>
      <c r="BI427" s="12">
        <f t="shared" si="396"/>
        <v>523802</v>
      </c>
      <c r="BJ427" s="12">
        <f t="shared" si="397"/>
        <v>59237</v>
      </c>
      <c r="BK427" s="13">
        <f t="shared" si="398"/>
        <v>0.12751068203588312</v>
      </c>
      <c r="BL427" s="24">
        <f t="shared" si="399"/>
        <v>41943.25</v>
      </c>
      <c r="BM427" s="24">
        <f t="shared" si="400"/>
        <v>47064</v>
      </c>
      <c r="BO427" s="17">
        <f t="shared" si="401"/>
        <v>589101</v>
      </c>
      <c r="BP427" s="17">
        <f t="shared" si="402"/>
        <v>65299</v>
      </c>
      <c r="BQ427" s="18">
        <f t="shared" si="403"/>
        <v>0.12466351789416619</v>
      </c>
      <c r="BR427" s="25">
        <f t="shared" si="404"/>
        <v>49091.75</v>
      </c>
    </row>
    <row r="428" spans="1:70">
      <c r="A428" t="s">
        <v>677</v>
      </c>
      <c r="B428">
        <v>320020</v>
      </c>
      <c r="C428" s="1">
        <v>345</v>
      </c>
      <c r="D428" s="1">
        <v>318</v>
      </c>
      <c r="E428" s="1">
        <v>310</v>
      </c>
      <c r="F428" s="1">
        <v>323</v>
      </c>
      <c r="G428" s="1">
        <v>312</v>
      </c>
      <c r="H428" s="1">
        <v>320</v>
      </c>
      <c r="I428" s="1">
        <v>339</v>
      </c>
      <c r="J428" s="1">
        <v>1566</v>
      </c>
      <c r="K428" s="1">
        <v>-40</v>
      </c>
      <c r="L428" s="1">
        <v>329</v>
      </c>
      <c r="M428" s="1">
        <v>397</v>
      </c>
      <c r="N428" s="1">
        <v>330</v>
      </c>
      <c r="O428" s="1">
        <v>306</v>
      </c>
      <c r="P428" s="1">
        <v>285</v>
      </c>
      <c r="Q428" s="1">
        <v>293</v>
      </c>
      <c r="R428" s="1">
        <v>290</v>
      </c>
      <c r="S428" s="1">
        <v>309</v>
      </c>
      <c r="T428" s="1">
        <v>304</v>
      </c>
      <c r="U428" s="1">
        <v>281</v>
      </c>
      <c r="V428" s="1">
        <v>287</v>
      </c>
      <c r="W428" s="1">
        <v>268</v>
      </c>
      <c r="X428" s="1">
        <v>275</v>
      </c>
      <c r="Y428" s="1">
        <v>546</v>
      </c>
      <c r="Z428" s="1">
        <v>512</v>
      </c>
      <c r="AA428" s="1">
        <v>-97</v>
      </c>
      <c r="AB428" s="1">
        <v>676</v>
      </c>
      <c r="AC428" s="1">
        <v>489</v>
      </c>
      <c r="AD428" s="1">
        <v>456</v>
      </c>
      <c r="AE428" s="1">
        <v>544</v>
      </c>
      <c r="AF428" s="1">
        <v>451</v>
      </c>
      <c r="AG428" s="1">
        <v>439</v>
      </c>
      <c r="AH428" s="1">
        <v>483</v>
      </c>
      <c r="AI428" s="1">
        <v>461</v>
      </c>
      <c r="AJ428" s="1">
        <v>483</v>
      </c>
      <c r="AK428" s="1">
        <v>483</v>
      </c>
      <c r="AL428" s="1">
        <v>483</v>
      </c>
      <c r="AM428" s="1">
        <v>483</v>
      </c>
      <c r="AN428" s="1">
        <v>483</v>
      </c>
      <c r="AO428" s="1">
        <v>483</v>
      </c>
      <c r="AP428" s="1">
        <v>483</v>
      </c>
      <c r="AQ428" s="1">
        <v>483</v>
      </c>
      <c r="AR428" s="1">
        <v>483</v>
      </c>
      <c r="AS428" s="1">
        <v>483</v>
      </c>
      <c r="AT428" s="1">
        <v>483</v>
      </c>
      <c r="AU428" s="1">
        <v>483</v>
      </c>
      <c r="AV428" s="1">
        <v>483</v>
      </c>
      <c r="AW428" s="1">
        <v>483</v>
      </c>
      <c r="AX428" s="1">
        <v>483</v>
      </c>
      <c r="AY428" s="1"/>
      <c r="BA428" s="21">
        <f t="shared" si="390"/>
        <v>4849</v>
      </c>
      <c r="BB428" s="22">
        <f t="shared" si="391"/>
        <v>404.08333333333331</v>
      </c>
      <c r="BD428" s="7">
        <f t="shared" si="392"/>
        <v>3956</v>
      </c>
      <c r="BE428" s="7">
        <f t="shared" si="393"/>
        <v>-893</v>
      </c>
      <c r="BF428" s="8">
        <f t="shared" si="394"/>
        <v>-0.18416168282120027</v>
      </c>
      <c r="BG428" s="7">
        <f t="shared" si="395"/>
        <v>329.66666666666669</v>
      </c>
      <c r="BI428" s="12">
        <f t="shared" si="396"/>
        <v>5351</v>
      </c>
      <c r="BJ428" s="12">
        <f t="shared" si="397"/>
        <v>1395</v>
      </c>
      <c r="BK428" s="13">
        <f t="shared" si="398"/>
        <v>0.35262891809909003</v>
      </c>
      <c r="BL428" s="24">
        <f t="shared" si="399"/>
        <v>430.125</v>
      </c>
      <c r="BM428" s="24">
        <f t="shared" si="400"/>
        <v>477.5</v>
      </c>
      <c r="BO428" s="17">
        <f t="shared" si="401"/>
        <v>5796</v>
      </c>
      <c r="BP428" s="17">
        <f t="shared" si="402"/>
        <v>445</v>
      </c>
      <c r="BQ428" s="18">
        <f t="shared" si="403"/>
        <v>8.3162025789571992E-2</v>
      </c>
      <c r="BR428" s="25">
        <f t="shared" si="404"/>
        <v>483</v>
      </c>
    </row>
    <row r="429" spans="1:70">
      <c r="A429" t="s">
        <v>678</v>
      </c>
      <c r="B429">
        <v>320030</v>
      </c>
      <c r="C429" s="1">
        <v>4851</v>
      </c>
      <c r="D429" s="1">
        <v>3206</v>
      </c>
      <c r="E429" s="1">
        <v>3639</v>
      </c>
      <c r="F429" s="1">
        <v>2955</v>
      </c>
      <c r="G429" s="1">
        <v>4349</v>
      </c>
      <c r="H429" s="1">
        <v>4045</v>
      </c>
      <c r="I429" s="1">
        <v>3683</v>
      </c>
      <c r="J429" s="1">
        <v>4075</v>
      </c>
      <c r="K429" s="1">
        <v>3521</v>
      </c>
      <c r="L429" s="1">
        <v>2873</v>
      </c>
      <c r="M429" s="1">
        <v>3012</v>
      </c>
      <c r="N429" s="1">
        <v>2883</v>
      </c>
      <c r="O429" s="1">
        <v>2246</v>
      </c>
      <c r="P429" s="1">
        <v>2438</v>
      </c>
      <c r="Q429" s="1">
        <v>5591</v>
      </c>
      <c r="R429" s="1">
        <v>474</v>
      </c>
      <c r="S429" s="1">
        <v>3445</v>
      </c>
      <c r="T429" s="1">
        <v>3179</v>
      </c>
      <c r="U429" s="1">
        <v>3992</v>
      </c>
      <c r="V429" s="1">
        <v>5076</v>
      </c>
      <c r="W429" s="1">
        <v>2591</v>
      </c>
      <c r="X429" s="1">
        <v>3816</v>
      </c>
      <c r="Y429" s="1">
        <v>2773</v>
      </c>
      <c r="Z429" s="1">
        <v>2306</v>
      </c>
      <c r="AA429" s="1">
        <v>1931</v>
      </c>
      <c r="AB429" s="1">
        <v>1105</v>
      </c>
      <c r="AC429" s="1">
        <v>444</v>
      </c>
      <c r="AD429" s="1">
        <v>1542</v>
      </c>
      <c r="AE429" s="1">
        <v>2515</v>
      </c>
      <c r="AF429" s="1">
        <v>1595</v>
      </c>
      <c r="AG429" s="1">
        <v>1560</v>
      </c>
      <c r="AH429" s="1">
        <v>1590</v>
      </c>
      <c r="AI429" s="1">
        <v>1508</v>
      </c>
      <c r="AJ429" s="1">
        <v>1585</v>
      </c>
      <c r="AK429" s="1">
        <v>1584</v>
      </c>
      <c r="AL429" s="1">
        <v>1579</v>
      </c>
      <c r="AM429" s="1">
        <v>1891</v>
      </c>
      <c r="AN429" s="1">
        <v>1084</v>
      </c>
      <c r="AO429" s="1">
        <v>435</v>
      </c>
      <c r="AP429" s="1">
        <v>1513</v>
      </c>
      <c r="AQ429" s="1">
        <v>2463</v>
      </c>
      <c r="AR429" s="1">
        <v>1563</v>
      </c>
      <c r="AS429" s="1">
        <v>1527</v>
      </c>
      <c r="AT429" s="1">
        <v>1558</v>
      </c>
      <c r="AU429" s="1">
        <v>1554</v>
      </c>
      <c r="AV429" s="1">
        <v>1553</v>
      </c>
      <c r="AW429" s="1">
        <v>1550</v>
      </c>
      <c r="AX429" s="1">
        <v>1547</v>
      </c>
      <c r="AY429" s="1"/>
      <c r="BA429" s="21">
        <f t="shared" si="390"/>
        <v>43092</v>
      </c>
      <c r="BB429" s="22">
        <f t="shared" si="391"/>
        <v>3591</v>
      </c>
      <c r="BD429" s="7">
        <f t="shared" si="392"/>
        <v>37927</v>
      </c>
      <c r="BE429" s="7">
        <f t="shared" si="393"/>
        <v>-5165</v>
      </c>
      <c r="BF429" s="8">
        <f t="shared" si="394"/>
        <v>-0.11985983477211548</v>
      </c>
      <c r="BG429" s="7">
        <f t="shared" si="395"/>
        <v>3160.5833333333335</v>
      </c>
      <c r="BI429" s="12">
        <f t="shared" si="396"/>
        <v>18538</v>
      </c>
      <c r="BJ429" s="12">
        <f t="shared" si="397"/>
        <v>-19389</v>
      </c>
      <c r="BK429" s="13">
        <f t="shared" si="398"/>
        <v>-0.51121892055791385</v>
      </c>
      <c r="BL429" s="24">
        <f t="shared" si="399"/>
        <v>1535.25</v>
      </c>
      <c r="BM429" s="24">
        <f t="shared" si="400"/>
        <v>1564</v>
      </c>
      <c r="BO429" s="17">
        <f t="shared" si="401"/>
        <v>18238</v>
      </c>
      <c r="BP429" s="17">
        <f t="shared" si="402"/>
        <v>-300</v>
      </c>
      <c r="BQ429" s="18">
        <f t="shared" si="403"/>
        <v>-1.6182975509763775E-2</v>
      </c>
      <c r="BR429" s="25">
        <f t="shared" si="404"/>
        <v>1519.8333333333333</v>
      </c>
    </row>
    <row r="430" spans="1:70">
      <c r="A430" t="s">
        <v>679</v>
      </c>
      <c r="B430">
        <v>320035</v>
      </c>
      <c r="C430" s="1">
        <v>2836</v>
      </c>
      <c r="D430" s="1">
        <v>10146</v>
      </c>
      <c r="E430" s="1">
        <v>1995</v>
      </c>
      <c r="F430" s="1">
        <v>2202</v>
      </c>
      <c r="G430" s="1">
        <v>11452</v>
      </c>
      <c r="H430" s="1">
        <v>2042</v>
      </c>
      <c r="I430" s="1">
        <v>2370</v>
      </c>
      <c r="J430" s="1">
        <v>10823</v>
      </c>
      <c r="K430" s="1">
        <v>2675</v>
      </c>
      <c r="L430" s="1">
        <v>3359</v>
      </c>
      <c r="M430" s="1">
        <v>9598</v>
      </c>
      <c r="N430" s="1">
        <v>2516</v>
      </c>
      <c r="O430" s="1">
        <v>2779</v>
      </c>
      <c r="P430" s="1">
        <v>9234</v>
      </c>
      <c r="Q430" s="1">
        <v>1844</v>
      </c>
      <c r="R430" s="1">
        <v>3005</v>
      </c>
      <c r="S430" s="1">
        <v>1917</v>
      </c>
      <c r="T430" s="1">
        <v>9596</v>
      </c>
      <c r="U430" s="1">
        <v>2460</v>
      </c>
      <c r="V430" s="1">
        <v>8575</v>
      </c>
      <c r="W430" s="1">
        <v>3169</v>
      </c>
      <c r="X430" s="1">
        <v>6068</v>
      </c>
      <c r="Y430" s="1">
        <v>9130</v>
      </c>
      <c r="Z430" s="1">
        <v>4575</v>
      </c>
      <c r="AA430" s="1">
        <v>3859</v>
      </c>
      <c r="AB430" s="1">
        <v>3005</v>
      </c>
      <c r="AC430" s="1">
        <v>3392</v>
      </c>
      <c r="AD430" s="1">
        <v>5476</v>
      </c>
      <c r="AE430" s="1">
        <v>2511</v>
      </c>
      <c r="AF430" s="1">
        <v>4417</v>
      </c>
      <c r="AG430" s="1">
        <v>5201</v>
      </c>
      <c r="AH430" s="1">
        <v>3694</v>
      </c>
      <c r="AI430" s="1">
        <v>5431</v>
      </c>
      <c r="AJ430" s="1">
        <v>4000</v>
      </c>
      <c r="AK430" s="1">
        <v>4000</v>
      </c>
      <c r="AL430" s="1">
        <v>4000</v>
      </c>
      <c r="AM430" s="1">
        <v>4000</v>
      </c>
      <c r="AN430" s="1">
        <v>4000</v>
      </c>
      <c r="AO430" s="1">
        <v>4000</v>
      </c>
      <c r="AP430" s="1">
        <v>4000</v>
      </c>
      <c r="AQ430" s="1">
        <v>4000</v>
      </c>
      <c r="AR430" s="1">
        <v>4000</v>
      </c>
      <c r="AS430" s="1">
        <v>4000</v>
      </c>
      <c r="AT430" s="1">
        <v>4000</v>
      </c>
      <c r="AU430" s="1">
        <v>4000</v>
      </c>
      <c r="AV430" s="1">
        <v>4000</v>
      </c>
      <c r="AW430" s="1">
        <v>4000</v>
      </c>
      <c r="AX430" s="1">
        <v>4000</v>
      </c>
      <c r="AY430" s="1"/>
      <c r="BA430" s="21">
        <f t="shared" si="390"/>
        <v>62014</v>
      </c>
      <c r="BB430" s="22">
        <f t="shared" si="391"/>
        <v>5167.833333333333</v>
      </c>
      <c r="BD430" s="7">
        <f t="shared" si="392"/>
        <v>62352</v>
      </c>
      <c r="BE430" s="7">
        <f t="shared" si="393"/>
        <v>338</v>
      </c>
      <c r="BF430" s="8">
        <f t="shared" si="394"/>
        <v>5.4503821717677425E-3</v>
      </c>
      <c r="BG430" s="7">
        <f t="shared" si="395"/>
        <v>5196</v>
      </c>
      <c r="BI430" s="12">
        <f t="shared" si="396"/>
        <v>48986</v>
      </c>
      <c r="BJ430" s="12">
        <f t="shared" si="397"/>
        <v>-13366</v>
      </c>
      <c r="BK430" s="13">
        <f t="shared" si="398"/>
        <v>-0.21436361303566842</v>
      </c>
      <c r="BL430" s="24">
        <f t="shared" si="399"/>
        <v>3944.375</v>
      </c>
      <c r="BM430" s="24">
        <f t="shared" si="400"/>
        <v>4357.75</v>
      </c>
      <c r="BO430" s="17">
        <f t="shared" si="401"/>
        <v>48000</v>
      </c>
      <c r="BP430" s="17">
        <f t="shared" si="402"/>
        <v>-986</v>
      </c>
      <c r="BQ430" s="18">
        <f t="shared" si="403"/>
        <v>-2.0128199893847176E-2</v>
      </c>
      <c r="BR430" s="25">
        <f t="shared" si="404"/>
        <v>4000</v>
      </c>
    </row>
    <row r="431" spans="1:70">
      <c r="A431" t="s">
        <v>680</v>
      </c>
      <c r="B431">
        <v>320040</v>
      </c>
      <c r="C431" s="1">
        <v>12181</v>
      </c>
      <c r="D431" s="1">
        <v>11505</v>
      </c>
      <c r="E431" s="1">
        <v>12857</v>
      </c>
      <c r="F431" s="1">
        <v>10923</v>
      </c>
      <c r="G431" s="1">
        <v>12948</v>
      </c>
      <c r="H431" s="1">
        <v>12450</v>
      </c>
      <c r="I431" s="1">
        <v>13000</v>
      </c>
      <c r="J431" s="1">
        <v>13124</v>
      </c>
      <c r="K431" s="1">
        <v>11895</v>
      </c>
      <c r="L431" s="1">
        <v>12778</v>
      </c>
      <c r="M431" s="1">
        <v>11365</v>
      </c>
      <c r="N431" s="1">
        <v>11489</v>
      </c>
      <c r="O431" s="1">
        <v>11580</v>
      </c>
      <c r="P431" s="1">
        <v>11463</v>
      </c>
      <c r="Q431" s="1">
        <v>11560</v>
      </c>
      <c r="R431" s="1">
        <v>11987</v>
      </c>
      <c r="S431" s="1">
        <v>11648</v>
      </c>
      <c r="T431" s="1">
        <v>10462</v>
      </c>
      <c r="U431" s="1">
        <v>12259</v>
      </c>
      <c r="V431" s="1">
        <v>11537</v>
      </c>
      <c r="W431" s="1">
        <v>11573</v>
      </c>
      <c r="X431" s="1">
        <v>11222</v>
      </c>
      <c r="Y431" s="1">
        <v>10244</v>
      </c>
      <c r="Z431" s="1">
        <v>11307</v>
      </c>
      <c r="AA431" s="1">
        <v>10897</v>
      </c>
      <c r="AB431" s="1">
        <v>10033</v>
      </c>
      <c r="AC431" s="1">
        <v>11778</v>
      </c>
      <c r="AD431" s="1">
        <v>10940</v>
      </c>
      <c r="AE431" s="1">
        <v>11492</v>
      </c>
      <c r="AF431" s="1">
        <v>12071</v>
      </c>
      <c r="AG431" s="1">
        <v>10902</v>
      </c>
      <c r="AH431" s="1">
        <v>12212</v>
      </c>
      <c r="AI431" s="1">
        <v>11571</v>
      </c>
      <c r="AJ431" s="1">
        <v>12000</v>
      </c>
      <c r="AK431" s="1">
        <v>18000</v>
      </c>
      <c r="AL431" s="1">
        <v>18000</v>
      </c>
      <c r="AM431" s="1">
        <v>20000</v>
      </c>
      <c r="AN431" s="1">
        <v>20000</v>
      </c>
      <c r="AO431" s="1">
        <v>20000</v>
      </c>
      <c r="AP431" s="1">
        <v>20000</v>
      </c>
      <c r="AQ431" s="1">
        <v>20000</v>
      </c>
      <c r="AR431" s="1">
        <v>20000</v>
      </c>
      <c r="AS431" s="1">
        <v>20000</v>
      </c>
      <c r="AT431" s="1">
        <v>20000</v>
      </c>
      <c r="AU431" s="1">
        <v>20000</v>
      </c>
      <c r="AV431" s="1">
        <v>20000</v>
      </c>
      <c r="AW431" s="1">
        <v>20000</v>
      </c>
      <c r="AX431" s="1">
        <v>20000</v>
      </c>
      <c r="AY431" s="1"/>
      <c r="BA431" s="21">
        <f t="shared" si="390"/>
        <v>146515</v>
      </c>
      <c r="BB431" s="22">
        <f t="shared" si="391"/>
        <v>12209.583333333334</v>
      </c>
      <c r="BD431" s="7">
        <f t="shared" si="392"/>
        <v>136842</v>
      </c>
      <c r="BE431" s="7">
        <f t="shared" si="393"/>
        <v>-9673</v>
      </c>
      <c r="BF431" s="8">
        <f t="shared" si="394"/>
        <v>-6.6020543971606949E-2</v>
      </c>
      <c r="BG431" s="7">
        <f t="shared" si="395"/>
        <v>11403.5</v>
      </c>
      <c r="BI431" s="12">
        <f t="shared" si="396"/>
        <v>149896</v>
      </c>
      <c r="BJ431" s="12">
        <f t="shared" si="397"/>
        <v>13054</v>
      </c>
      <c r="BK431" s="13">
        <f t="shared" si="398"/>
        <v>9.5394688765145119E-2</v>
      </c>
      <c r="BL431" s="24">
        <f t="shared" si="399"/>
        <v>11290.625</v>
      </c>
      <c r="BM431" s="24">
        <f t="shared" si="400"/>
        <v>14892.75</v>
      </c>
      <c r="BO431" s="17">
        <f t="shared" si="401"/>
        <v>240000</v>
      </c>
      <c r="BP431" s="17">
        <f t="shared" si="402"/>
        <v>90104</v>
      </c>
      <c r="BQ431" s="18">
        <f t="shared" si="403"/>
        <v>0.60111010300474987</v>
      </c>
      <c r="BR431" s="25">
        <f t="shared" si="404"/>
        <v>20000</v>
      </c>
    </row>
    <row r="432" spans="1:70">
      <c r="A432" t="s">
        <v>681</v>
      </c>
      <c r="B432">
        <v>320050</v>
      </c>
      <c r="C432" s="1">
        <v>30</v>
      </c>
      <c r="D432" s="1">
        <v>18</v>
      </c>
      <c r="E432" s="1">
        <v>54</v>
      </c>
      <c r="F432" s="1">
        <v>36</v>
      </c>
      <c r="G432" s="1">
        <v>26</v>
      </c>
      <c r="H432" s="1">
        <v>34</v>
      </c>
      <c r="I432" s="1">
        <v>24</v>
      </c>
      <c r="J432" s="1">
        <v>18</v>
      </c>
      <c r="K432" s="1">
        <v>38</v>
      </c>
      <c r="L432" s="1">
        <v>50</v>
      </c>
      <c r="M432" s="1">
        <v>30</v>
      </c>
      <c r="N432" s="1">
        <v>62</v>
      </c>
      <c r="O432" s="1">
        <v>56</v>
      </c>
      <c r="P432" s="1">
        <v>52</v>
      </c>
      <c r="Q432" s="1">
        <v>34</v>
      </c>
      <c r="R432" s="1">
        <v>76</v>
      </c>
      <c r="S432" s="1">
        <v>26</v>
      </c>
      <c r="T432" s="1">
        <v>12</v>
      </c>
      <c r="U432" s="1">
        <v>34</v>
      </c>
      <c r="V432" s="1">
        <v>44</v>
      </c>
      <c r="W432" s="1">
        <v>20</v>
      </c>
      <c r="X432" s="1">
        <v>38</v>
      </c>
      <c r="Y432" s="1">
        <v>22</v>
      </c>
      <c r="Z432" s="1">
        <v>42</v>
      </c>
      <c r="AA432" s="1">
        <v>32</v>
      </c>
      <c r="AB432" s="1">
        <v>8</v>
      </c>
      <c r="AC432" s="1">
        <v>34</v>
      </c>
      <c r="AD432" s="1">
        <v>14</v>
      </c>
      <c r="AE432" s="1">
        <v>30</v>
      </c>
      <c r="AF432" s="1">
        <v>50</v>
      </c>
      <c r="AG432" s="1">
        <v>35</v>
      </c>
      <c r="AH432" s="1">
        <v>14</v>
      </c>
      <c r="AI432" s="1">
        <v>11</v>
      </c>
      <c r="AJ432" s="1">
        <v>30</v>
      </c>
      <c r="AK432" s="1">
        <v>30</v>
      </c>
      <c r="AL432" s="1">
        <v>30</v>
      </c>
      <c r="AM432" s="1">
        <v>34</v>
      </c>
      <c r="AN432" s="1">
        <v>34</v>
      </c>
      <c r="AO432" s="1">
        <v>34</v>
      </c>
      <c r="AP432" s="1">
        <v>34</v>
      </c>
      <c r="AQ432" s="1">
        <v>34</v>
      </c>
      <c r="AR432" s="1">
        <v>34</v>
      </c>
      <c r="AS432" s="1">
        <v>34</v>
      </c>
      <c r="AT432" s="1">
        <v>34</v>
      </c>
      <c r="AU432" s="1">
        <v>34</v>
      </c>
      <c r="AV432" s="1">
        <v>34</v>
      </c>
      <c r="AW432" s="1">
        <v>34</v>
      </c>
      <c r="AX432" s="1">
        <v>34</v>
      </c>
      <c r="AY432" s="1"/>
      <c r="BA432" s="21">
        <f t="shared" si="390"/>
        <v>420</v>
      </c>
      <c r="BB432" s="22">
        <f t="shared" si="391"/>
        <v>35</v>
      </c>
      <c r="BD432" s="7">
        <f t="shared" si="392"/>
        <v>456</v>
      </c>
      <c r="BE432" s="7">
        <f t="shared" si="393"/>
        <v>36</v>
      </c>
      <c r="BF432" s="8">
        <f t="shared" si="394"/>
        <v>8.5714285714285632E-2</v>
      </c>
      <c r="BG432" s="7">
        <f t="shared" si="395"/>
        <v>38</v>
      </c>
      <c r="BI432" s="12">
        <f t="shared" si="396"/>
        <v>318</v>
      </c>
      <c r="BJ432" s="12">
        <f t="shared" si="397"/>
        <v>-138</v>
      </c>
      <c r="BK432" s="13">
        <f t="shared" si="398"/>
        <v>-0.30263157894736847</v>
      </c>
      <c r="BL432" s="24">
        <f t="shared" si="399"/>
        <v>27.125</v>
      </c>
      <c r="BM432" s="24">
        <f t="shared" si="400"/>
        <v>25.25</v>
      </c>
      <c r="BO432" s="17">
        <f t="shared" si="401"/>
        <v>408</v>
      </c>
      <c r="BP432" s="17">
        <f t="shared" si="402"/>
        <v>90</v>
      </c>
      <c r="BQ432" s="18">
        <f t="shared" si="403"/>
        <v>0.28301886792452824</v>
      </c>
      <c r="BR432" s="25">
        <f t="shared" si="404"/>
        <v>34</v>
      </c>
    </row>
    <row r="433" spans="1:70">
      <c r="A433" t="s">
        <v>682</v>
      </c>
      <c r="B433">
        <v>320051</v>
      </c>
      <c r="C433" s="1">
        <v>7439</v>
      </c>
      <c r="D433" s="1">
        <v>8569</v>
      </c>
      <c r="E433" s="1">
        <v>10031</v>
      </c>
      <c r="F433" s="1">
        <v>9046</v>
      </c>
      <c r="G433" s="1">
        <v>10609</v>
      </c>
      <c r="H433" s="1">
        <v>10232</v>
      </c>
      <c r="I433" s="1">
        <v>10129</v>
      </c>
      <c r="J433" s="1">
        <v>11073</v>
      </c>
      <c r="K433" s="1">
        <v>9675</v>
      </c>
      <c r="L433" s="1">
        <v>10091</v>
      </c>
      <c r="M433" s="1">
        <v>8627</v>
      </c>
      <c r="N433" s="1">
        <v>9372</v>
      </c>
      <c r="O433" s="1">
        <v>9399</v>
      </c>
      <c r="P433" s="1">
        <v>9302</v>
      </c>
      <c r="Q433" s="1">
        <v>9790</v>
      </c>
      <c r="R433" s="1">
        <v>9324</v>
      </c>
      <c r="S433" s="1">
        <v>9770</v>
      </c>
      <c r="T433" s="1">
        <v>9587</v>
      </c>
      <c r="U433" s="1">
        <v>10001</v>
      </c>
      <c r="V433" s="1">
        <v>9575</v>
      </c>
      <c r="W433" s="1">
        <v>10146</v>
      </c>
      <c r="X433" s="1">
        <v>9108</v>
      </c>
      <c r="Y433" s="1">
        <v>9264</v>
      </c>
      <c r="Z433" s="1">
        <v>8292</v>
      </c>
      <c r="AA433" s="1">
        <v>9341</v>
      </c>
      <c r="AB433" s="1">
        <v>6769</v>
      </c>
      <c r="AC433" s="1">
        <v>8807</v>
      </c>
      <c r="AD433" s="1">
        <v>8285</v>
      </c>
      <c r="AE433" s="1">
        <v>9538</v>
      </c>
      <c r="AF433" s="1">
        <v>9071</v>
      </c>
      <c r="AG433" s="1">
        <v>9902</v>
      </c>
      <c r="AH433" s="1">
        <v>8812</v>
      </c>
      <c r="AI433" s="1">
        <v>7366</v>
      </c>
      <c r="AJ433" s="1">
        <v>8000</v>
      </c>
      <c r="AK433" s="1">
        <v>1000</v>
      </c>
      <c r="AL433" s="1">
        <v>1000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/>
      <c r="BA433" s="21">
        <f t="shared" si="390"/>
        <v>114893</v>
      </c>
      <c r="BB433" s="22">
        <f t="shared" si="391"/>
        <v>9574.4166666666661</v>
      </c>
      <c r="BD433" s="7">
        <f t="shared" si="392"/>
        <v>113558</v>
      </c>
      <c r="BE433" s="7">
        <f t="shared" si="393"/>
        <v>-1335</v>
      </c>
      <c r="BF433" s="8">
        <f t="shared" si="394"/>
        <v>-1.1619506845499727E-2</v>
      </c>
      <c r="BG433" s="7">
        <f t="shared" si="395"/>
        <v>9463.1666666666661</v>
      </c>
      <c r="BI433" s="12">
        <f t="shared" si="396"/>
        <v>87891</v>
      </c>
      <c r="BJ433" s="12">
        <f t="shared" si="397"/>
        <v>-25667</v>
      </c>
      <c r="BK433" s="13">
        <f t="shared" si="398"/>
        <v>-0.22602546716215499</v>
      </c>
      <c r="BL433" s="24">
        <f t="shared" si="399"/>
        <v>8815.625</v>
      </c>
      <c r="BM433" s="24">
        <f t="shared" si="400"/>
        <v>4341.5</v>
      </c>
      <c r="BO433" s="17">
        <f t="shared" si="401"/>
        <v>0</v>
      </c>
      <c r="BP433" s="17">
        <f t="shared" si="402"/>
        <v>-87891</v>
      </c>
      <c r="BQ433" s="18">
        <f t="shared" si="403"/>
        <v>-1</v>
      </c>
      <c r="BR433" s="25">
        <f t="shared" si="404"/>
        <v>0</v>
      </c>
    </row>
    <row r="434" spans="1:70">
      <c r="A434" t="s">
        <v>683</v>
      </c>
      <c r="B434">
        <v>320052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66</v>
      </c>
      <c r="Y434" s="1">
        <v>123</v>
      </c>
      <c r="Z434" s="1">
        <v>66</v>
      </c>
      <c r="AA434" s="1">
        <v>219</v>
      </c>
      <c r="AB434" s="1">
        <v>385</v>
      </c>
      <c r="AC434" s="1">
        <v>392</v>
      </c>
      <c r="AD434" s="1">
        <v>325</v>
      </c>
      <c r="AE434" s="1">
        <v>457</v>
      </c>
      <c r="AF434" s="1">
        <v>265</v>
      </c>
      <c r="AG434" s="1">
        <v>355</v>
      </c>
      <c r="AH434" s="1">
        <v>323</v>
      </c>
      <c r="AI434" s="1">
        <v>408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/>
      <c r="BA434" s="21">
        <f t="shared" si="390"/>
        <v>0</v>
      </c>
      <c r="BB434" s="22">
        <f t="shared" si="391"/>
        <v>0</v>
      </c>
      <c r="BD434" s="7">
        <f t="shared" si="392"/>
        <v>255</v>
      </c>
      <c r="BE434" s="7">
        <f t="shared" si="393"/>
        <v>255</v>
      </c>
      <c r="BF434" s="8" t="e">
        <f t="shared" si="394"/>
        <v>#DIV/0!</v>
      </c>
      <c r="BG434" s="7">
        <f t="shared" si="395"/>
        <v>21.25</v>
      </c>
      <c r="BI434" s="12">
        <f t="shared" si="396"/>
        <v>3129</v>
      </c>
      <c r="BJ434" s="12">
        <f t="shared" si="397"/>
        <v>2874</v>
      </c>
      <c r="BK434" s="13">
        <f t="shared" si="398"/>
        <v>11.270588235294118</v>
      </c>
      <c r="BL434" s="24">
        <f t="shared" si="399"/>
        <v>340.125</v>
      </c>
      <c r="BM434" s="24">
        <f t="shared" si="400"/>
        <v>102</v>
      </c>
      <c r="BO434" s="17">
        <f t="shared" si="401"/>
        <v>0</v>
      </c>
      <c r="BP434" s="17">
        <f t="shared" si="402"/>
        <v>-3129</v>
      </c>
      <c r="BQ434" s="18">
        <f t="shared" si="403"/>
        <v>-1</v>
      </c>
      <c r="BR434" s="25">
        <f t="shared" si="404"/>
        <v>0</v>
      </c>
    </row>
    <row r="435" spans="1:70">
      <c r="A435" t="s">
        <v>684</v>
      </c>
      <c r="B435">
        <v>320055</v>
      </c>
      <c r="C435" s="1">
        <v>6917</v>
      </c>
      <c r="D435" s="1">
        <v>6917</v>
      </c>
      <c r="E435" s="1">
        <v>6917</v>
      </c>
      <c r="F435" s="1">
        <v>6917</v>
      </c>
      <c r="G435" s="1">
        <v>6917</v>
      </c>
      <c r="H435" s="1">
        <v>6917</v>
      </c>
      <c r="I435" s="1">
        <v>6917</v>
      </c>
      <c r="J435" s="1">
        <v>6917</v>
      </c>
      <c r="K435" s="1">
        <v>6917</v>
      </c>
      <c r="L435" s="1">
        <v>6917</v>
      </c>
      <c r="M435" s="1">
        <v>6917</v>
      </c>
      <c r="N435" s="1">
        <v>2476</v>
      </c>
      <c r="O435" s="1">
        <v>2476</v>
      </c>
      <c r="P435" s="1">
        <v>2476</v>
      </c>
      <c r="Q435" s="1">
        <v>2476</v>
      </c>
      <c r="R435" s="1">
        <v>2476</v>
      </c>
      <c r="S435" s="1">
        <v>2476</v>
      </c>
      <c r="T435" s="1">
        <v>2476</v>
      </c>
      <c r="U435" s="1">
        <v>2476</v>
      </c>
      <c r="V435" s="1">
        <v>2476</v>
      </c>
      <c r="W435" s="1">
        <v>2476</v>
      </c>
      <c r="X435" s="1">
        <v>2476</v>
      </c>
      <c r="Y435" s="1">
        <v>2476</v>
      </c>
      <c r="Z435" s="1">
        <v>2476</v>
      </c>
      <c r="AA435" s="1">
        <v>2476</v>
      </c>
      <c r="AB435" s="1">
        <v>2476</v>
      </c>
      <c r="AC435" s="1">
        <v>2476</v>
      </c>
      <c r="AD435" s="1">
        <v>2476</v>
      </c>
      <c r="AE435" s="1">
        <v>2476</v>
      </c>
      <c r="AF435" s="1">
        <v>2476</v>
      </c>
      <c r="AG435" s="1">
        <v>2476</v>
      </c>
      <c r="AH435" s="1">
        <v>2476</v>
      </c>
      <c r="AI435" s="1">
        <v>3951</v>
      </c>
      <c r="AJ435" s="1">
        <v>2476</v>
      </c>
      <c r="AK435" s="1">
        <v>2476</v>
      </c>
      <c r="AL435" s="1">
        <v>2476</v>
      </c>
      <c r="AM435" s="1">
        <v>2551</v>
      </c>
      <c r="AN435" s="1">
        <v>2551</v>
      </c>
      <c r="AO435" s="1">
        <v>2551</v>
      </c>
      <c r="AP435" s="1">
        <v>2551</v>
      </c>
      <c r="AQ435" s="1">
        <v>2551</v>
      </c>
      <c r="AR435" s="1">
        <v>2551</v>
      </c>
      <c r="AS435" s="1">
        <v>2551</v>
      </c>
      <c r="AT435" s="1">
        <v>2551</v>
      </c>
      <c r="AU435" s="1">
        <v>2550</v>
      </c>
      <c r="AV435" s="1">
        <v>2550</v>
      </c>
      <c r="AW435" s="1">
        <v>2550</v>
      </c>
      <c r="AX435" s="1">
        <v>2550</v>
      </c>
      <c r="AY435" s="1"/>
      <c r="BA435" s="21">
        <f t="shared" si="390"/>
        <v>78563</v>
      </c>
      <c r="BB435" s="22">
        <f t="shared" si="391"/>
        <v>6546.916666666667</v>
      </c>
      <c r="BD435" s="7">
        <f t="shared" si="392"/>
        <v>29712</v>
      </c>
      <c r="BE435" s="7">
        <f t="shared" si="393"/>
        <v>-48851</v>
      </c>
      <c r="BF435" s="8">
        <f t="shared" si="394"/>
        <v>-0.62180670290085671</v>
      </c>
      <c r="BG435" s="7">
        <f t="shared" si="395"/>
        <v>2476</v>
      </c>
      <c r="BI435" s="12">
        <f t="shared" si="396"/>
        <v>31187</v>
      </c>
      <c r="BJ435" s="12">
        <f t="shared" si="397"/>
        <v>1475</v>
      </c>
      <c r="BK435" s="13">
        <f t="shared" si="398"/>
        <v>4.9643241787829862E-2</v>
      </c>
      <c r="BL435" s="24">
        <f t="shared" si="399"/>
        <v>2476</v>
      </c>
      <c r="BM435" s="24">
        <f t="shared" si="400"/>
        <v>2844.75</v>
      </c>
      <c r="BO435" s="17">
        <f t="shared" si="401"/>
        <v>30608</v>
      </c>
      <c r="BP435" s="17">
        <f t="shared" si="402"/>
        <v>-579</v>
      </c>
      <c r="BQ435" s="18">
        <f t="shared" si="403"/>
        <v>-1.8565427902651699E-2</v>
      </c>
      <c r="BR435" s="25">
        <f t="shared" si="404"/>
        <v>2550.6666666666665</v>
      </c>
    </row>
    <row r="436" spans="1:70">
      <c r="A436" t="s">
        <v>685</v>
      </c>
      <c r="B436">
        <v>320070</v>
      </c>
      <c r="C436" s="1">
        <v>22690</v>
      </c>
      <c r="D436" s="1">
        <v>22290</v>
      </c>
      <c r="E436" s="1">
        <v>22413</v>
      </c>
      <c r="F436" s="1">
        <v>22386</v>
      </c>
      <c r="G436" s="1">
        <v>20511</v>
      </c>
      <c r="H436" s="1">
        <v>22809</v>
      </c>
      <c r="I436" s="1">
        <v>22890</v>
      </c>
      <c r="J436" s="1">
        <v>23183</v>
      </c>
      <c r="K436" s="1">
        <v>23324</v>
      </c>
      <c r="L436" s="1">
        <v>23603</v>
      </c>
      <c r="M436" s="1">
        <v>23569</v>
      </c>
      <c r="N436" s="1">
        <v>274259</v>
      </c>
      <c r="O436" s="1">
        <v>23949</v>
      </c>
      <c r="P436" s="1">
        <v>23388</v>
      </c>
      <c r="Q436" s="1">
        <v>23605</v>
      </c>
      <c r="R436" s="1">
        <v>24018</v>
      </c>
      <c r="S436" s="1">
        <v>21877</v>
      </c>
      <c r="T436" s="1">
        <v>23887</v>
      </c>
      <c r="U436" s="1">
        <v>24114</v>
      </c>
      <c r="V436" s="1">
        <v>24243</v>
      </c>
      <c r="W436" s="1">
        <v>24494</v>
      </c>
      <c r="X436" s="1">
        <v>24460</v>
      </c>
      <c r="Y436" s="1">
        <v>24904</v>
      </c>
      <c r="Z436" s="1">
        <v>241323</v>
      </c>
      <c r="AA436" s="1">
        <v>25439</v>
      </c>
      <c r="AB436" s="1">
        <v>175339</v>
      </c>
      <c r="AC436" s="1">
        <v>31870</v>
      </c>
      <c r="AD436" s="1">
        <v>34216</v>
      </c>
      <c r="AE436" s="1">
        <v>35769</v>
      </c>
      <c r="AF436" s="1">
        <v>36582</v>
      </c>
      <c r="AG436" s="1">
        <v>37812</v>
      </c>
      <c r="AH436" s="1">
        <v>35387</v>
      </c>
      <c r="AI436" s="1">
        <v>41051</v>
      </c>
      <c r="AJ436" s="1">
        <v>51551</v>
      </c>
      <c r="AK436" s="1">
        <v>51551</v>
      </c>
      <c r="AL436" s="1">
        <v>51551</v>
      </c>
      <c r="AM436" s="1">
        <v>26711</v>
      </c>
      <c r="AN436" s="1">
        <v>184106</v>
      </c>
      <c r="AO436" s="1">
        <v>33464</v>
      </c>
      <c r="AP436" s="1">
        <v>35927</v>
      </c>
      <c r="AQ436" s="1">
        <v>37558</v>
      </c>
      <c r="AR436" s="1">
        <v>38411</v>
      </c>
      <c r="AS436" s="1">
        <v>39702</v>
      </c>
      <c r="AT436" s="1">
        <v>37157</v>
      </c>
      <c r="AU436" s="1">
        <v>54129</v>
      </c>
      <c r="AV436" s="1">
        <v>54129</v>
      </c>
      <c r="AW436" s="1">
        <v>54129</v>
      </c>
      <c r="AX436" s="1">
        <v>54129</v>
      </c>
      <c r="AY436" s="1"/>
      <c r="BA436" s="21">
        <f t="shared" si="390"/>
        <v>523927</v>
      </c>
      <c r="BB436" s="22">
        <f t="shared" si="391"/>
        <v>43660.583333333336</v>
      </c>
      <c r="BD436" s="7">
        <f t="shared" si="392"/>
        <v>504262</v>
      </c>
      <c r="BE436" s="7">
        <f t="shared" si="393"/>
        <v>-19665</v>
      </c>
      <c r="BF436" s="8">
        <f t="shared" si="394"/>
        <v>-3.7533854907267572E-2</v>
      </c>
      <c r="BG436" s="7">
        <f t="shared" si="395"/>
        <v>42021.833333333336</v>
      </c>
      <c r="BI436" s="12">
        <f t="shared" si="396"/>
        <v>608118</v>
      </c>
      <c r="BJ436" s="12">
        <f t="shared" si="397"/>
        <v>103856</v>
      </c>
      <c r="BK436" s="13">
        <f t="shared" si="398"/>
        <v>0.2059564274127339</v>
      </c>
      <c r="BL436" s="24">
        <f t="shared" si="399"/>
        <v>51551.75</v>
      </c>
      <c r="BM436" s="24">
        <f t="shared" si="400"/>
        <v>48926</v>
      </c>
      <c r="BO436" s="17">
        <f t="shared" si="401"/>
        <v>649552</v>
      </c>
      <c r="BP436" s="17">
        <f t="shared" si="402"/>
        <v>41434</v>
      </c>
      <c r="BQ436" s="18">
        <f t="shared" si="403"/>
        <v>6.8134802784985737E-2</v>
      </c>
      <c r="BR436" s="25">
        <f t="shared" si="404"/>
        <v>54129.333333333336</v>
      </c>
    </row>
    <row r="437" spans="1:70">
      <c r="A437" t="s">
        <v>686</v>
      </c>
      <c r="B437">
        <v>320075</v>
      </c>
      <c r="C437" s="1">
        <v>14307</v>
      </c>
      <c r="D437" s="1">
        <v>7596</v>
      </c>
      <c r="E437" s="1">
        <v>17667</v>
      </c>
      <c r="F437" s="1">
        <v>9599</v>
      </c>
      <c r="G437" s="1">
        <v>12822</v>
      </c>
      <c r="H437" s="1">
        <v>27024</v>
      </c>
      <c r="I437" s="1">
        <v>19222</v>
      </c>
      <c r="J437" s="1">
        <v>43340</v>
      </c>
      <c r="K437" s="1">
        <v>-24427</v>
      </c>
      <c r="L437" s="1">
        <v>11806</v>
      </c>
      <c r="M437" s="1">
        <v>9640</v>
      </c>
      <c r="N437" s="1">
        <v>11462</v>
      </c>
      <c r="O437" s="1">
        <v>6288</v>
      </c>
      <c r="P437" s="1">
        <v>13509</v>
      </c>
      <c r="Q437" s="1">
        <v>15978</v>
      </c>
      <c r="R437" s="1">
        <v>14172</v>
      </c>
      <c r="S437" s="1">
        <v>19290</v>
      </c>
      <c r="T437" s="1">
        <v>17525</v>
      </c>
      <c r="U437" s="1">
        <v>19572</v>
      </c>
      <c r="V437" s="1">
        <v>22826</v>
      </c>
      <c r="W437" s="1">
        <v>21650</v>
      </c>
      <c r="X437" s="1">
        <v>22700</v>
      </c>
      <c r="Y437" s="1">
        <v>27909</v>
      </c>
      <c r="Z437" s="1">
        <v>23291</v>
      </c>
      <c r="AA437" s="1">
        <v>30313</v>
      </c>
      <c r="AB437" s="1">
        <v>95684</v>
      </c>
      <c r="AC437" s="1">
        <v>30633</v>
      </c>
      <c r="AD437" s="1">
        <v>44839</v>
      </c>
      <c r="AE437" s="1">
        <v>45586</v>
      </c>
      <c r="AF437" s="1">
        <v>40800</v>
      </c>
      <c r="AG437" s="1">
        <v>35348</v>
      </c>
      <c r="AH437" s="1">
        <v>25576</v>
      </c>
      <c r="AI437" s="1">
        <v>26638</v>
      </c>
      <c r="AJ437" s="1">
        <v>43597</v>
      </c>
      <c r="AK437" s="1">
        <v>43597</v>
      </c>
      <c r="AL437" s="1">
        <v>43597</v>
      </c>
      <c r="AM437" s="1">
        <v>48495</v>
      </c>
      <c r="AN437" s="1">
        <v>117134</v>
      </c>
      <c r="AO437" s="1">
        <v>48831</v>
      </c>
      <c r="AP437" s="1">
        <v>63746</v>
      </c>
      <c r="AQ437" s="1">
        <v>64531</v>
      </c>
      <c r="AR437" s="1">
        <v>59506</v>
      </c>
      <c r="AS437" s="1">
        <v>53781</v>
      </c>
      <c r="AT437" s="1">
        <v>43521</v>
      </c>
      <c r="AU437" s="1">
        <v>62443</v>
      </c>
      <c r="AV437" s="1">
        <v>62443</v>
      </c>
      <c r="AW437" s="1">
        <v>62443</v>
      </c>
      <c r="AX437" s="1">
        <v>62451</v>
      </c>
      <c r="AY437" s="1"/>
      <c r="BA437" s="21">
        <f t="shared" si="390"/>
        <v>160058</v>
      </c>
      <c r="BB437" s="22">
        <f t="shared" si="391"/>
        <v>13338.166666666666</v>
      </c>
      <c r="BD437" s="7">
        <f t="shared" si="392"/>
        <v>224710</v>
      </c>
      <c r="BE437" s="7">
        <f t="shared" si="393"/>
        <v>64652</v>
      </c>
      <c r="BF437" s="8">
        <f t="shared" si="394"/>
        <v>0.40392857589123943</v>
      </c>
      <c r="BG437" s="7">
        <f t="shared" si="395"/>
        <v>18725.833333333332</v>
      </c>
      <c r="BI437" s="12">
        <f t="shared" si="396"/>
        <v>506208</v>
      </c>
      <c r="BJ437" s="12">
        <f t="shared" si="397"/>
        <v>281498</v>
      </c>
      <c r="BK437" s="13">
        <f t="shared" si="398"/>
        <v>1.2527168350318187</v>
      </c>
      <c r="BL437" s="24">
        <f t="shared" si="399"/>
        <v>43597.375</v>
      </c>
      <c r="BM437" s="24">
        <f t="shared" si="400"/>
        <v>39357.25</v>
      </c>
      <c r="BO437" s="17">
        <f t="shared" si="401"/>
        <v>749325</v>
      </c>
      <c r="BP437" s="17">
        <f t="shared" si="402"/>
        <v>243117</v>
      </c>
      <c r="BQ437" s="18">
        <f t="shared" si="403"/>
        <v>0.48027095581263035</v>
      </c>
      <c r="BR437" s="25">
        <f t="shared" si="404"/>
        <v>62443.75</v>
      </c>
    </row>
    <row r="438" spans="1:70">
      <c r="A438" t="s">
        <v>687</v>
      </c>
      <c r="B438">
        <v>320076</v>
      </c>
      <c r="C438" s="1">
        <v>0</v>
      </c>
      <c r="D438" s="1">
        <v>0</v>
      </c>
      <c r="E438" s="1">
        <v>25161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968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-968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/>
      <c r="BA438" s="21">
        <f t="shared" si="390"/>
        <v>25161</v>
      </c>
      <c r="BB438" s="22">
        <f t="shared" si="391"/>
        <v>2096.75</v>
      </c>
      <c r="BD438" s="7">
        <f t="shared" si="392"/>
        <v>0</v>
      </c>
      <c r="BE438" s="7">
        <f t="shared" si="393"/>
        <v>-25161</v>
      </c>
      <c r="BF438" s="8">
        <f t="shared" si="394"/>
        <v>-1</v>
      </c>
      <c r="BG438" s="7">
        <f t="shared" si="395"/>
        <v>0</v>
      </c>
      <c r="BI438" s="12">
        <f t="shared" si="396"/>
        <v>0</v>
      </c>
      <c r="BJ438" s="12">
        <f t="shared" si="397"/>
        <v>0</v>
      </c>
      <c r="BK438" s="13" t="e">
        <f t="shared" si="398"/>
        <v>#DIV/0!</v>
      </c>
      <c r="BL438" s="24">
        <f t="shared" si="399"/>
        <v>0</v>
      </c>
      <c r="BM438" s="24">
        <f t="shared" si="400"/>
        <v>0</v>
      </c>
      <c r="BO438" s="17">
        <f t="shared" si="401"/>
        <v>0</v>
      </c>
      <c r="BP438" s="17">
        <f t="shared" si="402"/>
        <v>0</v>
      </c>
      <c r="BQ438" s="18" t="e">
        <f t="shared" si="403"/>
        <v>#DIV/0!</v>
      </c>
      <c r="BR438" s="25">
        <f t="shared" si="404"/>
        <v>0</v>
      </c>
    </row>
    <row r="439" spans="1:70">
      <c r="A439" t="s">
        <v>688</v>
      </c>
      <c r="B439">
        <v>320080</v>
      </c>
      <c r="C439" s="1">
        <v>14850</v>
      </c>
      <c r="D439" s="1">
        <v>9718</v>
      </c>
      <c r="E439" s="1">
        <v>7848</v>
      </c>
      <c r="F439" s="1">
        <v>15002</v>
      </c>
      <c r="G439" s="1">
        <v>9597</v>
      </c>
      <c r="H439" s="1">
        <v>7063</v>
      </c>
      <c r="I439" s="1">
        <v>14561</v>
      </c>
      <c r="J439" s="1">
        <v>9650</v>
      </c>
      <c r="K439" s="1">
        <v>7956</v>
      </c>
      <c r="L439" s="1">
        <v>14693</v>
      </c>
      <c r="M439" s="1">
        <v>9630</v>
      </c>
      <c r="N439" s="1">
        <v>7022</v>
      </c>
      <c r="O439" s="1">
        <v>14462</v>
      </c>
      <c r="P439" s="1">
        <v>9384</v>
      </c>
      <c r="Q439" s="1">
        <v>7537</v>
      </c>
      <c r="R439" s="1">
        <v>15113</v>
      </c>
      <c r="S439" s="1">
        <v>9437</v>
      </c>
      <c r="T439" s="1">
        <v>6680</v>
      </c>
      <c r="U439" s="1">
        <v>14840</v>
      </c>
      <c r="V439" s="1">
        <v>10091</v>
      </c>
      <c r="W439" s="1">
        <v>7796</v>
      </c>
      <c r="X439" s="1">
        <v>15070</v>
      </c>
      <c r="Y439" s="1">
        <v>55096</v>
      </c>
      <c r="Z439" s="1">
        <v>8539</v>
      </c>
      <c r="AA439" s="1">
        <v>15314</v>
      </c>
      <c r="AB439" s="1">
        <v>10494</v>
      </c>
      <c r="AC439" s="1">
        <v>7747</v>
      </c>
      <c r="AD439" s="1">
        <v>17195</v>
      </c>
      <c r="AE439" s="1">
        <v>10447</v>
      </c>
      <c r="AF439" s="1">
        <v>9703</v>
      </c>
      <c r="AG439" s="1">
        <v>15682</v>
      </c>
      <c r="AH439" s="1">
        <v>11016</v>
      </c>
      <c r="AI439" s="1">
        <v>7612</v>
      </c>
      <c r="AJ439" s="1">
        <v>11550</v>
      </c>
      <c r="AK439" s="1">
        <v>11000</v>
      </c>
      <c r="AL439" s="1">
        <v>11000</v>
      </c>
      <c r="AM439" s="1">
        <v>12000</v>
      </c>
      <c r="AN439" s="1">
        <v>12000</v>
      </c>
      <c r="AO439" s="1">
        <v>12000</v>
      </c>
      <c r="AP439" s="1">
        <v>12000</v>
      </c>
      <c r="AQ439" s="1">
        <v>12000</v>
      </c>
      <c r="AR439" s="1">
        <v>12000</v>
      </c>
      <c r="AS439" s="1">
        <v>12000</v>
      </c>
      <c r="AT439" s="1">
        <v>12000</v>
      </c>
      <c r="AU439" s="1">
        <v>12000</v>
      </c>
      <c r="AV439" s="1">
        <v>12000</v>
      </c>
      <c r="AW439" s="1">
        <v>12000</v>
      </c>
      <c r="AX439" s="1">
        <v>12000</v>
      </c>
      <c r="AY439" s="1"/>
      <c r="BA439" s="21">
        <f t="shared" si="390"/>
        <v>127590</v>
      </c>
      <c r="BB439" s="22">
        <f t="shared" si="391"/>
        <v>10632.5</v>
      </c>
      <c r="BD439" s="7">
        <f t="shared" si="392"/>
        <v>174045</v>
      </c>
      <c r="BE439" s="7">
        <f t="shared" si="393"/>
        <v>46455</v>
      </c>
      <c r="BF439" s="8">
        <f t="shared" si="394"/>
        <v>0.36409593228309434</v>
      </c>
      <c r="BG439" s="7">
        <f t="shared" si="395"/>
        <v>14503.75</v>
      </c>
      <c r="BI439" s="12">
        <f t="shared" si="396"/>
        <v>138760</v>
      </c>
      <c r="BJ439" s="12">
        <f t="shared" si="397"/>
        <v>-35285</v>
      </c>
      <c r="BK439" s="13">
        <f t="shared" si="398"/>
        <v>-0.20273492487575051</v>
      </c>
      <c r="BL439" s="24">
        <f t="shared" si="399"/>
        <v>12199.75</v>
      </c>
      <c r="BM439" s="24">
        <f t="shared" si="400"/>
        <v>10290.5</v>
      </c>
      <c r="BO439" s="17">
        <f t="shared" si="401"/>
        <v>144000</v>
      </c>
      <c r="BP439" s="17">
        <f t="shared" si="402"/>
        <v>5240</v>
      </c>
      <c r="BQ439" s="18">
        <f t="shared" si="403"/>
        <v>3.7763044104929477E-2</v>
      </c>
      <c r="BR439" s="25">
        <f t="shared" si="404"/>
        <v>12000</v>
      </c>
    </row>
    <row r="440" spans="1:70">
      <c r="A440" t="s">
        <v>689</v>
      </c>
      <c r="B440">
        <v>320081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44705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1300</v>
      </c>
      <c r="AH440" s="1">
        <v>0</v>
      </c>
      <c r="AI440" s="1">
        <v>0</v>
      </c>
      <c r="AJ440" s="1">
        <v>1733</v>
      </c>
      <c r="AK440" s="1">
        <v>1000</v>
      </c>
      <c r="AL440" s="1">
        <v>1000</v>
      </c>
      <c r="AM440" s="1">
        <v>1000</v>
      </c>
      <c r="AN440" s="1">
        <v>1000</v>
      </c>
      <c r="AO440" s="1">
        <v>1000</v>
      </c>
      <c r="AP440" s="1">
        <v>1000</v>
      </c>
      <c r="AQ440" s="1">
        <v>1000</v>
      </c>
      <c r="AR440" s="1">
        <v>1000</v>
      </c>
      <c r="AS440" s="1">
        <v>1000</v>
      </c>
      <c r="AT440" s="1">
        <v>1000</v>
      </c>
      <c r="AU440" s="1">
        <v>1000</v>
      </c>
      <c r="AV440" s="1">
        <v>1000</v>
      </c>
      <c r="AW440" s="1">
        <v>1000</v>
      </c>
      <c r="AX440" s="1">
        <v>1000</v>
      </c>
      <c r="AY440" s="1"/>
      <c r="BA440" s="21">
        <f t="shared" si="390"/>
        <v>0</v>
      </c>
      <c r="BB440" s="22">
        <f t="shared" si="391"/>
        <v>0</v>
      </c>
      <c r="BD440" s="7">
        <f t="shared" si="392"/>
        <v>44705</v>
      </c>
      <c r="BE440" s="7">
        <f t="shared" si="393"/>
        <v>44705</v>
      </c>
      <c r="BF440" s="8" t="e">
        <f t="shared" si="394"/>
        <v>#DIV/0!</v>
      </c>
      <c r="BG440" s="7">
        <f t="shared" si="395"/>
        <v>3725.4166666666665</v>
      </c>
      <c r="BI440" s="12">
        <f t="shared" si="396"/>
        <v>5033</v>
      </c>
      <c r="BJ440" s="12">
        <f t="shared" si="397"/>
        <v>-39672</v>
      </c>
      <c r="BK440" s="13">
        <f t="shared" si="398"/>
        <v>-0.88741751481937148</v>
      </c>
      <c r="BL440" s="24">
        <f t="shared" si="399"/>
        <v>162.5</v>
      </c>
      <c r="BM440" s="24">
        <f t="shared" si="400"/>
        <v>933.25</v>
      </c>
      <c r="BO440" s="17">
        <f t="shared" si="401"/>
        <v>12000</v>
      </c>
      <c r="BP440" s="17">
        <f t="shared" si="402"/>
        <v>6967</v>
      </c>
      <c r="BQ440" s="18">
        <f t="shared" si="403"/>
        <v>1.3842638585336777</v>
      </c>
      <c r="BR440" s="25">
        <f t="shared" si="404"/>
        <v>1000</v>
      </c>
    </row>
    <row r="441" spans="1:70">
      <c r="A441" t="s">
        <v>690</v>
      </c>
      <c r="B441">
        <v>320082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44705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6571</v>
      </c>
      <c r="AH441" s="1">
        <v>0</v>
      </c>
      <c r="AI441" s="1">
        <v>0</v>
      </c>
      <c r="AJ441" s="1">
        <v>8761</v>
      </c>
      <c r="AK441" s="1">
        <v>7000</v>
      </c>
      <c r="AL441" s="1">
        <v>7000</v>
      </c>
      <c r="AM441" s="1">
        <v>7000</v>
      </c>
      <c r="AN441" s="1">
        <v>7000</v>
      </c>
      <c r="AO441" s="1">
        <v>7000</v>
      </c>
      <c r="AP441" s="1">
        <v>7000</v>
      </c>
      <c r="AQ441" s="1">
        <v>7000</v>
      </c>
      <c r="AR441" s="1">
        <v>7000</v>
      </c>
      <c r="AS441" s="1">
        <v>7000</v>
      </c>
      <c r="AT441" s="1">
        <v>7000</v>
      </c>
      <c r="AU441" s="1">
        <v>7000</v>
      </c>
      <c r="AV441" s="1">
        <v>7000</v>
      </c>
      <c r="AW441" s="1">
        <v>7000</v>
      </c>
      <c r="AX441" s="1">
        <v>7000</v>
      </c>
      <c r="AY441" s="1"/>
      <c r="BA441" s="21">
        <f t="shared" si="390"/>
        <v>0</v>
      </c>
      <c r="BB441" s="22">
        <f t="shared" si="391"/>
        <v>0</v>
      </c>
      <c r="BD441" s="7">
        <f t="shared" si="392"/>
        <v>44705</v>
      </c>
      <c r="BE441" s="7">
        <f t="shared" si="393"/>
        <v>44705</v>
      </c>
      <c r="BF441" s="8" t="e">
        <f t="shared" si="394"/>
        <v>#DIV/0!</v>
      </c>
      <c r="BG441" s="7">
        <f t="shared" si="395"/>
        <v>3725.4166666666665</v>
      </c>
      <c r="BI441" s="12">
        <f t="shared" si="396"/>
        <v>29332</v>
      </c>
      <c r="BJ441" s="12">
        <f t="shared" si="397"/>
        <v>-15373</v>
      </c>
      <c r="BK441" s="13">
        <f t="shared" si="398"/>
        <v>-0.34387652387876078</v>
      </c>
      <c r="BL441" s="24">
        <f t="shared" si="399"/>
        <v>821.375</v>
      </c>
      <c r="BM441" s="24">
        <f t="shared" si="400"/>
        <v>5690.25</v>
      </c>
      <c r="BO441" s="17">
        <f t="shared" si="401"/>
        <v>84000</v>
      </c>
      <c r="BP441" s="17">
        <f t="shared" si="402"/>
        <v>54668</v>
      </c>
      <c r="BQ441" s="18">
        <f t="shared" si="403"/>
        <v>1.863766534842493</v>
      </c>
      <c r="BR441" s="25">
        <f t="shared" si="404"/>
        <v>7000</v>
      </c>
    </row>
    <row r="442" spans="1:70">
      <c r="A442" t="s">
        <v>691</v>
      </c>
      <c r="B442">
        <v>320090</v>
      </c>
      <c r="C442" s="1">
        <v>74</v>
      </c>
      <c r="D442" s="1">
        <v>169</v>
      </c>
      <c r="E442" s="1">
        <v>0</v>
      </c>
      <c r="F442" s="1">
        <v>81</v>
      </c>
      <c r="G442" s="1">
        <v>94</v>
      </c>
      <c r="H442" s="1">
        <v>86</v>
      </c>
      <c r="I442" s="1">
        <v>86</v>
      </c>
      <c r="J442" s="1">
        <v>82</v>
      </c>
      <c r="K442" s="1">
        <v>163</v>
      </c>
      <c r="L442" s="1">
        <v>0</v>
      </c>
      <c r="M442" s="1">
        <v>158</v>
      </c>
      <c r="N442" s="1">
        <v>0</v>
      </c>
      <c r="O442" s="1">
        <v>165</v>
      </c>
      <c r="P442" s="1">
        <v>0</v>
      </c>
      <c r="Q442" s="1">
        <v>0</v>
      </c>
      <c r="R442" s="1">
        <v>147</v>
      </c>
      <c r="S442" s="1">
        <v>83</v>
      </c>
      <c r="T442" s="1">
        <v>150</v>
      </c>
      <c r="U442" s="1">
        <v>68</v>
      </c>
      <c r="V442" s="1">
        <v>0</v>
      </c>
      <c r="W442" s="1">
        <v>65</v>
      </c>
      <c r="X442" s="1">
        <v>60</v>
      </c>
      <c r="Y442" s="1">
        <v>60</v>
      </c>
      <c r="Z442" s="1">
        <v>119</v>
      </c>
      <c r="AA442" s="1">
        <v>53</v>
      </c>
      <c r="AB442" s="1">
        <v>0</v>
      </c>
      <c r="AC442" s="1">
        <v>197</v>
      </c>
      <c r="AD442" s="1">
        <v>53</v>
      </c>
      <c r="AE442" s="1">
        <v>45</v>
      </c>
      <c r="AF442" s="1">
        <v>0</v>
      </c>
      <c r="AG442" s="1">
        <v>45</v>
      </c>
      <c r="AH442" s="1">
        <v>91</v>
      </c>
      <c r="AI442" s="1">
        <v>45</v>
      </c>
      <c r="AJ442" s="1">
        <v>46</v>
      </c>
      <c r="AK442" s="1">
        <v>46</v>
      </c>
      <c r="AL442" s="1">
        <v>46</v>
      </c>
      <c r="AM442" s="1">
        <v>46</v>
      </c>
      <c r="AN442" s="1">
        <v>46</v>
      </c>
      <c r="AO442" s="1">
        <v>46</v>
      </c>
      <c r="AP442" s="1">
        <v>46</v>
      </c>
      <c r="AQ442" s="1">
        <v>46</v>
      </c>
      <c r="AR442" s="1">
        <v>46</v>
      </c>
      <c r="AS442" s="1">
        <v>46</v>
      </c>
      <c r="AT442" s="1">
        <v>46</v>
      </c>
      <c r="AU442" s="1">
        <v>46</v>
      </c>
      <c r="AV442" s="1">
        <v>46</v>
      </c>
      <c r="AW442" s="1">
        <v>46</v>
      </c>
      <c r="AX442" s="1">
        <v>46</v>
      </c>
      <c r="AY442" s="1"/>
      <c r="BA442" s="21">
        <f t="shared" si="390"/>
        <v>993</v>
      </c>
      <c r="BB442" s="22">
        <f t="shared" si="391"/>
        <v>82.75</v>
      </c>
      <c r="BD442" s="7">
        <f t="shared" si="392"/>
        <v>917</v>
      </c>
      <c r="BE442" s="7">
        <f t="shared" si="393"/>
        <v>-76</v>
      </c>
      <c r="BF442" s="8">
        <f t="shared" si="394"/>
        <v>-7.6535750251762291E-2</v>
      </c>
      <c r="BG442" s="7">
        <f t="shared" si="395"/>
        <v>76.416666666666671</v>
      </c>
      <c r="BI442" s="12">
        <f t="shared" si="396"/>
        <v>667</v>
      </c>
      <c r="BJ442" s="12">
        <f t="shared" si="397"/>
        <v>-250</v>
      </c>
      <c r="BK442" s="13">
        <f t="shared" si="398"/>
        <v>-0.27262813522355511</v>
      </c>
      <c r="BL442" s="24">
        <f t="shared" si="399"/>
        <v>60.5</v>
      </c>
      <c r="BM442" s="24">
        <f t="shared" si="400"/>
        <v>45.75</v>
      </c>
      <c r="BO442" s="17">
        <f t="shared" si="401"/>
        <v>552</v>
      </c>
      <c r="BP442" s="17">
        <f t="shared" si="402"/>
        <v>-115</v>
      </c>
      <c r="BQ442" s="18">
        <f t="shared" si="403"/>
        <v>-0.17241379310344829</v>
      </c>
      <c r="BR442" s="25">
        <f t="shared" si="404"/>
        <v>46</v>
      </c>
    </row>
    <row r="443" spans="1:70">
      <c r="A443" t="s">
        <v>692</v>
      </c>
      <c r="B443">
        <v>320185</v>
      </c>
      <c r="C443" s="1">
        <v>6923</v>
      </c>
      <c r="D443" s="1">
        <v>5858</v>
      </c>
      <c r="E443" s="1">
        <v>6586</v>
      </c>
      <c r="F443" s="1">
        <v>6635</v>
      </c>
      <c r="G443" s="1">
        <v>6449</v>
      </c>
      <c r="H443" s="1">
        <v>6436</v>
      </c>
      <c r="I443" s="1">
        <v>6691</v>
      </c>
      <c r="J443" s="1">
        <v>6854</v>
      </c>
      <c r="K443" s="1">
        <v>6213</v>
      </c>
      <c r="L443" s="1">
        <v>6332</v>
      </c>
      <c r="M443" s="1">
        <v>5440</v>
      </c>
      <c r="N443" s="1">
        <v>5180</v>
      </c>
      <c r="O443" s="1">
        <v>5013</v>
      </c>
      <c r="P443" s="1">
        <v>4775</v>
      </c>
      <c r="Q443" s="1">
        <v>4762</v>
      </c>
      <c r="R443" s="1">
        <v>4893</v>
      </c>
      <c r="S443" s="1">
        <v>4376</v>
      </c>
      <c r="T443" s="1">
        <v>3864</v>
      </c>
      <c r="U443" s="1">
        <v>3692</v>
      </c>
      <c r="V443" s="1">
        <v>3723</v>
      </c>
      <c r="W443" s="1">
        <v>2247</v>
      </c>
      <c r="X443" s="1">
        <v>562</v>
      </c>
      <c r="Y443" s="1">
        <v>407</v>
      </c>
      <c r="Z443" s="1">
        <v>306</v>
      </c>
      <c r="AA443" s="1">
        <v>265</v>
      </c>
      <c r="AB443" s="1">
        <v>154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/>
      <c r="BA443" s="21">
        <f t="shared" si="390"/>
        <v>75597</v>
      </c>
      <c r="BB443" s="22">
        <f t="shared" si="391"/>
        <v>6299.75</v>
      </c>
      <c r="BD443" s="7">
        <f t="shared" si="392"/>
        <v>38620</v>
      </c>
      <c r="BE443" s="7">
        <f t="shared" si="393"/>
        <v>-36977</v>
      </c>
      <c r="BF443" s="8">
        <f t="shared" si="394"/>
        <v>-0.48913316666005269</v>
      </c>
      <c r="BG443" s="7">
        <f t="shared" si="395"/>
        <v>3218.3333333333335</v>
      </c>
      <c r="BI443" s="12">
        <f t="shared" si="396"/>
        <v>419</v>
      </c>
      <c r="BJ443" s="12">
        <f t="shared" si="397"/>
        <v>-38201</v>
      </c>
      <c r="BK443" s="13">
        <f t="shared" si="398"/>
        <v>-0.98915069911962716</v>
      </c>
      <c r="BL443" s="24">
        <f t="shared" si="399"/>
        <v>52.375</v>
      </c>
      <c r="BM443" s="24">
        <f t="shared" si="400"/>
        <v>0</v>
      </c>
      <c r="BO443" s="17">
        <f t="shared" si="401"/>
        <v>0</v>
      </c>
      <c r="BP443" s="17">
        <f t="shared" si="402"/>
        <v>-419</v>
      </c>
      <c r="BQ443" s="18">
        <f t="shared" si="403"/>
        <v>-1</v>
      </c>
      <c r="BR443" s="25">
        <f t="shared" si="404"/>
        <v>0</v>
      </c>
    </row>
    <row r="444" spans="1:70">
      <c r="A444" t="s">
        <v>693</v>
      </c>
      <c r="B444">
        <v>320190</v>
      </c>
      <c r="C444" s="1">
        <v>719939</v>
      </c>
      <c r="D444" s="1">
        <v>670287</v>
      </c>
      <c r="E444" s="1">
        <v>771912</v>
      </c>
      <c r="F444" s="1">
        <v>759978</v>
      </c>
      <c r="G444" s="1">
        <v>722776</v>
      </c>
      <c r="H444" s="1">
        <v>735180</v>
      </c>
      <c r="I444" s="1">
        <v>760612</v>
      </c>
      <c r="J444" s="1">
        <v>760734</v>
      </c>
      <c r="K444" s="1">
        <v>698443</v>
      </c>
      <c r="L444" s="1">
        <v>765401</v>
      </c>
      <c r="M444" s="1">
        <v>710272</v>
      </c>
      <c r="N444" s="1">
        <v>712392</v>
      </c>
      <c r="O444" s="1">
        <v>706591</v>
      </c>
      <c r="P444" s="1">
        <v>677808</v>
      </c>
      <c r="Q444" s="1">
        <v>711566</v>
      </c>
      <c r="R444" s="1">
        <v>789281</v>
      </c>
      <c r="S444" s="1">
        <v>774333</v>
      </c>
      <c r="T444" s="1">
        <v>732962</v>
      </c>
      <c r="U444" s="1">
        <v>721827</v>
      </c>
      <c r="V444" s="1">
        <v>772125</v>
      </c>
      <c r="W444" s="1">
        <v>724491</v>
      </c>
      <c r="X444" s="1">
        <v>751743</v>
      </c>
      <c r="Y444" s="1">
        <v>695616</v>
      </c>
      <c r="Z444" s="1">
        <v>823784</v>
      </c>
      <c r="AA444" s="1">
        <v>712703</v>
      </c>
      <c r="AB444" s="1">
        <v>694883</v>
      </c>
      <c r="AC444" s="1">
        <v>801829</v>
      </c>
      <c r="AD444" s="1">
        <v>796243</v>
      </c>
      <c r="AE444" s="1">
        <v>803670</v>
      </c>
      <c r="AF444" s="1">
        <v>805762</v>
      </c>
      <c r="AG444" s="1">
        <v>773731</v>
      </c>
      <c r="AH444" s="1">
        <v>811136</v>
      </c>
      <c r="AI444" s="1">
        <v>809248</v>
      </c>
      <c r="AJ444" s="1">
        <v>766095</v>
      </c>
      <c r="AK444" s="1">
        <v>770820</v>
      </c>
      <c r="AL444" s="1">
        <v>775545</v>
      </c>
      <c r="AM444" s="1">
        <v>735460</v>
      </c>
      <c r="AN444" s="1">
        <v>705885</v>
      </c>
      <c r="AO444" s="1">
        <v>834358</v>
      </c>
      <c r="AP444" s="1">
        <v>821657</v>
      </c>
      <c r="AQ444" s="1">
        <v>862199</v>
      </c>
      <c r="AR444" s="1">
        <v>834253</v>
      </c>
      <c r="AS444" s="1">
        <v>822790</v>
      </c>
      <c r="AT444" s="1">
        <v>827632</v>
      </c>
      <c r="AU444" s="1">
        <v>833512</v>
      </c>
      <c r="AV444" s="1">
        <v>839393</v>
      </c>
      <c r="AW444" s="1">
        <v>855049</v>
      </c>
      <c r="AX444" s="1">
        <v>860929</v>
      </c>
      <c r="AY444" s="1"/>
      <c r="BA444" s="21">
        <f t="shared" si="390"/>
        <v>8787926</v>
      </c>
      <c r="BB444" s="22">
        <f t="shared" si="391"/>
        <v>732327.16666666663</v>
      </c>
      <c r="BD444" s="7">
        <f t="shared" si="392"/>
        <v>8882127</v>
      </c>
      <c r="BE444" s="7">
        <f t="shared" si="393"/>
        <v>94201</v>
      </c>
      <c r="BF444" s="8">
        <f t="shared" si="394"/>
        <v>1.0719366549058362E-2</v>
      </c>
      <c r="BG444" s="7">
        <f t="shared" si="395"/>
        <v>740177.25</v>
      </c>
      <c r="BI444" s="12">
        <f t="shared" si="396"/>
        <v>9321665</v>
      </c>
      <c r="BJ444" s="12">
        <f t="shared" si="397"/>
        <v>439538</v>
      </c>
      <c r="BK444" s="13">
        <f t="shared" si="398"/>
        <v>4.9485669367258511E-2</v>
      </c>
      <c r="BL444" s="24">
        <f t="shared" si="399"/>
        <v>774994.625</v>
      </c>
      <c r="BM444" s="24">
        <f t="shared" si="400"/>
        <v>780427</v>
      </c>
      <c r="BO444" s="17">
        <f t="shared" si="401"/>
        <v>9833117</v>
      </c>
      <c r="BP444" s="17">
        <f t="shared" si="402"/>
        <v>511452</v>
      </c>
      <c r="BQ444" s="18">
        <f t="shared" si="403"/>
        <v>5.486702214679462E-2</v>
      </c>
      <c r="BR444" s="25">
        <f t="shared" si="404"/>
        <v>819426.41666666663</v>
      </c>
    </row>
    <row r="445" spans="1:70">
      <c r="A445" t="s">
        <v>694</v>
      </c>
      <c r="B445">
        <v>320191</v>
      </c>
      <c r="C445" s="1">
        <v>68481</v>
      </c>
      <c r="D445" s="1">
        <v>60013</v>
      </c>
      <c r="E445" s="1">
        <v>73279</v>
      </c>
      <c r="F445" s="1">
        <v>69748</v>
      </c>
      <c r="G445" s="1">
        <v>70716</v>
      </c>
      <c r="H445" s="1">
        <v>75973</v>
      </c>
      <c r="I445" s="1">
        <v>71896</v>
      </c>
      <c r="J445" s="1">
        <v>77383</v>
      </c>
      <c r="K445" s="1">
        <v>67734</v>
      </c>
      <c r="L445" s="1">
        <v>71287</v>
      </c>
      <c r="M445" s="1">
        <v>63262</v>
      </c>
      <c r="N445" s="1">
        <v>58133</v>
      </c>
      <c r="O445" s="1">
        <v>65757</v>
      </c>
      <c r="P445" s="1">
        <v>61234</v>
      </c>
      <c r="Q445" s="1">
        <v>68646</v>
      </c>
      <c r="R445" s="1">
        <v>77977</v>
      </c>
      <c r="S445" s="1">
        <v>74970</v>
      </c>
      <c r="T445" s="1">
        <v>72334</v>
      </c>
      <c r="U445" s="1">
        <v>68475</v>
      </c>
      <c r="V445" s="1">
        <v>73295</v>
      </c>
      <c r="W445" s="1">
        <v>69755</v>
      </c>
      <c r="X445" s="1">
        <v>75527</v>
      </c>
      <c r="Y445" s="1">
        <v>64557</v>
      </c>
      <c r="Z445" s="1">
        <v>65971</v>
      </c>
      <c r="AA445" s="1">
        <v>64911</v>
      </c>
      <c r="AB445" s="1">
        <v>61257</v>
      </c>
      <c r="AC445" s="1">
        <v>75540</v>
      </c>
      <c r="AD445" s="1">
        <v>75109</v>
      </c>
      <c r="AE445" s="1">
        <v>80625</v>
      </c>
      <c r="AF445" s="1">
        <v>81896</v>
      </c>
      <c r="AG445" s="1">
        <v>77822</v>
      </c>
      <c r="AH445" s="1">
        <v>85407</v>
      </c>
      <c r="AI445" s="1">
        <v>83641</v>
      </c>
      <c r="AJ445" s="1">
        <v>78805</v>
      </c>
      <c r="AK445" s="1">
        <v>78805</v>
      </c>
      <c r="AL445" s="1">
        <v>78805</v>
      </c>
      <c r="AM445" s="1">
        <v>70605</v>
      </c>
      <c r="AN445" s="1">
        <v>65720</v>
      </c>
      <c r="AO445" s="1">
        <v>82044</v>
      </c>
      <c r="AP445" s="1">
        <v>83688</v>
      </c>
      <c r="AQ445" s="1">
        <v>85586</v>
      </c>
      <c r="AR445" s="1">
        <v>84169</v>
      </c>
      <c r="AS445" s="1">
        <v>93369</v>
      </c>
      <c r="AT445" s="1">
        <v>80003</v>
      </c>
      <c r="AU445" s="1">
        <v>80003</v>
      </c>
      <c r="AV445" s="1">
        <v>80003</v>
      </c>
      <c r="AW445" s="1">
        <v>80003</v>
      </c>
      <c r="AX445" s="1">
        <v>80003</v>
      </c>
      <c r="AY445" s="1"/>
      <c r="BA445" s="21">
        <f t="shared" si="390"/>
        <v>827905</v>
      </c>
      <c r="BB445" s="22">
        <f t="shared" si="391"/>
        <v>68992.083333333328</v>
      </c>
      <c r="BD445" s="7">
        <f t="shared" si="392"/>
        <v>838498</v>
      </c>
      <c r="BE445" s="7">
        <f t="shared" si="393"/>
        <v>10593</v>
      </c>
      <c r="BF445" s="8">
        <f t="shared" si="394"/>
        <v>1.2794946280068276E-2</v>
      </c>
      <c r="BG445" s="7">
        <f t="shared" si="395"/>
        <v>69874.833333333328</v>
      </c>
      <c r="BI445" s="12">
        <f t="shared" si="396"/>
        <v>922623</v>
      </c>
      <c r="BJ445" s="12">
        <f t="shared" si="397"/>
        <v>84125</v>
      </c>
      <c r="BK445" s="13">
        <f t="shared" si="398"/>
        <v>0.10032820591104574</v>
      </c>
      <c r="BL445" s="24">
        <f t="shared" si="399"/>
        <v>75320.875</v>
      </c>
      <c r="BM445" s="24">
        <f t="shared" si="400"/>
        <v>80014</v>
      </c>
      <c r="BO445" s="17">
        <f t="shared" si="401"/>
        <v>965196</v>
      </c>
      <c r="BP445" s="17">
        <f t="shared" si="402"/>
        <v>42573</v>
      </c>
      <c r="BQ445" s="18">
        <f t="shared" si="403"/>
        <v>4.6143441037129973E-2</v>
      </c>
      <c r="BR445" s="25">
        <f t="shared" si="404"/>
        <v>80433</v>
      </c>
    </row>
    <row r="446" spans="1:70">
      <c r="A446" t="s">
        <v>695</v>
      </c>
      <c r="B446">
        <v>320200</v>
      </c>
      <c r="C446" s="1">
        <v>130271</v>
      </c>
      <c r="D446" s="1">
        <v>122435</v>
      </c>
      <c r="E446" s="1">
        <v>144956</v>
      </c>
      <c r="F446" s="1">
        <v>144755</v>
      </c>
      <c r="G446" s="1">
        <v>139443</v>
      </c>
      <c r="H446" s="1">
        <v>141110</v>
      </c>
      <c r="I446" s="1">
        <v>139531</v>
      </c>
      <c r="J446" s="1">
        <v>146271</v>
      </c>
      <c r="K446" s="1">
        <v>132006</v>
      </c>
      <c r="L446" s="1">
        <v>139041</v>
      </c>
      <c r="M446" s="1">
        <v>130291</v>
      </c>
      <c r="N446" s="1">
        <v>125612</v>
      </c>
      <c r="O446" s="1">
        <v>125755</v>
      </c>
      <c r="P446" s="1">
        <v>118646</v>
      </c>
      <c r="Q446" s="1">
        <v>123075</v>
      </c>
      <c r="R446" s="1">
        <v>138874</v>
      </c>
      <c r="S446" s="1">
        <v>141363</v>
      </c>
      <c r="T446" s="1">
        <v>131263</v>
      </c>
      <c r="U446" s="1">
        <v>128589</v>
      </c>
      <c r="V446" s="1">
        <v>137764</v>
      </c>
      <c r="W446" s="1">
        <v>126130</v>
      </c>
      <c r="X446" s="1">
        <v>131872</v>
      </c>
      <c r="Y446" s="1">
        <v>122860</v>
      </c>
      <c r="Z446" s="1">
        <v>136609</v>
      </c>
      <c r="AA446" s="1">
        <v>123714</v>
      </c>
      <c r="AB446" s="1">
        <v>117606</v>
      </c>
      <c r="AC446" s="1">
        <v>142989</v>
      </c>
      <c r="AD446" s="1">
        <v>145737</v>
      </c>
      <c r="AE446" s="1">
        <v>144084</v>
      </c>
      <c r="AF446" s="1">
        <v>146848</v>
      </c>
      <c r="AG446" s="1">
        <v>140173</v>
      </c>
      <c r="AH446" s="1">
        <v>145730</v>
      </c>
      <c r="AI446" s="1">
        <v>143165</v>
      </c>
      <c r="AJ446" s="1">
        <v>138360</v>
      </c>
      <c r="AK446" s="1">
        <v>138360</v>
      </c>
      <c r="AL446" s="1">
        <v>138360</v>
      </c>
      <c r="AM446" s="1">
        <v>144447</v>
      </c>
      <c r="AN446" s="1">
        <v>144447</v>
      </c>
      <c r="AO446" s="1">
        <v>144447</v>
      </c>
      <c r="AP446" s="1">
        <v>144447</v>
      </c>
      <c r="AQ446" s="1">
        <v>144447</v>
      </c>
      <c r="AR446" s="1">
        <v>144447</v>
      </c>
      <c r="AS446" s="1">
        <v>144447</v>
      </c>
      <c r="AT446" s="1">
        <v>144447</v>
      </c>
      <c r="AU446" s="1">
        <v>144447</v>
      </c>
      <c r="AV446" s="1">
        <v>144447</v>
      </c>
      <c r="AW446" s="1">
        <v>144447</v>
      </c>
      <c r="AX446" s="1">
        <v>144457</v>
      </c>
      <c r="AY446" s="1"/>
      <c r="BA446" s="21">
        <f t="shared" si="390"/>
        <v>1635722</v>
      </c>
      <c r="BB446" s="22">
        <f t="shared" si="391"/>
        <v>136310.16666666666</v>
      </c>
      <c r="BD446" s="7">
        <f t="shared" si="392"/>
        <v>1562800</v>
      </c>
      <c r="BE446" s="7">
        <f t="shared" si="393"/>
        <v>-72922</v>
      </c>
      <c r="BF446" s="8">
        <f t="shared" si="394"/>
        <v>-4.4580925120527803E-2</v>
      </c>
      <c r="BG446" s="7">
        <f t="shared" si="395"/>
        <v>130233.33333333333</v>
      </c>
      <c r="BI446" s="12">
        <f t="shared" si="396"/>
        <v>1665126</v>
      </c>
      <c r="BJ446" s="12">
        <f t="shared" si="397"/>
        <v>102326</v>
      </c>
      <c r="BK446" s="13">
        <f t="shared" si="398"/>
        <v>6.5476068594829684E-2</v>
      </c>
      <c r="BL446" s="24">
        <f t="shared" si="399"/>
        <v>138360.125</v>
      </c>
      <c r="BM446" s="24">
        <f t="shared" si="400"/>
        <v>139561.25</v>
      </c>
      <c r="BO446" s="17">
        <f t="shared" si="401"/>
        <v>1733374</v>
      </c>
      <c r="BP446" s="17">
        <f t="shared" si="402"/>
        <v>68248</v>
      </c>
      <c r="BQ446" s="18">
        <f t="shared" si="403"/>
        <v>4.0986688094474477E-2</v>
      </c>
      <c r="BR446" s="25">
        <f t="shared" si="404"/>
        <v>144447.83333333334</v>
      </c>
    </row>
    <row r="447" spans="1:70">
      <c r="A447" t="s">
        <v>696</v>
      </c>
      <c r="B447">
        <v>320205</v>
      </c>
      <c r="C447" s="1">
        <v>27087</v>
      </c>
      <c r="D447" s="1">
        <v>25513</v>
      </c>
      <c r="E447" s="1">
        <v>30347</v>
      </c>
      <c r="F447" s="1">
        <v>29432</v>
      </c>
      <c r="G447" s="1">
        <v>30776</v>
      </c>
      <c r="H447" s="1">
        <v>29756</v>
      </c>
      <c r="I447" s="1">
        <v>30070</v>
      </c>
      <c r="J447" s="1">
        <v>32994</v>
      </c>
      <c r="K447" s="1">
        <v>26690</v>
      </c>
      <c r="L447" s="1">
        <v>28910</v>
      </c>
      <c r="M447" s="1">
        <v>26793</v>
      </c>
      <c r="N447" s="1">
        <v>25213</v>
      </c>
      <c r="O447" s="1">
        <v>27012</v>
      </c>
      <c r="P447" s="1">
        <v>25355</v>
      </c>
      <c r="Q447" s="1">
        <v>27332</v>
      </c>
      <c r="R447" s="1">
        <v>31078</v>
      </c>
      <c r="S447" s="1">
        <v>29370</v>
      </c>
      <c r="T447" s="1">
        <v>26505</v>
      </c>
      <c r="U447" s="1">
        <v>26176</v>
      </c>
      <c r="V447" s="1">
        <v>27144</v>
      </c>
      <c r="W447" s="1">
        <v>28045</v>
      </c>
      <c r="X447" s="1">
        <v>28464</v>
      </c>
      <c r="Y447" s="1">
        <v>28588</v>
      </c>
      <c r="Z447" s="1">
        <v>29890</v>
      </c>
      <c r="AA447" s="1">
        <v>28937</v>
      </c>
      <c r="AB447" s="1">
        <v>23347</v>
      </c>
      <c r="AC447" s="1">
        <v>29491</v>
      </c>
      <c r="AD447" s="1">
        <v>29194</v>
      </c>
      <c r="AE447" s="1">
        <v>31371</v>
      </c>
      <c r="AF447" s="1">
        <v>31630</v>
      </c>
      <c r="AG447" s="1">
        <v>30721</v>
      </c>
      <c r="AH447" s="1">
        <v>33354</v>
      </c>
      <c r="AI447" s="1">
        <v>31595</v>
      </c>
      <c r="AJ447" s="1">
        <v>29755</v>
      </c>
      <c r="AK447" s="1">
        <v>29755</v>
      </c>
      <c r="AL447" s="1">
        <v>29755</v>
      </c>
      <c r="AM447" s="1">
        <v>31064</v>
      </c>
      <c r="AN447" s="1">
        <v>31064</v>
      </c>
      <c r="AO447" s="1">
        <v>31064</v>
      </c>
      <c r="AP447" s="1">
        <v>31064</v>
      </c>
      <c r="AQ447" s="1">
        <v>31064</v>
      </c>
      <c r="AR447" s="1">
        <v>31064</v>
      </c>
      <c r="AS447" s="1">
        <v>31064</v>
      </c>
      <c r="AT447" s="1">
        <v>31064</v>
      </c>
      <c r="AU447" s="1">
        <v>31064</v>
      </c>
      <c r="AV447" s="1">
        <v>31064</v>
      </c>
      <c r="AW447" s="1">
        <v>31064</v>
      </c>
      <c r="AX447" s="1">
        <v>31071</v>
      </c>
      <c r="AY447" s="1"/>
      <c r="BA447" s="21">
        <f t="shared" si="390"/>
        <v>343581</v>
      </c>
      <c r="BB447" s="22">
        <f t="shared" si="391"/>
        <v>28631.75</v>
      </c>
      <c r="BD447" s="7">
        <f t="shared" si="392"/>
        <v>334959</v>
      </c>
      <c r="BE447" s="7">
        <f t="shared" si="393"/>
        <v>-8622</v>
      </c>
      <c r="BF447" s="8">
        <f t="shared" si="394"/>
        <v>-2.5094519196346754E-2</v>
      </c>
      <c r="BG447" s="7">
        <f t="shared" si="395"/>
        <v>27913.25</v>
      </c>
      <c r="BI447" s="12">
        <f t="shared" si="396"/>
        <v>358905</v>
      </c>
      <c r="BJ447" s="12">
        <f t="shared" si="397"/>
        <v>23946</v>
      </c>
      <c r="BK447" s="13">
        <f t="shared" si="398"/>
        <v>7.1489346457327629E-2</v>
      </c>
      <c r="BL447" s="24">
        <f t="shared" si="399"/>
        <v>29755.625</v>
      </c>
      <c r="BM447" s="24">
        <f t="shared" si="400"/>
        <v>30215</v>
      </c>
      <c r="BO447" s="17">
        <f t="shared" si="401"/>
        <v>372775</v>
      </c>
      <c r="BP447" s="17">
        <f t="shared" si="402"/>
        <v>13870</v>
      </c>
      <c r="BQ447" s="18">
        <f t="shared" si="403"/>
        <v>3.8645323971524537E-2</v>
      </c>
      <c r="BR447" s="25">
        <f t="shared" si="404"/>
        <v>31064.583333333332</v>
      </c>
    </row>
    <row r="448" spans="1:70">
      <c r="A448" t="s">
        <v>697</v>
      </c>
      <c r="B448">
        <v>320206</v>
      </c>
      <c r="C448" s="1">
        <v>26711</v>
      </c>
      <c r="D448" s="1">
        <v>25909</v>
      </c>
      <c r="E448" s="1">
        <v>28242</v>
      </c>
      <c r="F448" s="1">
        <v>29666</v>
      </c>
      <c r="G448" s="1">
        <v>29413</v>
      </c>
      <c r="H448" s="1">
        <v>29527</v>
      </c>
      <c r="I448" s="1">
        <v>29254</v>
      </c>
      <c r="J448" s="1">
        <v>31858</v>
      </c>
      <c r="K448" s="1">
        <v>30967</v>
      </c>
      <c r="L448" s="1">
        <v>32167</v>
      </c>
      <c r="M448" s="1">
        <v>31024</v>
      </c>
      <c r="N448" s="1">
        <v>29501</v>
      </c>
      <c r="O448" s="1">
        <v>30393</v>
      </c>
      <c r="P448" s="1">
        <v>27213</v>
      </c>
      <c r="Q448" s="1">
        <v>29206</v>
      </c>
      <c r="R448" s="1">
        <v>33986</v>
      </c>
      <c r="S448" s="1">
        <v>34810</v>
      </c>
      <c r="T448" s="1">
        <v>33322</v>
      </c>
      <c r="U448" s="1">
        <v>33268</v>
      </c>
      <c r="V448" s="1">
        <v>33903</v>
      </c>
      <c r="W448" s="1">
        <v>33092</v>
      </c>
      <c r="X448" s="1">
        <v>33804</v>
      </c>
      <c r="Y448" s="1">
        <v>31236</v>
      </c>
      <c r="Z448" s="1">
        <v>35335</v>
      </c>
      <c r="AA448" s="1">
        <v>33553</v>
      </c>
      <c r="AB448" s="1">
        <v>29849</v>
      </c>
      <c r="AC448" s="1">
        <v>33118</v>
      </c>
      <c r="AD448" s="1">
        <v>38128</v>
      </c>
      <c r="AE448" s="1">
        <v>40441</v>
      </c>
      <c r="AF448" s="1">
        <v>40874</v>
      </c>
      <c r="AG448" s="1">
        <v>39446</v>
      </c>
      <c r="AH448" s="1">
        <v>42459</v>
      </c>
      <c r="AI448" s="1">
        <v>42861</v>
      </c>
      <c r="AJ448" s="1">
        <v>37233</v>
      </c>
      <c r="AK448" s="1">
        <v>37233</v>
      </c>
      <c r="AL448" s="1">
        <v>37233</v>
      </c>
      <c r="AM448" s="1">
        <v>38871</v>
      </c>
      <c r="AN448" s="1">
        <v>38871</v>
      </c>
      <c r="AO448" s="1">
        <v>38871</v>
      </c>
      <c r="AP448" s="1">
        <v>38871</v>
      </c>
      <c r="AQ448" s="1">
        <v>38871</v>
      </c>
      <c r="AR448" s="1">
        <v>38871</v>
      </c>
      <c r="AS448" s="1">
        <v>38871</v>
      </c>
      <c r="AT448" s="1">
        <v>38871</v>
      </c>
      <c r="AU448" s="1">
        <v>38871</v>
      </c>
      <c r="AV448" s="1">
        <v>38871</v>
      </c>
      <c r="AW448" s="1">
        <v>38871</v>
      </c>
      <c r="AX448" s="1">
        <v>38878</v>
      </c>
      <c r="AY448" s="1"/>
      <c r="BA448" s="21">
        <f t="shared" si="390"/>
        <v>354239</v>
      </c>
      <c r="BB448" s="22">
        <f t="shared" si="391"/>
        <v>29519.916666666668</v>
      </c>
      <c r="BD448" s="7">
        <f t="shared" si="392"/>
        <v>389568</v>
      </c>
      <c r="BE448" s="7">
        <f t="shared" si="393"/>
        <v>35329</v>
      </c>
      <c r="BF448" s="8">
        <f t="shared" si="394"/>
        <v>9.9732101773096771E-2</v>
      </c>
      <c r="BG448" s="7">
        <f t="shared" si="395"/>
        <v>32464</v>
      </c>
      <c r="BI448" s="12">
        <f t="shared" si="396"/>
        <v>452428</v>
      </c>
      <c r="BJ448" s="12">
        <f t="shared" si="397"/>
        <v>62860</v>
      </c>
      <c r="BK448" s="13">
        <f t="shared" si="398"/>
        <v>0.16135822244126818</v>
      </c>
      <c r="BL448" s="24">
        <f t="shared" si="399"/>
        <v>37233.5</v>
      </c>
      <c r="BM448" s="24">
        <f t="shared" si="400"/>
        <v>38640</v>
      </c>
      <c r="BO448" s="17">
        <f t="shared" si="401"/>
        <v>466459</v>
      </c>
      <c r="BP448" s="17">
        <f t="shared" si="402"/>
        <v>14031</v>
      </c>
      <c r="BQ448" s="18">
        <f t="shared" si="403"/>
        <v>3.1012669419222538E-2</v>
      </c>
      <c r="BR448" s="25">
        <f t="shared" si="404"/>
        <v>38871.583333333336</v>
      </c>
    </row>
    <row r="449" spans="1:70">
      <c r="A449" t="s">
        <v>698</v>
      </c>
      <c r="B449">
        <v>320220</v>
      </c>
      <c r="C449" s="1">
        <v>11188</v>
      </c>
      <c r="D449" s="1">
        <v>10903</v>
      </c>
      <c r="E449" s="1">
        <v>13352</v>
      </c>
      <c r="F449" s="1">
        <v>12755</v>
      </c>
      <c r="G449" s="1">
        <v>12523</v>
      </c>
      <c r="H449" s="1">
        <v>12047</v>
      </c>
      <c r="I449" s="1">
        <v>13355</v>
      </c>
      <c r="J449" s="1">
        <v>13642</v>
      </c>
      <c r="K449" s="1">
        <v>13792</v>
      </c>
      <c r="L449" s="1">
        <v>13317</v>
      </c>
      <c r="M449" s="1">
        <v>12687</v>
      </c>
      <c r="N449" s="1">
        <v>13303</v>
      </c>
      <c r="O449" s="1">
        <v>12521</v>
      </c>
      <c r="P449" s="1">
        <v>11423</v>
      </c>
      <c r="Q449" s="1">
        <v>12568</v>
      </c>
      <c r="R449" s="1">
        <v>14817</v>
      </c>
      <c r="S449" s="1">
        <v>15182</v>
      </c>
      <c r="T449" s="1">
        <v>12155</v>
      </c>
      <c r="U449" s="1">
        <v>12971</v>
      </c>
      <c r="V449" s="1">
        <v>12280</v>
      </c>
      <c r="W449" s="1">
        <v>10964</v>
      </c>
      <c r="X449" s="1">
        <v>12803</v>
      </c>
      <c r="Y449" s="1">
        <v>11439</v>
      </c>
      <c r="Z449" s="1">
        <v>10628</v>
      </c>
      <c r="AA449" s="1">
        <v>11417</v>
      </c>
      <c r="AB449" s="1">
        <v>10716</v>
      </c>
      <c r="AC449" s="1">
        <v>13357</v>
      </c>
      <c r="AD449" s="1">
        <v>14671</v>
      </c>
      <c r="AE449" s="1">
        <v>13775</v>
      </c>
      <c r="AF449" s="1">
        <v>13897</v>
      </c>
      <c r="AG449" s="1">
        <v>14140</v>
      </c>
      <c r="AH449" s="1">
        <v>13495</v>
      </c>
      <c r="AI449" s="1">
        <v>14421</v>
      </c>
      <c r="AJ449" s="1">
        <v>13183</v>
      </c>
      <c r="AK449" s="1">
        <v>13183</v>
      </c>
      <c r="AL449" s="1">
        <v>13183</v>
      </c>
      <c r="AM449" s="1">
        <v>13763</v>
      </c>
      <c r="AN449" s="1">
        <v>13763</v>
      </c>
      <c r="AO449" s="1">
        <v>13763</v>
      </c>
      <c r="AP449" s="1">
        <v>13763</v>
      </c>
      <c r="AQ449" s="1">
        <v>13763</v>
      </c>
      <c r="AR449" s="1">
        <v>13763</v>
      </c>
      <c r="AS449" s="1">
        <v>13763</v>
      </c>
      <c r="AT449" s="1">
        <v>13763</v>
      </c>
      <c r="AU449" s="1">
        <v>13763</v>
      </c>
      <c r="AV449" s="1">
        <v>13763</v>
      </c>
      <c r="AW449" s="1">
        <v>13763</v>
      </c>
      <c r="AX449" s="1">
        <v>13768</v>
      </c>
      <c r="AY449" s="1"/>
      <c r="BA449" s="21">
        <f t="shared" si="390"/>
        <v>152864</v>
      </c>
      <c r="BB449" s="22">
        <f t="shared" si="391"/>
        <v>12738.666666666666</v>
      </c>
      <c r="BD449" s="7">
        <f t="shared" si="392"/>
        <v>149751</v>
      </c>
      <c r="BE449" s="7">
        <f t="shared" si="393"/>
        <v>-3113</v>
      </c>
      <c r="BF449" s="8">
        <f t="shared" si="394"/>
        <v>-2.0364507012769484E-2</v>
      </c>
      <c r="BG449" s="7">
        <f t="shared" si="395"/>
        <v>12479.25</v>
      </c>
      <c r="BI449" s="12">
        <f t="shared" si="396"/>
        <v>159438</v>
      </c>
      <c r="BJ449" s="12">
        <f t="shared" si="397"/>
        <v>9687</v>
      </c>
      <c r="BK449" s="13">
        <f t="shared" si="398"/>
        <v>6.4687381052547233E-2</v>
      </c>
      <c r="BL449" s="24">
        <f t="shared" si="399"/>
        <v>13183.5</v>
      </c>
      <c r="BM449" s="24">
        <f t="shared" si="400"/>
        <v>13492.5</v>
      </c>
      <c r="BO449" s="17">
        <f t="shared" si="401"/>
        <v>165161</v>
      </c>
      <c r="BP449" s="17">
        <f t="shared" si="402"/>
        <v>5723</v>
      </c>
      <c r="BQ449" s="18">
        <f t="shared" si="403"/>
        <v>3.5894830592456017E-2</v>
      </c>
      <c r="BR449" s="25">
        <f t="shared" si="404"/>
        <v>13763.416666666666</v>
      </c>
    </row>
    <row r="450" spans="1:70">
      <c r="A450" t="s">
        <v>699</v>
      </c>
      <c r="B450">
        <v>320225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392000</v>
      </c>
      <c r="V450" s="1">
        <v>0</v>
      </c>
      <c r="W450" s="1">
        <v>0</v>
      </c>
      <c r="X450" s="1">
        <v>0</v>
      </c>
      <c r="Y450" s="1">
        <v>0</v>
      </c>
      <c r="Z450" s="1">
        <v>268000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700000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200000</v>
      </c>
      <c r="AS450" s="1">
        <v>200000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/>
      <c r="BA450" s="21">
        <f t="shared" si="390"/>
        <v>0</v>
      </c>
      <c r="BB450" s="22">
        <f t="shared" si="391"/>
        <v>0</v>
      </c>
      <c r="BD450" s="7">
        <f t="shared" si="392"/>
        <v>660000</v>
      </c>
      <c r="BE450" s="7">
        <f t="shared" si="393"/>
        <v>660000</v>
      </c>
      <c r="BF450" s="8" t="e">
        <f t="shared" si="394"/>
        <v>#DIV/0!</v>
      </c>
      <c r="BG450" s="7">
        <f t="shared" si="395"/>
        <v>55000</v>
      </c>
      <c r="BI450" s="12">
        <f t="shared" si="396"/>
        <v>700000</v>
      </c>
      <c r="BJ450" s="12">
        <f t="shared" si="397"/>
        <v>40000</v>
      </c>
      <c r="BK450" s="13">
        <f t="shared" si="398"/>
        <v>6.0606060606060552E-2</v>
      </c>
      <c r="BL450" s="24">
        <f t="shared" si="399"/>
        <v>87500</v>
      </c>
      <c r="BM450" s="24">
        <f t="shared" si="400"/>
        <v>0</v>
      </c>
      <c r="BO450" s="17">
        <f t="shared" si="401"/>
        <v>400000</v>
      </c>
      <c r="BP450" s="17">
        <f t="shared" si="402"/>
        <v>-300000</v>
      </c>
      <c r="BQ450" s="18">
        <f t="shared" si="403"/>
        <v>-0.4285714285714286</v>
      </c>
      <c r="BR450" s="25">
        <f t="shared" si="404"/>
        <v>33333.333333333336</v>
      </c>
    </row>
    <row r="451" spans="1:70">
      <c r="A451" t="s">
        <v>700</v>
      </c>
      <c r="B451">
        <v>320215</v>
      </c>
      <c r="C451" s="1">
        <v>3943</v>
      </c>
      <c r="D451" s="1">
        <v>2839</v>
      </c>
      <c r="E451" s="1">
        <v>4527</v>
      </c>
      <c r="F451" s="1">
        <v>6120</v>
      </c>
      <c r="G451" s="1">
        <v>5119</v>
      </c>
      <c r="H451" s="1">
        <v>5706</v>
      </c>
      <c r="I451" s="1">
        <v>5467</v>
      </c>
      <c r="J451" s="1">
        <v>5237</v>
      </c>
      <c r="K451" s="1">
        <v>-4290</v>
      </c>
      <c r="L451" s="1">
        <v>1149</v>
      </c>
      <c r="M451" s="1">
        <v>2126</v>
      </c>
      <c r="N451" s="1">
        <v>1113</v>
      </c>
      <c r="O451" s="1">
        <v>1121</v>
      </c>
      <c r="P451" s="1">
        <v>1021</v>
      </c>
      <c r="Q451" s="1">
        <v>980</v>
      </c>
      <c r="R451" s="1">
        <v>986</v>
      </c>
      <c r="S451" s="1">
        <v>911</v>
      </c>
      <c r="T451" s="1">
        <v>1005</v>
      </c>
      <c r="U451" s="1">
        <v>960</v>
      </c>
      <c r="V451" s="1">
        <v>906</v>
      </c>
      <c r="W451" s="1">
        <v>1007</v>
      </c>
      <c r="X451" s="1">
        <v>921</v>
      </c>
      <c r="Y451" s="1">
        <v>38</v>
      </c>
      <c r="Z451" s="1">
        <v>1013</v>
      </c>
      <c r="AA451" s="1">
        <v>902</v>
      </c>
      <c r="AB451" s="1">
        <v>1024</v>
      </c>
      <c r="AC451" s="1">
        <v>978</v>
      </c>
      <c r="AD451" s="1">
        <v>1055</v>
      </c>
      <c r="AE451" s="1">
        <v>1005</v>
      </c>
      <c r="AF451" s="1">
        <v>1127</v>
      </c>
      <c r="AG451" s="1">
        <v>932</v>
      </c>
      <c r="AH451" s="1">
        <v>1107</v>
      </c>
      <c r="AI451" s="1">
        <v>921</v>
      </c>
      <c r="AJ451" s="1">
        <v>1000</v>
      </c>
      <c r="AK451" s="1">
        <v>1000</v>
      </c>
      <c r="AL451" s="1">
        <v>1000</v>
      </c>
      <c r="AM451" s="1">
        <v>1000</v>
      </c>
      <c r="AN451" s="1">
        <v>1000</v>
      </c>
      <c r="AO451" s="1">
        <v>1000</v>
      </c>
      <c r="AP451" s="1">
        <v>1000</v>
      </c>
      <c r="AQ451" s="1">
        <v>1000</v>
      </c>
      <c r="AR451" s="1">
        <v>1000</v>
      </c>
      <c r="AS451" s="1">
        <v>1000</v>
      </c>
      <c r="AT451" s="1">
        <v>1000</v>
      </c>
      <c r="AU451" s="1">
        <v>1000</v>
      </c>
      <c r="AV451" s="1">
        <v>1000</v>
      </c>
      <c r="AW451" s="1">
        <v>1000</v>
      </c>
      <c r="AX451" s="1">
        <v>1000</v>
      </c>
      <c r="AY451" s="1"/>
      <c r="BA451" s="21">
        <f t="shared" si="390"/>
        <v>39056</v>
      </c>
      <c r="BB451" s="22">
        <f t="shared" si="391"/>
        <v>3254.6666666666665</v>
      </c>
      <c r="BD451" s="7">
        <f t="shared" si="392"/>
        <v>10869</v>
      </c>
      <c r="BE451" s="7">
        <f t="shared" si="393"/>
        <v>-28187</v>
      </c>
      <c r="BF451" s="8">
        <f t="shared" si="394"/>
        <v>-0.72170729209340434</v>
      </c>
      <c r="BG451" s="7">
        <f t="shared" si="395"/>
        <v>905.75</v>
      </c>
      <c r="BI451" s="12">
        <f t="shared" si="396"/>
        <v>12051</v>
      </c>
      <c r="BJ451" s="12">
        <f t="shared" si="397"/>
        <v>1182</v>
      </c>
      <c r="BK451" s="13">
        <f t="shared" si="398"/>
        <v>0.10874965498205902</v>
      </c>
      <c r="BL451" s="24">
        <f t="shared" si="399"/>
        <v>1016.25</v>
      </c>
      <c r="BM451" s="24">
        <f t="shared" si="400"/>
        <v>980.25</v>
      </c>
      <c r="BO451" s="17">
        <f t="shared" si="401"/>
        <v>12000</v>
      </c>
      <c r="BP451" s="17">
        <f t="shared" si="402"/>
        <v>-51</v>
      </c>
      <c r="BQ451" s="18">
        <f t="shared" si="403"/>
        <v>-4.2320139407517887E-3</v>
      </c>
      <c r="BR451" s="25">
        <f t="shared" si="404"/>
        <v>1000</v>
      </c>
    </row>
    <row r="452" spans="1:70">
      <c r="A452" t="s">
        <v>701</v>
      </c>
      <c r="B452">
        <v>320217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5197</v>
      </c>
      <c r="AC452" s="1">
        <v>11</v>
      </c>
      <c r="AD452" s="1">
        <v>1085</v>
      </c>
      <c r="AE452" s="1">
        <v>528</v>
      </c>
      <c r="AF452" s="1">
        <v>1533</v>
      </c>
      <c r="AG452" s="1">
        <v>704</v>
      </c>
      <c r="AH452" s="1">
        <v>3501</v>
      </c>
      <c r="AI452" s="1">
        <v>1427</v>
      </c>
      <c r="AJ452" s="1">
        <v>3501</v>
      </c>
      <c r="AK452" s="1">
        <v>3501</v>
      </c>
      <c r="AL452" s="1">
        <v>3501</v>
      </c>
      <c r="AM452" s="1">
        <v>2100</v>
      </c>
      <c r="AN452" s="1">
        <v>3000</v>
      </c>
      <c r="AO452" s="1">
        <v>4000</v>
      </c>
      <c r="AP452" s="1">
        <v>5000</v>
      </c>
      <c r="AQ452" s="1">
        <v>6000</v>
      </c>
      <c r="AR452" s="1">
        <v>7000</v>
      </c>
      <c r="AS452" s="1">
        <v>8000</v>
      </c>
      <c r="AT452" s="1">
        <v>9000</v>
      </c>
      <c r="AU452" s="1">
        <v>10000</v>
      </c>
      <c r="AV452" s="1">
        <v>11000</v>
      </c>
      <c r="AW452" s="1">
        <v>12000</v>
      </c>
      <c r="AX452" s="1">
        <v>13000</v>
      </c>
      <c r="AY452" s="1"/>
      <c r="BA452" s="21">
        <f t="shared" si="390"/>
        <v>0</v>
      </c>
      <c r="BB452" s="22">
        <f t="shared" si="391"/>
        <v>0</v>
      </c>
      <c r="BD452" s="7">
        <f t="shared" si="392"/>
        <v>0</v>
      </c>
      <c r="BE452" s="7">
        <f t="shared" si="393"/>
        <v>0</v>
      </c>
      <c r="BF452" s="8" t="e">
        <f t="shared" si="394"/>
        <v>#DIV/0!</v>
      </c>
      <c r="BG452" s="7">
        <f t="shared" si="395"/>
        <v>0</v>
      </c>
      <c r="BI452" s="12">
        <f t="shared" si="396"/>
        <v>24489</v>
      </c>
      <c r="BJ452" s="12">
        <f t="shared" si="397"/>
        <v>24489</v>
      </c>
      <c r="BK452" s="13" t="e">
        <f t="shared" si="398"/>
        <v>#DIV/0!</v>
      </c>
      <c r="BL452" s="24">
        <f t="shared" si="399"/>
        <v>1569.875</v>
      </c>
      <c r="BM452" s="24">
        <f t="shared" si="400"/>
        <v>2982.5</v>
      </c>
      <c r="BO452" s="17">
        <f t="shared" si="401"/>
        <v>90100</v>
      </c>
      <c r="BP452" s="17">
        <f t="shared" si="402"/>
        <v>65611</v>
      </c>
      <c r="BQ452" s="18">
        <f t="shared" si="403"/>
        <v>2.6792029074278245</v>
      </c>
      <c r="BR452" s="25">
        <f t="shared" si="404"/>
        <v>7508.333333333333</v>
      </c>
    </row>
    <row r="453" spans="1:70">
      <c r="A453" t="s">
        <v>11</v>
      </c>
      <c r="B453" t="s">
        <v>12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BA453" s="21"/>
      <c r="BB453" s="22"/>
      <c r="BD453" s="7"/>
      <c r="BE453" s="7"/>
      <c r="BF453" s="8"/>
      <c r="BG453" s="7"/>
      <c r="BI453" s="12"/>
      <c r="BJ453" s="12"/>
      <c r="BK453" s="13"/>
      <c r="BL453" s="24"/>
      <c r="BM453" s="24"/>
      <c r="BO453" s="17"/>
      <c r="BP453" s="17"/>
      <c r="BQ453" s="18"/>
      <c r="BR453" s="25"/>
    </row>
    <row r="454" spans="1:70">
      <c r="A454" t="s">
        <v>675</v>
      </c>
      <c r="C454" s="1">
        <v>1176425</v>
      </c>
      <c r="D454" s="1">
        <v>1101449</v>
      </c>
      <c r="E454" s="1">
        <v>1234091</v>
      </c>
      <c r="F454" s="1">
        <v>1132078</v>
      </c>
      <c r="G454" s="1">
        <v>1148267</v>
      </c>
      <c r="H454" s="1">
        <v>1144308</v>
      </c>
      <c r="I454" s="1">
        <v>1201621</v>
      </c>
      <c r="J454" s="1">
        <v>1241370</v>
      </c>
      <c r="K454" s="1">
        <v>1034050</v>
      </c>
      <c r="L454" s="1">
        <v>1195364</v>
      </c>
      <c r="M454" s="1">
        <v>1113514</v>
      </c>
      <c r="N454" s="1">
        <v>1553763</v>
      </c>
      <c r="O454" s="1">
        <v>1119198</v>
      </c>
      <c r="P454" s="1">
        <v>1052677</v>
      </c>
      <c r="Q454" s="1">
        <v>1085765</v>
      </c>
      <c r="R454" s="1">
        <v>1225112</v>
      </c>
      <c r="S454" s="1">
        <v>1203540</v>
      </c>
      <c r="T454" s="1">
        <v>1117313</v>
      </c>
      <c r="U454" s="1">
        <v>1531617</v>
      </c>
      <c r="V454" s="1">
        <v>1212641</v>
      </c>
      <c r="W454" s="1">
        <v>1108660</v>
      </c>
      <c r="X454" s="1">
        <v>1187346</v>
      </c>
      <c r="Y454" s="1">
        <v>1240268</v>
      </c>
      <c r="Z454" s="1">
        <v>2118761</v>
      </c>
      <c r="AA454" s="1">
        <v>1126647</v>
      </c>
      <c r="AB454" s="1">
        <v>1298606</v>
      </c>
      <c r="AC454" s="1">
        <v>1228537</v>
      </c>
      <c r="AD454" s="1">
        <v>1283660</v>
      </c>
      <c r="AE454" s="1">
        <v>1286988</v>
      </c>
      <c r="AF454" s="1">
        <v>1275776</v>
      </c>
      <c r="AG454" s="1">
        <v>1265932</v>
      </c>
      <c r="AH454" s="1">
        <v>2019179</v>
      </c>
      <c r="AI454" s="1">
        <v>1270235</v>
      </c>
      <c r="AJ454" s="1">
        <v>1278658</v>
      </c>
      <c r="AK454" s="1">
        <v>1279243</v>
      </c>
      <c r="AL454" s="1">
        <v>1283963</v>
      </c>
      <c r="AM454" s="50">
        <v>1216966</v>
      </c>
      <c r="AN454" s="1">
        <v>1407035</v>
      </c>
      <c r="AO454" s="1">
        <v>1332498</v>
      </c>
      <c r="AP454" s="1">
        <v>1349406</v>
      </c>
      <c r="AQ454" s="1">
        <v>1389202</v>
      </c>
      <c r="AR454" s="1">
        <v>1556465</v>
      </c>
      <c r="AS454" s="1">
        <v>1560986</v>
      </c>
      <c r="AT454" s="1">
        <v>1363300</v>
      </c>
      <c r="AU454" s="1">
        <v>1387718</v>
      </c>
      <c r="AV454" s="1">
        <v>1394598</v>
      </c>
      <c r="AW454" s="1">
        <v>1411251</v>
      </c>
      <c r="AX454" s="1">
        <v>1418165</v>
      </c>
      <c r="AY454" s="1"/>
      <c r="BA454" s="21">
        <f>SUM(C454:N454)</f>
        <v>14276300</v>
      </c>
      <c r="BB454" s="22">
        <f t="shared" ref="BB454" si="405">+BA454/12</f>
        <v>1189691.6666666667</v>
      </c>
      <c r="BD454" s="7">
        <f>SUM(O454:Z454)</f>
        <v>15202898</v>
      </c>
      <c r="BE454" s="7">
        <f t="shared" ref="BE454" si="406">+BD454-BA454</f>
        <v>926598</v>
      </c>
      <c r="BF454" s="8">
        <f t="shared" ref="BF454" si="407">(BD454/BA454)-1</f>
        <v>6.4904632152588571E-2</v>
      </c>
      <c r="BG454" s="7">
        <f t="shared" ref="BG454" si="408">BD454/12</f>
        <v>1266908.1666666667</v>
      </c>
      <c r="BI454" s="12">
        <f>+SUM(AA454:AL454)</f>
        <v>15897424</v>
      </c>
      <c r="BJ454" s="12">
        <f t="shared" ref="BJ454" si="409">+BI454-BD454</f>
        <v>694526</v>
      </c>
      <c r="BK454" s="13">
        <f t="shared" ref="BK454" si="410">(BI454/BD454)-1</f>
        <v>4.5683790024770188E-2</v>
      </c>
      <c r="BL454" s="24">
        <f>SUM(AA454:AH454)/8</f>
        <v>1348165.625</v>
      </c>
      <c r="BM454" s="24">
        <f>SUM(AI454:AL454)/4</f>
        <v>1278024.75</v>
      </c>
      <c r="BO454" s="17">
        <f>+SUM(AM454:AX454)</f>
        <v>16787590</v>
      </c>
      <c r="BP454" s="17">
        <f t="shared" ref="BP454" si="411">+BO454-BI454</f>
        <v>890166</v>
      </c>
      <c r="BQ454" s="18">
        <f t="shared" ref="BQ454" si="412">(BO454/BI454)-1</f>
        <v>5.5994354808678537E-2</v>
      </c>
      <c r="BR454" s="25">
        <f t="shared" ref="BR454" si="413">BO454/12</f>
        <v>1398965.8333333333</v>
      </c>
    </row>
    <row r="455" spans="1:70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BA455" s="21"/>
      <c r="BB455" s="22"/>
      <c r="BD455" s="7"/>
      <c r="BE455" s="7"/>
      <c r="BF455" s="8"/>
      <c r="BG455" s="7"/>
      <c r="BI455" s="12"/>
      <c r="BJ455" s="12"/>
      <c r="BK455" s="13"/>
      <c r="BL455" s="24"/>
      <c r="BM455" s="24"/>
      <c r="BO455" s="17"/>
      <c r="BP455" s="17"/>
      <c r="BQ455" s="18"/>
      <c r="BR455" s="25"/>
    </row>
    <row r="456" spans="1:70">
      <c r="A456" t="s">
        <v>702</v>
      </c>
      <c r="B456">
        <v>330010</v>
      </c>
      <c r="C456" s="1">
        <v>0</v>
      </c>
      <c r="D456" s="1">
        <v>0</v>
      </c>
      <c r="E456" s="1">
        <v>-7151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f>+AX416+AX448+AX454</f>
        <v>1458393</v>
      </c>
      <c r="BA456" s="21">
        <f t="shared" ref="BA456:BA458" si="414">SUM(C456:N456)</f>
        <v>-7151</v>
      </c>
      <c r="BB456" s="22">
        <f t="shared" ref="BB456:BB458" si="415">+BA456/12</f>
        <v>-595.91666666666663</v>
      </c>
      <c r="BD456" s="7">
        <f t="shared" ref="BD456:BD458" si="416">SUM(O456:Z456)</f>
        <v>0</v>
      </c>
      <c r="BE456" s="7">
        <f t="shared" ref="BE456:BE458" si="417">+BD456-BA456</f>
        <v>7151</v>
      </c>
      <c r="BF456" s="8">
        <f t="shared" ref="BF456:BF458" si="418">(BD456/BA456)-1</f>
        <v>-1</v>
      </c>
      <c r="BG456" s="7">
        <f t="shared" ref="BG456:BG458" si="419">BD456/12</f>
        <v>0</v>
      </c>
      <c r="BI456" s="12">
        <f t="shared" ref="BI456:BI458" si="420">+SUM(AA456:AL456)</f>
        <v>0</v>
      </c>
      <c r="BJ456" s="12">
        <f t="shared" ref="BJ456:BJ458" si="421">+BI456-BD456</f>
        <v>0</v>
      </c>
      <c r="BK456" s="13" t="e">
        <f t="shared" ref="BK456:BK458" si="422">(BI456/BD456)-1</f>
        <v>#DIV/0!</v>
      </c>
      <c r="BL456" s="24">
        <f t="shared" ref="BL456:BL458" si="423">SUM(AA456:AH456)/8</f>
        <v>0</v>
      </c>
      <c r="BM456" s="24">
        <f t="shared" ref="BM456:BM458" si="424">SUM(AI456:AL456)/4</f>
        <v>0</v>
      </c>
      <c r="BO456" s="17">
        <f t="shared" ref="BO456:BO458" si="425">+SUM(AM456:AX456)</f>
        <v>0</v>
      </c>
      <c r="BP456" s="17">
        <f t="shared" ref="BP456:BP458" si="426">+BO456-BI456</f>
        <v>0</v>
      </c>
      <c r="BQ456" s="18" t="e">
        <f t="shared" ref="BQ456:BQ458" si="427">(BO456/BI456)-1</f>
        <v>#DIV/0!</v>
      </c>
      <c r="BR456" s="25">
        <f t="shared" ref="BR456:BR458" si="428">BO456/12</f>
        <v>0</v>
      </c>
    </row>
    <row r="457" spans="1:70">
      <c r="A457" t="s">
        <v>703</v>
      </c>
      <c r="B457">
        <v>340005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-404424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-27008</v>
      </c>
      <c r="R457" s="1">
        <v>0</v>
      </c>
      <c r="S457" s="1">
        <v>0</v>
      </c>
      <c r="T457" s="1">
        <v>85</v>
      </c>
      <c r="U457" s="1">
        <v>2233</v>
      </c>
      <c r="V457" s="1">
        <v>0</v>
      </c>
      <c r="W457" s="1">
        <v>-8000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/>
      <c r="BA457" s="21">
        <f t="shared" si="414"/>
        <v>-404424</v>
      </c>
      <c r="BB457" s="22">
        <f t="shared" si="415"/>
        <v>-33702</v>
      </c>
      <c r="BD457" s="7">
        <f t="shared" si="416"/>
        <v>-32690</v>
      </c>
      <c r="BE457" s="7">
        <f t="shared" si="417"/>
        <v>371734</v>
      </c>
      <c r="BF457" s="8">
        <f t="shared" si="418"/>
        <v>-0.91916899095998261</v>
      </c>
      <c r="BG457" s="7">
        <f t="shared" si="419"/>
        <v>-2724.1666666666665</v>
      </c>
      <c r="BI457" s="12">
        <f t="shared" si="420"/>
        <v>0</v>
      </c>
      <c r="BJ457" s="12">
        <f t="shared" si="421"/>
        <v>32690</v>
      </c>
      <c r="BK457" s="13">
        <f t="shared" si="422"/>
        <v>-1</v>
      </c>
      <c r="BL457" s="24">
        <f t="shared" si="423"/>
        <v>0</v>
      </c>
      <c r="BM457" s="24">
        <f t="shared" si="424"/>
        <v>0</v>
      </c>
      <c r="BO457" s="17">
        <f t="shared" si="425"/>
        <v>0</v>
      </c>
      <c r="BP457" s="17">
        <f t="shared" si="426"/>
        <v>0</v>
      </c>
      <c r="BQ457" s="18" t="e">
        <f t="shared" si="427"/>
        <v>#DIV/0!</v>
      </c>
      <c r="BR457" s="25">
        <f t="shared" si="428"/>
        <v>0</v>
      </c>
    </row>
    <row r="458" spans="1:70">
      <c r="A458" t="s">
        <v>704</v>
      </c>
      <c r="B458">
        <v>350005</v>
      </c>
      <c r="C458" s="1">
        <v>-753</v>
      </c>
      <c r="D458" s="1">
        <v>0</v>
      </c>
      <c r="E458" s="1">
        <v>0</v>
      </c>
      <c r="F458" s="1">
        <v>0</v>
      </c>
      <c r="G458" s="1">
        <v>-1625</v>
      </c>
      <c r="H458" s="1">
        <v>0</v>
      </c>
      <c r="I458" s="1">
        <v>0</v>
      </c>
      <c r="J458" s="1">
        <v>1055</v>
      </c>
      <c r="K458" s="1">
        <v>11916</v>
      </c>
      <c r="L458" s="1">
        <v>-1050</v>
      </c>
      <c r="M458" s="1">
        <v>0</v>
      </c>
      <c r="N458" s="1">
        <v>0</v>
      </c>
      <c r="O458" s="1">
        <v>0</v>
      </c>
      <c r="P458" s="1">
        <v>-1154</v>
      </c>
      <c r="Q458" s="1">
        <v>-2100</v>
      </c>
      <c r="R458" s="1">
        <v>0</v>
      </c>
      <c r="S458" s="1">
        <v>0</v>
      </c>
      <c r="T458" s="1">
        <v>-4871</v>
      </c>
      <c r="U458" s="1">
        <v>-4121</v>
      </c>
      <c r="V458" s="1">
        <v>-1220</v>
      </c>
      <c r="W458" s="1">
        <v>0</v>
      </c>
      <c r="X458" s="1">
        <v>0</v>
      </c>
      <c r="Y458" s="1">
        <v>1629</v>
      </c>
      <c r="Z458" s="1">
        <v>0</v>
      </c>
      <c r="AA458" s="1">
        <v>-2256</v>
      </c>
      <c r="AB458" s="1">
        <v>-4581</v>
      </c>
      <c r="AC458" s="1">
        <v>0</v>
      </c>
      <c r="AD458" s="1">
        <v>0</v>
      </c>
      <c r="AE458" s="1">
        <v>6439</v>
      </c>
      <c r="AF458" s="1">
        <v>-3060</v>
      </c>
      <c r="AG458" s="1">
        <v>-5783</v>
      </c>
      <c r="AH458" s="1">
        <v>-4494</v>
      </c>
      <c r="AI458" s="1">
        <v>-1138522</v>
      </c>
      <c r="AJ458" s="1">
        <v>0</v>
      </c>
      <c r="AK458" s="1">
        <v>0</v>
      </c>
      <c r="AL458" s="1">
        <v>0</v>
      </c>
      <c r="AM458" s="1">
        <v>-100000</v>
      </c>
      <c r="AN458" s="1">
        <v>-150000</v>
      </c>
      <c r="AO458" s="1">
        <v>-200000</v>
      </c>
      <c r="AP458" s="1">
        <v>-305000</v>
      </c>
      <c r="AQ458" s="1">
        <v>-305000</v>
      </c>
      <c r="AR458" s="1">
        <v>-305000</v>
      </c>
      <c r="AS458" s="1">
        <v>-275000</v>
      </c>
      <c r="AT458" s="1">
        <v>-275000</v>
      </c>
      <c r="AU458" s="1">
        <v>-275000</v>
      </c>
      <c r="AV458" s="1">
        <v>-270000</v>
      </c>
      <c r="AW458" s="1">
        <v>-270000</v>
      </c>
      <c r="AX458" s="1">
        <v>-270000</v>
      </c>
      <c r="AY458" s="1"/>
      <c r="BA458" s="21">
        <f t="shared" si="414"/>
        <v>9543</v>
      </c>
      <c r="BB458" s="22">
        <f t="shared" si="415"/>
        <v>795.25</v>
      </c>
      <c r="BD458" s="7">
        <f t="shared" si="416"/>
        <v>-11837</v>
      </c>
      <c r="BE458" s="7">
        <f t="shared" si="417"/>
        <v>-21380</v>
      </c>
      <c r="BF458" s="8">
        <f t="shared" si="418"/>
        <v>-2.2403856229697161</v>
      </c>
      <c r="BG458" s="7">
        <f t="shared" si="419"/>
        <v>-986.41666666666663</v>
      </c>
      <c r="BI458" s="12">
        <f t="shared" si="420"/>
        <v>-1152257</v>
      </c>
      <c r="BJ458" s="12">
        <f t="shared" si="421"/>
        <v>-1140420</v>
      </c>
      <c r="BK458" s="13">
        <f t="shared" si="422"/>
        <v>96.34366815916195</v>
      </c>
      <c r="BL458" s="24">
        <f t="shared" si="423"/>
        <v>-1716.875</v>
      </c>
      <c r="BM458" s="24">
        <f t="shared" si="424"/>
        <v>-284630.5</v>
      </c>
      <c r="BO458" s="17">
        <f t="shared" si="425"/>
        <v>-3000000</v>
      </c>
      <c r="BP458" s="17">
        <f t="shared" si="426"/>
        <v>-1847743</v>
      </c>
      <c r="BQ458" s="18">
        <f t="shared" si="427"/>
        <v>1.6035858319801921</v>
      </c>
      <c r="BR458" s="25">
        <f t="shared" si="428"/>
        <v>-250000</v>
      </c>
    </row>
    <row r="459" spans="1:70">
      <c r="A459" t="s">
        <v>11</v>
      </c>
      <c r="B459" t="s">
        <v>12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BA459" s="21"/>
      <c r="BB459" s="22"/>
      <c r="BD459" s="7"/>
      <c r="BE459" s="7"/>
      <c r="BF459" s="8"/>
      <c r="BG459" s="7"/>
      <c r="BI459" s="12"/>
      <c r="BJ459" s="12"/>
      <c r="BK459" s="13"/>
      <c r="BL459" s="24"/>
      <c r="BM459" s="24"/>
      <c r="BO459" s="17"/>
      <c r="BP459" s="17"/>
      <c r="BQ459" s="18"/>
      <c r="BR459" s="25"/>
    </row>
    <row r="460" spans="1:70">
      <c r="A460" t="s">
        <v>705</v>
      </c>
      <c r="C460" s="1">
        <v>-753</v>
      </c>
      <c r="D460" s="1">
        <v>0</v>
      </c>
      <c r="E460" s="1">
        <v>-7151</v>
      </c>
      <c r="F460" s="1">
        <v>0</v>
      </c>
      <c r="G460" s="1">
        <v>-1625</v>
      </c>
      <c r="H460" s="1">
        <v>0</v>
      </c>
      <c r="I460" s="1">
        <v>0</v>
      </c>
      <c r="J460" s="1">
        <v>-403369</v>
      </c>
      <c r="K460" s="1">
        <v>11916</v>
      </c>
      <c r="L460" s="1">
        <v>-1050</v>
      </c>
      <c r="M460" s="1">
        <v>0</v>
      </c>
      <c r="N460" s="1">
        <v>0</v>
      </c>
      <c r="O460" s="1">
        <v>0</v>
      </c>
      <c r="P460" s="1">
        <v>-1154</v>
      </c>
      <c r="Q460" s="1">
        <v>-29108</v>
      </c>
      <c r="R460" s="1">
        <v>0</v>
      </c>
      <c r="S460" s="1">
        <v>0</v>
      </c>
      <c r="T460" s="1">
        <v>-4786</v>
      </c>
      <c r="U460" s="1">
        <v>-1888</v>
      </c>
      <c r="V460" s="1">
        <v>-1220</v>
      </c>
      <c r="W460" s="1">
        <v>-8000</v>
      </c>
      <c r="X460" s="1">
        <v>0</v>
      </c>
      <c r="Y460" s="1">
        <v>1629</v>
      </c>
      <c r="Z460" s="1">
        <v>0</v>
      </c>
      <c r="AA460" s="1">
        <v>-2256</v>
      </c>
      <c r="AB460" s="1">
        <v>-4581</v>
      </c>
      <c r="AC460" s="1">
        <v>0</v>
      </c>
      <c r="AD460" s="1">
        <v>0</v>
      </c>
      <c r="AE460" s="1">
        <v>6439</v>
      </c>
      <c r="AF460" s="1">
        <v>-3060</v>
      </c>
      <c r="AG460" s="1">
        <v>-5783</v>
      </c>
      <c r="AH460" s="1">
        <v>-4494</v>
      </c>
      <c r="AI460" s="1">
        <v>-1138522</v>
      </c>
      <c r="AJ460" s="1">
        <v>0</v>
      </c>
      <c r="AK460" s="1">
        <v>0</v>
      </c>
      <c r="AL460" s="1">
        <v>0</v>
      </c>
      <c r="AM460" s="1">
        <v>-100000</v>
      </c>
      <c r="AN460" s="1">
        <v>-150000</v>
      </c>
      <c r="AO460" s="1">
        <v>-200000</v>
      </c>
      <c r="AP460" s="1">
        <v>-305000</v>
      </c>
      <c r="AQ460" s="1">
        <v>-305000</v>
      </c>
      <c r="AR460" s="1">
        <v>-305000</v>
      </c>
      <c r="AS460" s="1">
        <v>-275000</v>
      </c>
      <c r="AT460" s="1">
        <v>-275000</v>
      </c>
      <c r="AU460" s="1">
        <v>-275000</v>
      </c>
      <c r="AV460" s="1">
        <v>-270000</v>
      </c>
      <c r="AW460" s="1">
        <v>-270000</v>
      </c>
      <c r="AX460" s="1">
        <v>-270000</v>
      </c>
      <c r="AY460" s="1"/>
      <c r="BA460" s="21">
        <f>SUM(C460:N460)</f>
        <v>-402032</v>
      </c>
      <c r="BB460" s="22">
        <f t="shared" ref="BB460" si="429">+BA460/12</f>
        <v>-33502.666666666664</v>
      </c>
      <c r="BD460" s="7">
        <f>SUM(O460:Z460)</f>
        <v>-44527</v>
      </c>
      <c r="BE460" s="7">
        <f t="shared" ref="BE460" si="430">+BD460-BA460</f>
        <v>357505</v>
      </c>
      <c r="BF460" s="8">
        <f t="shared" ref="BF460" si="431">(BD460/BA460)-1</f>
        <v>-0.88924513471564448</v>
      </c>
      <c r="BG460" s="7">
        <f t="shared" ref="BG460" si="432">BD460/12</f>
        <v>-3710.5833333333335</v>
      </c>
      <c r="BI460" s="12">
        <f>+SUM(AA460:AL460)</f>
        <v>-1152257</v>
      </c>
      <c r="BJ460" s="12">
        <f t="shared" ref="BJ460" si="433">+BI460-BD460</f>
        <v>-1107730</v>
      </c>
      <c r="BK460" s="13">
        <f t="shared" ref="BK460" si="434">(BI460/BD460)-1</f>
        <v>24.877714645046826</v>
      </c>
      <c r="BL460" s="24">
        <f>SUM(AA460:AH460)/8</f>
        <v>-1716.875</v>
      </c>
      <c r="BM460" s="24">
        <f>SUM(AI460:AL460)/4</f>
        <v>-284630.5</v>
      </c>
      <c r="BO460" s="17">
        <f>+SUM(AM460:AX460)</f>
        <v>-3000000</v>
      </c>
      <c r="BP460" s="17">
        <f t="shared" ref="BP460" si="435">+BO460-BI460</f>
        <v>-1847743</v>
      </c>
      <c r="BQ460" s="18">
        <f t="shared" ref="BQ460" si="436">(BO460/BI460)-1</f>
        <v>1.6035858319801921</v>
      </c>
      <c r="BR460" s="25">
        <f t="shared" ref="BR460" si="437">BO460/12</f>
        <v>-250000</v>
      </c>
    </row>
    <row r="461" spans="1:70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BA461" s="21"/>
      <c r="BB461" s="22"/>
      <c r="BD461" s="7"/>
      <c r="BE461" s="7"/>
      <c r="BF461" s="8"/>
      <c r="BG461" s="7"/>
      <c r="BI461" s="12"/>
      <c r="BJ461" s="12"/>
      <c r="BK461" s="13"/>
      <c r="BL461" s="24"/>
      <c r="BM461" s="24"/>
      <c r="BO461" s="17"/>
      <c r="BP461" s="17"/>
      <c r="BQ461" s="18"/>
      <c r="BR461" s="25"/>
    </row>
    <row r="462" spans="1:70">
      <c r="A462" t="s">
        <v>706</v>
      </c>
      <c r="C462" s="1">
        <v>2088433</v>
      </c>
      <c r="D462" s="1">
        <v>1899753</v>
      </c>
      <c r="E462" s="1">
        <v>2136199</v>
      </c>
      <c r="F462" s="1">
        <v>1978936</v>
      </c>
      <c r="G462" s="1">
        <v>1963729</v>
      </c>
      <c r="H462" s="1">
        <v>1960333</v>
      </c>
      <c r="I462" s="1">
        <v>2059602</v>
      </c>
      <c r="J462" s="1">
        <v>2492977</v>
      </c>
      <c r="K462" s="1">
        <v>1848784</v>
      </c>
      <c r="L462" s="1">
        <v>2074707</v>
      </c>
      <c r="M462" s="1">
        <v>1892860</v>
      </c>
      <c r="N462" s="1">
        <v>2409177</v>
      </c>
      <c r="O462" s="1">
        <v>1996889</v>
      </c>
      <c r="P462" s="1">
        <v>1837388</v>
      </c>
      <c r="Q462" s="1">
        <v>1875223</v>
      </c>
      <c r="R462" s="1">
        <v>2056641</v>
      </c>
      <c r="S462" s="1">
        <v>2034096</v>
      </c>
      <c r="T462" s="1">
        <v>1927995</v>
      </c>
      <c r="U462" s="1">
        <v>2452519</v>
      </c>
      <c r="V462" s="1">
        <v>2070092</v>
      </c>
      <c r="W462" s="1">
        <v>1915159</v>
      </c>
      <c r="X462" s="1">
        <v>2023250</v>
      </c>
      <c r="Y462" s="1">
        <v>2029296</v>
      </c>
      <c r="Z462" s="1">
        <v>2985618</v>
      </c>
      <c r="AA462" s="1">
        <v>2063545</v>
      </c>
      <c r="AB462" s="1">
        <v>2155021</v>
      </c>
      <c r="AC462" s="1">
        <v>2103004</v>
      </c>
      <c r="AD462" s="1">
        <v>2160998</v>
      </c>
      <c r="AE462" s="1">
        <v>2160549</v>
      </c>
      <c r="AF462" s="1">
        <v>2172645</v>
      </c>
      <c r="AG462" s="1">
        <v>2223862</v>
      </c>
      <c r="AH462" s="1">
        <v>2898544</v>
      </c>
      <c r="AI462" s="1">
        <v>3229573</v>
      </c>
      <c r="AJ462" s="1">
        <v>2173214</v>
      </c>
      <c r="AK462" s="1">
        <v>2146165</v>
      </c>
      <c r="AL462" s="1">
        <v>2150278</v>
      </c>
      <c r="AM462" s="1">
        <v>2273195</v>
      </c>
      <c r="AN462" s="1">
        <v>2501766</v>
      </c>
      <c r="AO462" s="1">
        <v>2479123</v>
      </c>
      <c r="AP462" s="1">
        <v>2610524</v>
      </c>
      <c r="AQ462" s="1">
        <v>2647864</v>
      </c>
      <c r="AR462" s="1">
        <v>2819329</v>
      </c>
      <c r="AS462" s="1">
        <v>3042300</v>
      </c>
      <c r="AT462" s="1">
        <v>2844892</v>
      </c>
      <c r="AU462" s="1">
        <v>2876009</v>
      </c>
      <c r="AV462" s="1">
        <v>2889363</v>
      </c>
      <c r="AW462" s="1">
        <v>2919134</v>
      </c>
      <c r="AX462" s="1">
        <v>2937905</v>
      </c>
      <c r="AY462" s="1"/>
      <c r="BA462" s="21">
        <f>SUM(C462:N462)</f>
        <v>24805490</v>
      </c>
      <c r="BB462" s="22">
        <f t="shared" ref="BB462" si="438">+BA462/12</f>
        <v>2067124.1666666667</v>
      </c>
      <c r="BD462" s="7">
        <f>SUM(O462:Z462)</f>
        <v>25204166</v>
      </c>
      <c r="BE462" s="7">
        <f t="shared" ref="BE462" si="439">+BD462-BA462</f>
        <v>398676</v>
      </c>
      <c r="BF462" s="8">
        <f t="shared" ref="BF462" si="440">(BD462/BA462)-1</f>
        <v>1.6072087267778201E-2</v>
      </c>
      <c r="BG462" s="7">
        <f t="shared" ref="BG462" si="441">BD462/12</f>
        <v>2100347.1666666665</v>
      </c>
      <c r="BI462" s="12">
        <f>+SUM(AA462:AL462)</f>
        <v>27637398</v>
      </c>
      <c r="BJ462" s="12">
        <f t="shared" ref="BJ462" si="442">+BI462-BD462</f>
        <v>2433232</v>
      </c>
      <c r="BK462" s="13">
        <f t="shared" ref="BK462" si="443">(BI462/BD462)-1</f>
        <v>9.6540865506123064E-2</v>
      </c>
      <c r="BL462" s="24">
        <f>SUM(AA462:AH462)/8</f>
        <v>2242271</v>
      </c>
      <c r="BM462" s="24">
        <f>SUM(AI462:AL462)/4</f>
        <v>2424807.5</v>
      </c>
      <c r="BO462" s="17">
        <f>+SUM(AM462:AX462)</f>
        <v>32841404</v>
      </c>
      <c r="BP462" s="17">
        <f t="shared" ref="BP462" si="444">+BO462-BI462</f>
        <v>5204006</v>
      </c>
      <c r="BQ462" s="18">
        <f t="shared" ref="BQ462" si="445">(BO462/BI462)-1</f>
        <v>0.18829580121833467</v>
      </c>
      <c r="BR462" s="25">
        <f t="shared" ref="BR462" si="446">BO462/12</f>
        <v>2736783.6666666665</v>
      </c>
    </row>
    <row r="463" spans="1:70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BA463" s="21"/>
      <c r="BB463" s="22"/>
      <c r="BD463" s="7"/>
      <c r="BE463" s="7"/>
      <c r="BF463" s="8"/>
      <c r="BG463" s="7"/>
      <c r="BI463" s="12"/>
      <c r="BJ463" s="12"/>
      <c r="BK463" s="13"/>
      <c r="BL463" s="24"/>
      <c r="BM463" s="24"/>
      <c r="BO463" s="17"/>
      <c r="BP463" s="17"/>
      <c r="BQ463" s="18"/>
      <c r="BR463" s="25"/>
    </row>
    <row r="464" spans="1:70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BA464" s="21"/>
      <c r="BB464" s="22"/>
      <c r="BD464" s="7"/>
      <c r="BE464" s="7"/>
      <c r="BF464" s="8"/>
      <c r="BG464" s="7"/>
      <c r="BI464" s="12"/>
      <c r="BJ464" s="12"/>
      <c r="BK464" s="13"/>
      <c r="BL464" s="24"/>
      <c r="BM464" s="24"/>
      <c r="BO464" s="17"/>
      <c r="BP464" s="17"/>
      <c r="BQ464" s="18"/>
      <c r="BR464" s="25"/>
    </row>
    <row r="465" spans="1:70">
      <c r="A465" t="s">
        <v>707</v>
      </c>
      <c r="B465">
        <v>400005</v>
      </c>
      <c r="C465" s="1">
        <v>1623042</v>
      </c>
      <c r="D465" s="1">
        <v>1634492</v>
      </c>
      <c r="E465" s="1">
        <v>1737487</v>
      </c>
      <c r="F465" s="1">
        <v>1621534</v>
      </c>
      <c r="G465" s="1">
        <v>1881798</v>
      </c>
      <c r="H465" s="1">
        <v>1792757</v>
      </c>
      <c r="I465" s="1">
        <v>1710388</v>
      </c>
      <c r="J465" s="1">
        <v>1884535</v>
      </c>
      <c r="K465" s="1">
        <v>1674495</v>
      </c>
      <c r="L465" s="1">
        <v>1860105</v>
      </c>
      <c r="M465" s="1">
        <v>1881098</v>
      </c>
      <c r="N465" s="1">
        <v>1681239</v>
      </c>
      <c r="O465" s="1">
        <v>1978069</v>
      </c>
      <c r="P465" s="1">
        <v>1933225</v>
      </c>
      <c r="Q465" s="1">
        <v>1936605</v>
      </c>
      <c r="R465" s="1">
        <v>1972356</v>
      </c>
      <c r="S465" s="1">
        <v>2093052</v>
      </c>
      <c r="T465" s="1">
        <v>1804972</v>
      </c>
      <c r="U465" s="1">
        <v>2016570</v>
      </c>
      <c r="V465" s="1">
        <v>1918644</v>
      </c>
      <c r="W465" s="1">
        <v>1890442</v>
      </c>
      <c r="X465" s="1">
        <v>2133639</v>
      </c>
      <c r="Y465" s="1">
        <v>2021290</v>
      </c>
      <c r="Z465" s="1">
        <v>1981445</v>
      </c>
      <c r="AA465" s="1">
        <v>2049922</v>
      </c>
      <c r="AB465" s="1">
        <v>1881245</v>
      </c>
      <c r="AC465" s="1">
        <v>1967777</v>
      </c>
      <c r="AD465" s="1">
        <v>2208830</v>
      </c>
      <c r="AE465" s="1">
        <v>2230368</v>
      </c>
      <c r="AF465" s="1">
        <v>2157656</v>
      </c>
      <c r="AG465" s="1">
        <v>2201667</v>
      </c>
      <c r="AH465" s="1">
        <v>2097311</v>
      </c>
      <c r="AI465" s="1">
        <v>2394662</v>
      </c>
      <c r="AJ465" s="1">
        <v>2418528</v>
      </c>
      <c r="AK465" s="1">
        <v>2013283</v>
      </c>
      <c r="AL465" s="1">
        <v>2336938</v>
      </c>
      <c r="AM465" s="1">
        <v>2102664</v>
      </c>
      <c r="AN465" s="1">
        <v>1925727</v>
      </c>
      <c r="AO465" s="1">
        <v>2178454</v>
      </c>
      <c r="AP465" s="1">
        <v>2308672</v>
      </c>
      <c r="AQ465" s="1">
        <v>2264570</v>
      </c>
      <c r="AR465" s="1">
        <v>2400408</v>
      </c>
      <c r="AS465" s="1">
        <v>2562038</v>
      </c>
      <c r="AT465" s="1">
        <v>2365141</v>
      </c>
      <c r="AU465" s="1">
        <v>2507524</v>
      </c>
      <c r="AV465" s="1">
        <v>2532925</v>
      </c>
      <c r="AW465" s="1">
        <v>2433209</v>
      </c>
      <c r="AX465" s="1">
        <v>2660150</v>
      </c>
      <c r="AY465" s="1"/>
      <c r="BA465" s="21">
        <f t="shared" ref="BA465:BA475" si="447">SUM(C465:N465)</f>
        <v>20982970</v>
      </c>
      <c r="BB465" s="22">
        <f t="shared" ref="BB465:BB475" si="448">+BA465/12</f>
        <v>1748580.8333333333</v>
      </c>
      <c r="BD465" s="7">
        <f t="shared" ref="BD465:BD475" si="449">SUM(O465:Z465)</f>
        <v>23680309</v>
      </c>
      <c r="BE465" s="7">
        <f t="shared" ref="BE465:BE475" si="450">+BD465-BA465</f>
        <v>2697339</v>
      </c>
      <c r="BF465" s="8">
        <f t="shared" ref="BF465:BF475" si="451">(BD465/BA465)-1</f>
        <v>0.12854896137200789</v>
      </c>
      <c r="BG465" s="7">
        <f t="shared" ref="BG465:BG475" si="452">BD465/12</f>
        <v>1973359.0833333333</v>
      </c>
      <c r="BI465" s="12">
        <f t="shared" ref="BI465:BI475" si="453">+SUM(AA465:AL465)</f>
        <v>25958187</v>
      </c>
      <c r="BJ465" s="12">
        <f t="shared" ref="BJ465:BJ475" si="454">+BI465-BD465</f>
        <v>2277878</v>
      </c>
      <c r="BK465" s="13">
        <f t="shared" ref="BK465:BK475" si="455">(BI465/BD465)-1</f>
        <v>9.6192917077222218E-2</v>
      </c>
      <c r="BL465" s="24">
        <f t="shared" ref="BL465:BL475" si="456">SUM(AA465:AH465)/8</f>
        <v>2099347</v>
      </c>
      <c r="BM465" s="24">
        <f t="shared" ref="BM465:BM475" si="457">SUM(AI465:AL465)/4</f>
        <v>2290852.75</v>
      </c>
      <c r="BO465" s="17">
        <f t="shared" ref="BO465:BO475" si="458">+SUM(AM465:AX465)</f>
        <v>28241482</v>
      </c>
      <c r="BP465" s="17">
        <f t="shared" ref="BP465:BP475" si="459">+BO465-BI465</f>
        <v>2283295</v>
      </c>
      <c r="BQ465" s="18">
        <f t="shared" ref="BQ465:BQ475" si="460">(BO465/BI465)-1</f>
        <v>8.7960495854352283E-2</v>
      </c>
      <c r="BR465" s="25">
        <f t="shared" ref="BR465:BR475" si="461">BO465/12</f>
        <v>2353456.8333333335</v>
      </c>
    </row>
    <row r="466" spans="1:70">
      <c r="A466" t="s">
        <v>708</v>
      </c>
      <c r="B466">
        <v>400015</v>
      </c>
      <c r="C466" s="1">
        <v>197525</v>
      </c>
      <c r="D466" s="1">
        <v>207125</v>
      </c>
      <c r="E466" s="1">
        <v>192775</v>
      </c>
      <c r="F466" s="1">
        <v>192775</v>
      </c>
      <c r="G466" s="1">
        <v>189625</v>
      </c>
      <c r="H466" s="1">
        <v>87775</v>
      </c>
      <c r="I466" s="1">
        <v>214525</v>
      </c>
      <c r="J466" s="1">
        <v>197025</v>
      </c>
      <c r="K466" s="1">
        <v>-13475</v>
      </c>
      <c r="L466" s="1">
        <v>61525</v>
      </c>
      <c r="M466" s="1">
        <v>186525</v>
      </c>
      <c r="N466" s="1">
        <v>82025</v>
      </c>
      <c r="O466" s="1">
        <v>220031</v>
      </c>
      <c r="P466" s="1">
        <v>170031</v>
      </c>
      <c r="Q466" s="1">
        <v>-356198</v>
      </c>
      <c r="R466" s="1">
        <v>120031</v>
      </c>
      <c r="S466" s="1">
        <v>220031</v>
      </c>
      <c r="T466" s="1">
        <v>220031</v>
      </c>
      <c r="U466" s="1">
        <v>220031</v>
      </c>
      <c r="V466" s="1">
        <v>220031</v>
      </c>
      <c r="W466" s="1">
        <v>220031</v>
      </c>
      <c r="X466" s="1">
        <v>220031</v>
      </c>
      <c r="Y466" s="1">
        <v>222031</v>
      </c>
      <c r="Z466" s="1">
        <v>231031</v>
      </c>
      <c r="AA466" s="1">
        <v>195066</v>
      </c>
      <c r="AB466" s="1">
        <v>195066</v>
      </c>
      <c r="AC466" s="1">
        <v>210781</v>
      </c>
      <c r="AD466" s="1">
        <v>-754068</v>
      </c>
      <c r="AE466" s="1">
        <v>195066</v>
      </c>
      <c r="AF466" s="1">
        <v>195066</v>
      </c>
      <c r="AG466" s="1">
        <v>195066</v>
      </c>
      <c r="AH466" s="1">
        <v>210066</v>
      </c>
      <c r="AI466" s="1">
        <v>267163</v>
      </c>
      <c r="AJ466" s="1">
        <v>263157</v>
      </c>
      <c r="AK466" s="1">
        <v>247329</v>
      </c>
      <c r="AL466" s="1">
        <v>247329</v>
      </c>
      <c r="AM466" s="1">
        <v>214535</v>
      </c>
      <c r="AN466" s="1">
        <v>214535</v>
      </c>
      <c r="AO466" s="1">
        <v>214535</v>
      </c>
      <c r="AP466" s="1">
        <v>214535</v>
      </c>
      <c r="AQ466" s="1">
        <v>214535</v>
      </c>
      <c r="AR466" s="1">
        <v>214535</v>
      </c>
      <c r="AS466" s="1">
        <v>214535</v>
      </c>
      <c r="AT466" s="1">
        <v>214535</v>
      </c>
      <c r="AU466" s="1">
        <v>214535</v>
      </c>
      <c r="AV466" s="1">
        <v>214535</v>
      </c>
      <c r="AW466" s="1">
        <v>214535</v>
      </c>
      <c r="AX466" s="1">
        <v>214535</v>
      </c>
      <c r="AY466" s="1"/>
      <c r="BA466" s="21">
        <f t="shared" si="447"/>
        <v>1795750</v>
      </c>
      <c r="BB466" s="22">
        <f t="shared" si="448"/>
        <v>149645.83333333334</v>
      </c>
      <c r="BD466" s="7">
        <f t="shared" si="449"/>
        <v>1927143</v>
      </c>
      <c r="BE466" s="7">
        <f t="shared" si="450"/>
        <v>131393</v>
      </c>
      <c r="BF466" s="8">
        <f t="shared" si="451"/>
        <v>7.3168870945287567E-2</v>
      </c>
      <c r="BG466" s="7">
        <f t="shared" si="452"/>
        <v>160595.25</v>
      </c>
      <c r="BI466" s="12">
        <f t="shared" si="453"/>
        <v>1667087</v>
      </c>
      <c r="BJ466" s="12">
        <f t="shared" si="454"/>
        <v>-260056</v>
      </c>
      <c r="BK466" s="13">
        <f t="shared" si="455"/>
        <v>-0.13494380022655295</v>
      </c>
      <c r="BL466" s="24">
        <f t="shared" si="456"/>
        <v>80263.625</v>
      </c>
      <c r="BM466" s="24">
        <f t="shared" si="457"/>
        <v>256244.5</v>
      </c>
      <c r="BO466" s="17">
        <f t="shared" si="458"/>
        <v>2574420</v>
      </c>
      <c r="BP466" s="17">
        <f t="shared" si="459"/>
        <v>907333</v>
      </c>
      <c r="BQ466" s="18">
        <f t="shared" si="460"/>
        <v>0.54426253698817151</v>
      </c>
      <c r="BR466" s="25">
        <f t="shared" si="461"/>
        <v>214535</v>
      </c>
    </row>
    <row r="467" spans="1:70">
      <c r="A467" t="s">
        <v>709</v>
      </c>
      <c r="B467">
        <v>400017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47900</v>
      </c>
      <c r="W467" s="1">
        <v>0</v>
      </c>
      <c r="X467" s="1">
        <v>0</v>
      </c>
      <c r="Y467" s="1">
        <v>51600</v>
      </c>
      <c r="Z467" s="1">
        <v>0</v>
      </c>
      <c r="AA467" s="1">
        <v>33333</v>
      </c>
      <c r="AB467" s="1">
        <v>33333</v>
      </c>
      <c r="AC467" s="1">
        <v>33333</v>
      </c>
      <c r="AD467" s="1">
        <v>33333</v>
      </c>
      <c r="AE467" s="1">
        <v>33333</v>
      </c>
      <c r="AF467" s="1">
        <v>33333</v>
      </c>
      <c r="AG467" s="1">
        <v>33333</v>
      </c>
      <c r="AH467" s="1">
        <v>33333</v>
      </c>
      <c r="AI467" s="1">
        <v>0</v>
      </c>
      <c r="AJ467" s="1">
        <v>106400</v>
      </c>
      <c r="AK467" s="1">
        <v>0</v>
      </c>
      <c r="AL467" s="1">
        <v>81000</v>
      </c>
      <c r="AM467" s="1">
        <v>36600</v>
      </c>
      <c r="AN467" s="1">
        <v>36600</v>
      </c>
      <c r="AO467" s="1">
        <v>36600</v>
      </c>
      <c r="AP467" s="1">
        <v>36700</v>
      </c>
      <c r="AQ467" s="1">
        <v>36700</v>
      </c>
      <c r="AR467" s="1">
        <v>36700</v>
      </c>
      <c r="AS467" s="1">
        <v>37000</v>
      </c>
      <c r="AT467" s="1">
        <v>36700</v>
      </c>
      <c r="AU467" s="1">
        <v>36600</v>
      </c>
      <c r="AV467" s="1">
        <v>36600</v>
      </c>
      <c r="AW467" s="1">
        <v>36600</v>
      </c>
      <c r="AX467" s="1">
        <v>36600</v>
      </c>
      <c r="AY467" s="1"/>
      <c r="BA467" s="21">
        <f t="shared" si="447"/>
        <v>0</v>
      </c>
      <c r="BB467" s="22">
        <f t="shared" si="448"/>
        <v>0</v>
      </c>
      <c r="BD467" s="7">
        <f t="shared" si="449"/>
        <v>99500</v>
      </c>
      <c r="BE467" s="7">
        <f t="shared" si="450"/>
        <v>99500</v>
      </c>
      <c r="BF467" s="8" t="e">
        <f t="shared" si="451"/>
        <v>#DIV/0!</v>
      </c>
      <c r="BG467" s="7">
        <f t="shared" si="452"/>
        <v>8291.6666666666661</v>
      </c>
      <c r="BI467" s="12">
        <f t="shared" si="453"/>
        <v>454064</v>
      </c>
      <c r="BJ467" s="12">
        <f t="shared" si="454"/>
        <v>354564</v>
      </c>
      <c r="BK467" s="13">
        <f t="shared" si="455"/>
        <v>3.5634572864321612</v>
      </c>
      <c r="BL467" s="24">
        <f t="shared" si="456"/>
        <v>33333</v>
      </c>
      <c r="BM467" s="24">
        <f t="shared" si="457"/>
        <v>46850</v>
      </c>
      <c r="BO467" s="17">
        <f t="shared" si="458"/>
        <v>440000</v>
      </c>
      <c r="BP467" s="17">
        <f t="shared" si="459"/>
        <v>-14064</v>
      </c>
      <c r="BQ467" s="18">
        <f t="shared" si="460"/>
        <v>-3.0973607244793699E-2</v>
      </c>
      <c r="BR467" s="25">
        <f t="shared" si="461"/>
        <v>36666.666666666664</v>
      </c>
    </row>
    <row r="468" spans="1:70">
      <c r="A468" t="s">
        <v>710</v>
      </c>
      <c r="B468">
        <v>400020</v>
      </c>
      <c r="C468" s="1">
        <v>11125</v>
      </c>
      <c r="D468" s="1">
        <v>25605</v>
      </c>
      <c r="E468" s="1">
        <v>6019</v>
      </c>
      <c r="F468" s="1">
        <v>24570</v>
      </c>
      <c r="G468" s="1">
        <v>4575</v>
      </c>
      <c r="H468" s="1">
        <v>4535</v>
      </c>
      <c r="I468" s="1">
        <v>6582</v>
      </c>
      <c r="J468" s="1">
        <v>4010</v>
      </c>
      <c r="K468" s="1">
        <v>5360</v>
      </c>
      <c r="L468" s="1">
        <v>25375</v>
      </c>
      <c r="M468" s="1">
        <v>10920</v>
      </c>
      <c r="N468" s="1">
        <v>15102</v>
      </c>
      <c r="O468" s="1">
        <v>7993</v>
      </c>
      <c r="P468" s="1">
        <v>31632</v>
      </c>
      <c r="Q468" s="1">
        <v>6741</v>
      </c>
      <c r="R468" s="1">
        <v>3140</v>
      </c>
      <c r="S468" s="1">
        <v>25695</v>
      </c>
      <c r="T468" s="1">
        <v>4312</v>
      </c>
      <c r="U468" s="1">
        <v>21900</v>
      </c>
      <c r="V468" s="1">
        <v>4967</v>
      </c>
      <c r="W468" s="1">
        <v>4959</v>
      </c>
      <c r="X468" s="1">
        <v>27985</v>
      </c>
      <c r="Y468" s="1">
        <v>12240</v>
      </c>
      <c r="Z468" s="1">
        <v>7013</v>
      </c>
      <c r="AA468" s="1">
        <v>27450</v>
      </c>
      <c r="AB468" s="1">
        <v>4410</v>
      </c>
      <c r="AC468" s="1">
        <v>7053</v>
      </c>
      <c r="AD468" s="1">
        <v>29500</v>
      </c>
      <c r="AE468" s="1">
        <v>6366</v>
      </c>
      <c r="AF468" s="1">
        <v>8135</v>
      </c>
      <c r="AG468" s="1">
        <v>4515</v>
      </c>
      <c r="AH468" s="1">
        <v>26541</v>
      </c>
      <c r="AI468" s="1">
        <v>10018</v>
      </c>
      <c r="AJ468" s="1">
        <v>9868</v>
      </c>
      <c r="AK468" s="1">
        <v>9274</v>
      </c>
      <c r="AL468" s="1">
        <v>9275</v>
      </c>
      <c r="AM468" s="1">
        <v>4500</v>
      </c>
      <c r="AN468" s="1">
        <v>4500</v>
      </c>
      <c r="AO468" s="1">
        <v>4500</v>
      </c>
      <c r="AP468" s="1">
        <v>4500</v>
      </c>
      <c r="AQ468" s="1">
        <v>4500</v>
      </c>
      <c r="AR468" s="1">
        <v>4500</v>
      </c>
      <c r="AS468" s="1">
        <v>4500</v>
      </c>
      <c r="AT468" s="1">
        <v>4500</v>
      </c>
      <c r="AU468" s="1">
        <v>4499</v>
      </c>
      <c r="AV468" s="1">
        <v>4499</v>
      </c>
      <c r="AW468" s="1">
        <v>4499</v>
      </c>
      <c r="AX468" s="1">
        <v>4499</v>
      </c>
      <c r="AY468" s="1"/>
      <c r="BA468" s="21">
        <f t="shared" si="447"/>
        <v>143778</v>
      </c>
      <c r="BB468" s="22">
        <f t="shared" si="448"/>
        <v>11981.5</v>
      </c>
      <c r="BD468" s="7">
        <f t="shared" si="449"/>
        <v>158577</v>
      </c>
      <c r="BE468" s="7">
        <f t="shared" si="450"/>
        <v>14799</v>
      </c>
      <c r="BF468" s="8">
        <f t="shared" si="451"/>
        <v>0.10292951633768732</v>
      </c>
      <c r="BG468" s="7">
        <f t="shared" si="452"/>
        <v>13214.75</v>
      </c>
      <c r="BI468" s="12">
        <f t="shared" si="453"/>
        <v>152405</v>
      </c>
      <c r="BJ468" s="12">
        <f t="shared" si="454"/>
        <v>-6172</v>
      </c>
      <c r="BK468" s="13">
        <f t="shared" si="455"/>
        <v>-3.8921155022481169E-2</v>
      </c>
      <c r="BL468" s="24">
        <f t="shared" si="456"/>
        <v>14246.25</v>
      </c>
      <c r="BM468" s="24">
        <f t="shared" si="457"/>
        <v>9608.75</v>
      </c>
      <c r="BO468" s="17">
        <f t="shared" si="458"/>
        <v>53996</v>
      </c>
      <c r="BP468" s="17">
        <f t="shared" si="459"/>
        <v>-98409</v>
      </c>
      <c r="BQ468" s="18">
        <f t="shared" si="460"/>
        <v>-0.64570716183852239</v>
      </c>
      <c r="BR468" s="25">
        <f t="shared" si="461"/>
        <v>4499.666666666667</v>
      </c>
    </row>
    <row r="469" spans="1:70">
      <c r="A469" t="s">
        <v>711</v>
      </c>
      <c r="B469">
        <v>400025</v>
      </c>
      <c r="C469" s="1">
        <v>7254</v>
      </c>
      <c r="D469" s="1">
        <v>15916</v>
      </c>
      <c r="E469" s="1">
        <v>27539</v>
      </c>
      <c r="F469" s="1">
        <v>17557</v>
      </c>
      <c r="G469" s="1">
        <v>16438</v>
      </c>
      <c r="H469" s="1">
        <v>13454</v>
      </c>
      <c r="I469" s="1">
        <v>10939</v>
      </c>
      <c r="J469" s="1">
        <v>20143</v>
      </c>
      <c r="K469" s="1">
        <v>22660</v>
      </c>
      <c r="L469" s="1">
        <v>17439</v>
      </c>
      <c r="M469" s="1">
        <v>20394</v>
      </c>
      <c r="N469" s="1">
        <v>13075</v>
      </c>
      <c r="O469" s="1">
        <v>3419</v>
      </c>
      <c r="P469" s="1">
        <v>8443</v>
      </c>
      <c r="Q469" s="1">
        <v>11042</v>
      </c>
      <c r="R469" s="1">
        <v>12200</v>
      </c>
      <c r="S469" s="1">
        <v>13091</v>
      </c>
      <c r="T469" s="1">
        <v>9879</v>
      </c>
      <c r="U469" s="1">
        <v>11127</v>
      </c>
      <c r="V469" s="1">
        <v>21601</v>
      </c>
      <c r="W469" s="1">
        <v>9678</v>
      </c>
      <c r="X469" s="1">
        <v>10814</v>
      </c>
      <c r="Y469" s="1">
        <v>9032</v>
      </c>
      <c r="Z469" s="1">
        <v>9562</v>
      </c>
      <c r="AA469" s="1">
        <v>9434</v>
      </c>
      <c r="AB469" s="1">
        <v>11660</v>
      </c>
      <c r="AC469" s="1">
        <v>15826</v>
      </c>
      <c r="AD469" s="1">
        <v>12916</v>
      </c>
      <c r="AE469" s="1">
        <v>14413</v>
      </c>
      <c r="AF469" s="1">
        <v>11182</v>
      </c>
      <c r="AG469" s="1">
        <v>8456</v>
      </c>
      <c r="AH469" s="1">
        <v>21126</v>
      </c>
      <c r="AI469" s="1">
        <v>0</v>
      </c>
      <c r="AJ469" s="1">
        <v>0</v>
      </c>
      <c r="AK469" s="1">
        <v>0</v>
      </c>
      <c r="AL469" s="1">
        <v>0</v>
      </c>
      <c r="AM469" s="1">
        <v>9102</v>
      </c>
      <c r="AN469" s="1">
        <v>8336</v>
      </c>
      <c r="AO469" s="1">
        <v>9431</v>
      </c>
      <c r="AP469" s="1">
        <v>9994</v>
      </c>
      <c r="AQ469" s="1">
        <v>9803</v>
      </c>
      <c r="AR469" s="1">
        <v>10391</v>
      </c>
      <c r="AS469" s="1">
        <v>11091</v>
      </c>
      <c r="AT469" s="1">
        <v>10239</v>
      </c>
      <c r="AU469" s="1">
        <v>10855</v>
      </c>
      <c r="AV469" s="1">
        <v>10965</v>
      </c>
      <c r="AW469" s="1">
        <v>10533</v>
      </c>
      <c r="AX469" s="1">
        <v>11516</v>
      </c>
      <c r="AY469" s="1"/>
      <c r="BA469" s="21">
        <f t="shared" si="447"/>
        <v>202808</v>
      </c>
      <c r="BB469" s="22">
        <f t="shared" si="448"/>
        <v>16900.666666666668</v>
      </c>
      <c r="BD469" s="7">
        <f t="shared" si="449"/>
        <v>129888</v>
      </c>
      <c r="BE469" s="7">
        <f t="shared" si="450"/>
        <v>-72920</v>
      </c>
      <c r="BF469" s="8">
        <f t="shared" si="451"/>
        <v>-0.35955189144412447</v>
      </c>
      <c r="BG469" s="7">
        <f t="shared" si="452"/>
        <v>10824</v>
      </c>
      <c r="BI469" s="12">
        <f t="shared" si="453"/>
        <v>105013</v>
      </c>
      <c r="BJ469" s="12">
        <f t="shared" si="454"/>
        <v>-24875</v>
      </c>
      <c r="BK469" s="13">
        <f t="shared" si="455"/>
        <v>-0.19151114806602609</v>
      </c>
      <c r="BL469" s="24">
        <f t="shared" si="456"/>
        <v>13126.625</v>
      </c>
      <c r="BM469" s="24">
        <f t="shared" si="457"/>
        <v>0</v>
      </c>
      <c r="BO469" s="17">
        <f t="shared" si="458"/>
        <v>122256</v>
      </c>
      <c r="BP469" s="17">
        <f t="shared" si="459"/>
        <v>17243</v>
      </c>
      <c r="BQ469" s="18">
        <f t="shared" si="460"/>
        <v>0.1641987182539304</v>
      </c>
      <c r="BR469" s="25">
        <f t="shared" si="461"/>
        <v>10188</v>
      </c>
    </row>
    <row r="470" spans="1:70">
      <c r="A470" t="s">
        <v>712</v>
      </c>
      <c r="B470">
        <v>400030</v>
      </c>
      <c r="C470" s="1">
        <v>0</v>
      </c>
      <c r="D470" s="1">
        <v>190</v>
      </c>
      <c r="E470" s="1">
        <v>1262</v>
      </c>
      <c r="F470" s="1">
        <v>1032</v>
      </c>
      <c r="G470" s="1">
        <v>1632</v>
      </c>
      <c r="H470" s="1">
        <v>2765</v>
      </c>
      <c r="I470" s="1">
        <v>1438</v>
      </c>
      <c r="J470" s="1">
        <v>5</v>
      </c>
      <c r="K470" s="1">
        <v>287</v>
      </c>
      <c r="L470" s="1">
        <v>921</v>
      </c>
      <c r="M470" s="1">
        <v>915</v>
      </c>
      <c r="N470" s="1">
        <v>1060</v>
      </c>
      <c r="O470" s="1">
        <v>104</v>
      </c>
      <c r="P470" s="1">
        <v>0</v>
      </c>
      <c r="Q470" s="1">
        <v>1157</v>
      </c>
      <c r="R470" s="1">
        <v>971</v>
      </c>
      <c r="S470" s="1">
        <v>2103</v>
      </c>
      <c r="T470" s="1">
        <v>1789</v>
      </c>
      <c r="U470" s="1">
        <v>1852</v>
      </c>
      <c r="V470" s="1">
        <v>2963</v>
      </c>
      <c r="W470" s="1">
        <v>552</v>
      </c>
      <c r="X470" s="1">
        <v>181</v>
      </c>
      <c r="Y470" s="1">
        <v>1512</v>
      </c>
      <c r="Z470" s="1">
        <v>1430</v>
      </c>
      <c r="AA470" s="1">
        <v>311</v>
      </c>
      <c r="AB470" s="1">
        <v>216</v>
      </c>
      <c r="AC470" s="1">
        <v>101</v>
      </c>
      <c r="AD470" s="1">
        <v>466</v>
      </c>
      <c r="AE470" s="1">
        <v>1107</v>
      </c>
      <c r="AF470" s="1">
        <v>1861</v>
      </c>
      <c r="AG470" s="1">
        <v>1786</v>
      </c>
      <c r="AH470" s="1">
        <v>4397</v>
      </c>
      <c r="AI470" s="1">
        <v>0</v>
      </c>
      <c r="AJ470" s="1">
        <v>0</v>
      </c>
      <c r="AK470" s="1">
        <v>0</v>
      </c>
      <c r="AL470" s="1">
        <v>0</v>
      </c>
      <c r="AM470" s="1">
        <v>2276</v>
      </c>
      <c r="AN470" s="1">
        <v>2084</v>
      </c>
      <c r="AO470" s="1">
        <v>2358</v>
      </c>
      <c r="AP470" s="1">
        <v>2499</v>
      </c>
      <c r="AQ470" s="1">
        <v>2451</v>
      </c>
      <c r="AR470" s="1">
        <v>2598</v>
      </c>
      <c r="AS470" s="1">
        <v>2773</v>
      </c>
      <c r="AT470" s="1">
        <v>2560</v>
      </c>
      <c r="AU470" s="1">
        <v>2714</v>
      </c>
      <c r="AV470" s="1">
        <v>2741</v>
      </c>
      <c r="AW470" s="1">
        <v>2633</v>
      </c>
      <c r="AX470" s="1">
        <v>2879</v>
      </c>
      <c r="AY470" s="1"/>
      <c r="BA470" s="21">
        <f t="shared" si="447"/>
        <v>11507</v>
      </c>
      <c r="BB470" s="22">
        <f t="shared" si="448"/>
        <v>958.91666666666663</v>
      </c>
      <c r="BD470" s="7">
        <f t="shared" si="449"/>
        <v>14614</v>
      </c>
      <c r="BE470" s="7">
        <f t="shared" si="450"/>
        <v>3107</v>
      </c>
      <c r="BF470" s="8">
        <f t="shared" si="451"/>
        <v>0.27000955939862692</v>
      </c>
      <c r="BG470" s="7">
        <f t="shared" si="452"/>
        <v>1217.8333333333333</v>
      </c>
      <c r="BI470" s="12">
        <f t="shared" si="453"/>
        <v>10245</v>
      </c>
      <c r="BJ470" s="12">
        <f t="shared" si="454"/>
        <v>-4369</v>
      </c>
      <c r="BK470" s="13">
        <f t="shared" si="455"/>
        <v>-0.29895990146434925</v>
      </c>
      <c r="BL470" s="24">
        <f t="shared" si="456"/>
        <v>1280.625</v>
      </c>
      <c r="BM470" s="24">
        <f t="shared" si="457"/>
        <v>0</v>
      </c>
      <c r="BO470" s="17">
        <f t="shared" si="458"/>
        <v>30566</v>
      </c>
      <c r="BP470" s="17">
        <f t="shared" si="459"/>
        <v>20321</v>
      </c>
      <c r="BQ470" s="18">
        <f t="shared" si="460"/>
        <v>1.9835041483650562</v>
      </c>
      <c r="BR470" s="25">
        <f t="shared" si="461"/>
        <v>2547.1666666666665</v>
      </c>
    </row>
    <row r="471" spans="1:70">
      <c r="A471" t="s">
        <v>713</v>
      </c>
      <c r="B471">
        <v>400035</v>
      </c>
      <c r="C471" s="1">
        <v>124992</v>
      </c>
      <c r="D471" s="1">
        <v>76661</v>
      </c>
      <c r="E471" s="1">
        <v>133632</v>
      </c>
      <c r="F471" s="1">
        <v>176510</v>
      </c>
      <c r="G471" s="1">
        <v>-3821</v>
      </c>
      <c r="H471" s="1">
        <v>93419</v>
      </c>
      <c r="I471" s="1">
        <v>102328</v>
      </c>
      <c r="J471" s="1">
        <v>127644</v>
      </c>
      <c r="K471" s="1">
        <v>131361</v>
      </c>
      <c r="L471" s="1">
        <v>122329</v>
      </c>
      <c r="M471" s="1">
        <v>93490</v>
      </c>
      <c r="N471" s="1">
        <v>94026</v>
      </c>
      <c r="O471" s="1">
        <v>189985</v>
      </c>
      <c r="P471" s="1">
        <v>125899</v>
      </c>
      <c r="Q471" s="1">
        <v>83257</v>
      </c>
      <c r="R471" s="1">
        <v>147912</v>
      </c>
      <c r="S471" s="1">
        <v>68526</v>
      </c>
      <c r="T471" s="1">
        <v>132373</v>
      </c>
      <c r="U471" s="1">
        <v>124959</v>
      </c>
      <c r="V471" s="1">
        <v>100887</v>
      </c>
      <c r="W471" s="1">
        <v>149485</v>
      </c>
      <c r="X471" s="1">
        <v>145686</v>
      </c>
      <c r="Y471" s="1">
        <v>77895</v>
      </c>
      <c r="Z471" s="1">
        <v>120242</v>
      </c>
      <c r="AA471" s="1">
        <v>129096</v>
      </c>
      <c r="AB471" s="1">
        <v>124787</v>
      </c>
      <c r="AC471" s="1">
        <v>115909</v>
      </c>
      <c r="AD471" s="1">
        <v>209824</v>
      </c>
      <c r="AE471" s="1">
        <v>81963</v>
      </c>
      <c r="AF471" s="1">
        <v>53952</v>
      </c>
      <c r="AG471" s="1">
        <v>217473</v>
      </c>
      <c r="AH471" s="1">
        <v>111639</v>
      </c>
      <c r="AI471" s="1">
        <v>0</v>
      </c>
      <c r="AJ471" s="1">
        <v>0</v>
      </c>
      <c r="AK471" s="1">
        <v>0</v>
      </c>
      <c r="AL471" s="1">
        <v>0</v>
      </c>
      <c r="AM471" s="1">
        <v>113781</v>
      </c>
      <c r="AN471" s="1">
        <v>104206</v>
      </c>
      <c r="AO471" s="1">
        <v>117882</v>
      </c>
      <c r="AP471" s="1">
        <v>124928</v>
      </c>
      <c r="AQ471" s="1">
        <v>122542</v>
      </c>
      <c r="AR471" s="1">
        <v>129892</v>
      </c>
      <c r="AS471" s="1">
        <v>138638</v>
      </c>
      <c r="AT471" s="1">
        <v>127984</v>
      </c>
      <c r="AU471" s="1">
        <v>135689</v>
      </c>
      <c r="AV471" s="1">
        <v>137063</v>
      </c>
      <c r="AW471" s="1">
        <v>131667</v>
      </c>
      <c r="AX471" s="1">
        <v>143948</v>
      </c>
      <c r="AY471" s="1"/>
      <c r="BA471" s="21">
        <f t="shared" si="447"/>
        <v>1272571</v>
      </c>
      <c r="BB471" s="22">
        <f t="shared" si="448"/>
        <v>106047.58333333333</v>
      </c>
      <c r="BD471" s="7">
        <f t="shared" si="449"/>
        <v>1467106</v>
      </c>
      <c r="BE471" s="7">
        <f t="shared" si="450"/>
        <v>194535</v>
      </c>
      <c r="BF471" s="8">
        <f t="shared" si="451"/>
        <v>0.15286769854098514</v>
      </c>
      <c r="BG471" s="7">
        <f t="shared" si="452"/>
        <v>122258.83333333333</v>
      </c>
      <c r="BI471" s="12">
        <f t="shared" si="453"/>
        <v>1044643</v>
      </c>
      <c r="BJ471" s="12">
        <f t="shared" si="454"/>
        <v>-422463</v>
      </c>
      <c r="BK471" s="13">
        <f t="shared" si="455"/>
        <v>-0.28795669842533533</v>
      </c>
      <c r="BL471" s="24">
        <f t="shared" si="456"/>
        <v>130580.375</v>
      </c>
      <c r="BM471" s="24">
        <f t="shared" si="457"/>
        <v>0</v>
      </c>
      <c r="BO471" s="17">
        <f t="shared" si="458"/>
        <v>1528220</v>
      </c>
      <c r="BP471" s="17">
        <f t="shared" si="459"/>
        <v>483577</v>
      </c>
      <c r="BQ471" s="18">
        <f t="shared" si="460"/>
        <v>0.46291125293521329</v>
      </c>
      <c r="BR471" s="25">
        <f t="shared" si="461"/>
        <v>127351.66666666667</v>
      </c>
    </row>
    <row r="472" spans="1:70">
      <c r="A472" t="s">
        <v>714</v>
      </c>
      <c r="B472">
        <v>400040</v>
      </c>
      <c r="C472" s="1">
        <v>16058</v>
      </c>
      <c r="D472" s="1">
        <v>8391</v>
      </c>
      <c r="E472" s="1">
        <v>28506</v>
      </c>
      <c r="F472" s="1">
        <v>278</v>
      </c>
      <c r="G472" s="1">
        <v>67709</v>
      </c>
      <c r="H472" s="1">
        <v>24747</v>
      </c>
      <c r="I472" s="1">
        <v>16211</v>
      </c>
      <c r="J472" s="1">
        <v>11728</v>
      </c>
      <c r="K472" s="1">
        <v>38842</v>
      </c>
      <c r="L472" s="1">
        <v>5216</v>
      </c>
      <c r="M472" s="1">
        <v>5512</v>
      </c>
      <c r="N472" s="1">
        <v>25985</v>
      </c>
      <c r="O472" s="1">
        <v>0</v>
      </c>
      <c r="P472" s="1">
        <v>4246</v>
      </c>
      <c r="Q472" s="1">
        <v>40731</v>
      </c>
      <c r="R472" s="1">
        <v>8008</v>
      </c>
      <c r="S472" s="1">
        <v>32512</v>
      </c>
      <c r="T472" s="1">
        <v>11598</v>
      </c>
      <c r="U472" s="1">
        <v>35692</v>
      </c>
      <c r="V472" s="1">
        <v>21157</v>
      </c>
      <c r="W472" s="1">
        <v>18567</v>
      </c>
      <c r="X472" s="1">
        <v>299</v>
      </c>
      <c r="Y472" s="1">
        <v>30276</v>
      </c>
      <c r="Z472" s="1">
        <v>8757</v>
      </c>
      <c r="AA472" s="1">
        <v>12916</v>
      </c>
      <c r="AB472" s="1">
        <v>3686</v>
      </c>
      <c r="AC472" s="1">
        <v>3115</v>
      </c>
      <c r="AD472" s="1">
        <v>1863</v>
      </c>
      <c r="AE472" s="1">
        <v>61375</v>
      </c>
      <c r="AF472" s="1">
        <v>22072</v>
      </c>
      <c r="AG472" s="1">
        <v>10220</v>
      </c>
      <c r="AH472" s="1">
        <v>80952</v>
      </c>
      <c r="AI472" s="1">
        <v>10802</v>
      </c>
      <c r="AJ472" s="1">
        <v>10640</v>
      </c>
      <c r="AK472" s="1">
        <v>10000</v>
      </c>
      <c r="AL472" s="1">
        <v>10000</v>
      </c>
      <c r="AM472" s="1">
        <v>20480</v>
      </c>
      <c r="AN472" s="1">
        <v>18757</v>
      </c>
      <c r="AO472" s="1">
        <v>21219</v>
      </c>
      <c r="AP472" s="1">
        <v>22487</v>
      </c>
      <c r="AQ472" s="1">
        <v>22058</v>
      </c>
      <c r="AR472" s="1">
        <v>23381</v>
      </c>
      <c r="AS472" s="1">
        <v>24955</v>
      </c>
      <c r="AT472" s="1">
        <v>23037</v>
      </c>
      <c r="AU472" s="1">
        <v>24424</v>
      </c>
      <c r="AV472" s="1">
        <v>24671</v>
      </c>
      <c r="AW472" s="1">
        <v>23700</v>
      </c>
      <c r="AX472" s="1">
        <v>25911</v>
      </c>
      <c r="AY472" s="1"/>
      <c r="BA472" s="21">
        <f t="shared" si="447"/>
        <v>249183</v>
      </c>
      <c r="BB472" s="22">
        <f t="shared" si="448"/>
        <v>20765.25</v>
      </c>
      <c r="BD472" s="7">
        <f t="shared" si="449"/>
        <v>211843</v>
      </c>
      <c r="BE472" s="7">
        <f t="shared" si="450"/>
        <v>-37340</v>
      </c>
      <c r="BF472" s="8">
        <f t="shared" si="451"/>
        <v>-0.149849708848517</v>
      </c>
      <c r="BG472" s="7">
        <f t="shared" si="452"/>
        <v>17653.583333333332</v>
      </c>
      <c r="BI472" s="12">
        <f t="shared" si="453"/>
        <v>237641</v>
      </c>
      <c r="BJ472" s="12">
        <f t="shared" si="454"/>
        <v>25798</v>
      </c>
      <c r="BK472" s="13">
        <f t="shared" si="455"/>
        <v>0.1217788645364728</v>
      </c>
      <c r="BL472" s="24">
        <f t="shared" si="456"/>
        <v>24524.875</v>
      </c>
      <c r="BM472" s="24">
        <f t="shared" si="457"/>
        <v>10360.5</v>
      </c>
      <c r="BO472" s="17">
        <f t="shared" si="458"/>
        <v>275080</v>
      </c>
      <c r="BP472" s="17">
        <f t="shared" si="459"/>
        <v>37439</v>
      </c>
      <c r="BQ472" s="18">
        <f t="shared" si="460"/>
        <v>0.15754436313599074</v>
      </c>
      <c r="BR472" s="25">
        <f t="shared" si="461"/>
        <v>22923.333333333332</v>
      </c>
    </row>
    <row r="473" spans="1:70">
      <c r="A473" t="s">
        <v>715</v>
      </c>
      <c r="B473">
        <v>400045</v>
      </c>
      <c r="C473" s="1">
        <v>52791</v>
      </c>
      <c r="D473" s="1">
        <v>62098</v>
      </c>
      <c r="E473" s="1">
        <v>72725</v>
      </c>
      <c r="F473" s="1">
        <v>51532</v>
      </c>
      <c r="G473" s="1">
        <v>61648</v>
      </c>
      <c r="H473" s="1">
        <v>51183</v>
      </c>
      <c r="I473" s="1">
        <v>47406</v>
      </c>
      <c r="J473" s="1">
        <v>77739</v>
      </c>
      <c r="K473" s="1">
        <v>64478</v>
      </c>
      <c r="L473" s="1">
        <v>62619</v>
      </c>
      <c r="M473" s="1">
        <v>65233</v>
      </c>
      <c r="N473" s="1">
        <v>57514</v>
      </c>
      <c r="O473" s="1">
        <v>68701</v>
      </c>
      <c r="P473" s="1">
        <v>60335</v>
      </c>
      <c r="Q473" s="1">
        <v>73334</v>
      </c>
      <c r="R473" s="1">
        <v>67921</v>
      </c>
      <c r="S473" s="1">
        <v>79456</v>
      </c>
      <c r="T473" s="1">
        <v>54449</v>
      </c>
      <c r="U473" s="1">
        <v>51218</v>
      </c>
      <c r="V473" s="1">
        <v>68384</v>
      </c>
      <c r="W473" s="1">
        <v>69967</v>
      </c>
      <c r="X473" s="1">
        <v>59386</v>
      </c>
      <c r="Y473" s="1">
        <v>56819</v>
      </c>
      <c r="Z473" s="1">
        <v>70745</v>
      </c>
      <c r="AA473" s="1">
        <v>71681</v>
      </c>
      <c r="AB473" s="1">
        <v>84241</v>
      </c>
      <c r="AC473" s="1">
        <v>71680</v>
      </c>
      <c r="AD473" s="1">
        <v>66115</v>
      </c>
      <c r="AE473" s="1">
        <v>62235</v>
      </c>
      <c r="AF473" s="1">
        <v>55406</v>
      </c>
      <c r="AG473" s="1">
        <v>75259</v>
      </c>
      <c r="AH473" s="1">
        <v>78745</v>
      </c>
      <c r="AI473" s="1">
        <v>0</v>
      </c>
      <c r="AJ473" s="1">
        <v>0</v>
      </c>
      <c r="AK473" s="1">
        <v>0</v>
      </c>
      <c r="AL473" s="1">
        <v>0</v>
      </c>
      <c r="AM473" s="1">
        <v>56890</v>
      </c>
      <c r="AN473" s="1">
        <v>52103</v>
      </c>
      <c r="AO473" s="1">
        <v>58941</v>
      </c>
      <c r="AP473" s="1">
        <v>62464</v>
      </c>
      <c r="AQ473" s="1">
        <v>61271</v>
      </c>
      <c r="AR473" s="1">
        <v>64946</v>
      </c>
      <c r="AS473" s="1">
        <v>69319</v>
      </c>
      <c r="AT473" s="1">
        <v>63992</v>
      </c>
      <c r="AU473" s="1">
        <v>67844</v>
      </c>
      <c r="AV473" s="1">
        <v>68532</v>
      </c>
      <c r="AW473" s="1">
        <v>65834</v>
      </c>
      <c r="AX473" s="1">
        <v>71974</v>
      </c>
      <c r="AY473" s="1"/>
      <c r="BA473" s="21">
        <f t="shared" si="447"/>
        <v>726966</v>
      </c>
      <c r="BB473" s="22">
        <f t="shared" si="448"/>
        <v>60580.5</v>
      </c>
      <c r="BD473" s="7">
        <f t="shared" si="449"/>
        <v>780715</v>
      </c>
      <c r="BE473" s="7">
        <f t="shared" si="450"/>
        <v>53749</v>
      </c>
      <c r="BF473" s="8">
        <f t="shared" si="451"/>
        <v>7.3936057532264288E-2</v>
      </c>
      <c r="BG473" s="7">
        <f t="shared" si="452"/>
        <v>65059.583333333336</v>
      </c>
      <c r="BI473" s="12">
        <f t="shared" si="453"/>
        <v>565362</v>
      </c>
      <c r="BJ473" s="12">
        <f t="shared" si="454"/>
        <v>-215353</v>
      </c>
      <c r="BK473" s="13">
        <f t="shared" si="455"/>
        <v>-0.2758407357358319</v>
      </c>
      <c r="BL473" s="24">
        <f t="shared" si="456"/>
        <v>70670.25</v>
      </c>
      <c r="BM473" s="24">
        <f t="shared" si="457"/>
        <v>0</v>
      </c>
      <c r="BO473" s="17">
        <f t="shared" si="458"/>
        <v>764110</v>
      </c>
      <c r="BP473" s="17">
        <f t="shared" si="459"/>
        <v>198748</v>
      </c>
      <c r="BQ473" s="18">
        <f t="shared" si="460"/>
        <v>0.35154113647539109</v>
      </c>
      <c r="BR473" s="25">
        <f t="shared" si="461"/>
        <v>63675.833333333336</v>
      </c>
    </row>
    <row r="474" spans="1:70">
      <c r="A474" t="s">
        <v>716</v>
      </c>
      <c r="B474">
        <v>400050</v>
      </c>
      <c r="C474" s="1">
        <v>1000</v>
      </c>
      <c r="D474" s="1">
        <v>1000</v>
      </c>
      <c r="E474" s="1">
        <v>1000</v>
      </c>
      <c r="F474" s="1">
        <v>1000</v>
      </c>
      <c r="G474" s="1">
        <v>1000</v>
      </c>
      <c r="H474" s="1">
        <v>1000</v>
      </c>
      <c r="I474" s="1">
        <v>1000</v>
      </c>
      <c r="J474" s="1">
        <v>1000</v>
      </c>
      <c r="K474" s="1">
        <v>1000</v>
      </c>
      <c r="L474" s="1">
        <v>1000</v>
      </c>
      <c r="M474" s="1">
        <v>1000</v>
      </c>
      <c r="N474" s="1">
        <v>1000</v>
      </c>
      <c r="O474" s="1">
        <v>1000</v>
      </c>
      <c r="P474" s="1">
        <v>1000</v>
      </c>
      <c r="Q474" s="1">
        <v>1000</v>
      </c>
      <c r="R474" s="1">
        <v>0</v>
      </c>
      <c r="S474" s="1">
        <v>2000</v>
      </c>
      <c r="T474" s="1">
        <v>1000</v>
      </c>
      <c r="U474" s="1">
        <v>1000</v>
      </c>
      <c r="V474" s="1">
        <v>1000</v>
      </c>
      <c r="W474" s="1">
        <v>1000</v>
      </c>
      <c r="X474" s="1">
        <v>1000</v>
      </c>
      <c r="Y474" s="1">
        <v>1000</v>
      </c>
      <c r="Z474" s="1">
        <v>1000</v>
      </c>
      <c r="AA474" s="1">
        <v>1250</v>
      </c>
      <c r="AB474" s="1">
        <v>1250</v>
      </c>
      <c r="AC474" s="1">
        <v>1250</v>
      </c>
      <c r="AD474" s="1">
        <v>1250</v>
      </c>
      <c r="AE474" s="1">
        <v>1250</v>
      </c>
      <c r="AF474" s="1">
        <v>1250</v>
      </c>
      <c r="AG474" s="1">
        <v>12500</v>
      </c>
      <c r="AH474" s="1">
        <v>1250</v>
      </c>
      <c r="AI474" s="1">
        <v>1350</v>
      </c>
      <c r="AJ474" s="1">
        <v>1330</v>
      </c>
      <c r="AK474" s="1">
        <v>1250</v>
      </c>
      <c r="AL474" s="1">
        <v>1250</v>
      </c>
      <c r="AM474" s="1">
        <v>1250</v>
      </c>
      <c r="AN474" s="1">
        <v>1250</v>
      </c>
      <c r="AO474" s="1">
        <v>1250</v>
      </c>
      <c r="AP474" s="1">
        <v>1250</v>
      </c>
      <c r="AQ474" s="1">
        <v>1250</v>
      </c>
      <c r="AR474" s="1">
        <v>1250</v>
      </c>
      <c r="AS474" s="1">
        <v>1250</v>
      </c>
      <c r="AT474" s="1">
        <v>1250</v>
      </c>
      <c r="AU474" s="1">
        <v>1250</v>
      </c>
      <c r="AV474" s="1">
        <v>1250</v>
      </c>
      <c r="AW474" s="1">
        <v>1250</v>
      </c>
      <c r="AX474" s="1">
        <v>1250</v>
      </c>
      <c r="AY474" s="1"/>
      <c r="BA474" s="21">
        <f t="shared" si="447"/>
        <v>12000</v>
      </c>
      <c r="BB474" s="22">
        <f t="shared" si="448"/>
        <v>1000</v>
      </c>
      <c r="BD474" s="7">
        <f t="shared" si="449"/>
        <v>12000</v>
      </c>
      <c r="BE474" s="7">
        <f t="shared" si="450"/>
        <v>0</v>
      </c>
      <c r="BF474" s="8">
        <f t="shared" si="451"/>
        <v>0</v>
      </c>
      <c r="BG474" s="7">
        <f t="shared" si="452"/>
        <v>1000</v>
      </c>
      <c r="BI474" s="12">
        <f t="shared" si="453"/>
        <v>26430</v>
      </c>
      <c r="BJ474" s="12">
        <f t="shared" si="454"/>
        <v>14430</v>
      </c>
      <c r="BK474" s="13">
        <f t="shared" si="455"/>
        <v>1.2025000000000001</v>
      </c>
      <c r="BL474" s="24">
        <f t="shared" si="456"/>
        <v>2656.25</v>
      </c>
      <c r="BM474" s="24">
        <f t="shared" si="457"/>
        <v>1295</v>
      </c>
      <c r="BO474" s="17">
        <f t="shared" si="458"/>
        <v>15000</v>
      </c>
      <c r="BP474" s="17">
        <f t="shared" si="459"/>
        <v>-11430</v>
      </c>
      <c r="BQ474" s="18">
        <f t="shared" si="460"/>
        <v>-0.43246311010215666</v>
      </c>
      <c r="BR474" s="25">
        <f t="shared" si="461"/>
        <v>1250</v>
      </c>
    </row>
    <row r="475" spans="1:70">
      <c r="A475" t="s">
        <v>717</v>
      </c>
      <c r="B475">
        <v>400055</v>
      </c>
      <c r="C475" s="1">
        <v>21048</v>
      </c>
      <c r="D475" s="1">
        <v>14670</v>
      </c>
      <c r="E475" s="1">
        <v>15759</v>
      </c>
      <c r="F475" s="1">
        <v>15815</v>
      </c>
      <c r="G475" s="1">
        <v>16258</v>
      </c>
      <c r="H475" s="1">
        <v>17532</v>
      </c>
      <c r="I475" s="1">
        <v>11850</v>
      </c>
      <c r="J475" s="1">
        <v>15716</v>
      </c>
      <c r="K475" s="1">
        <v>14161</v>
      </c>
      <c r="L475" s="1">
        <v>17732</v>
      </c>
      <c r="M475" s="1">
        <v>20224</v>
      </c>
      <c r="N475" s="1">
        <v>25486</v>
      </c>
      <c r="O475" s="1">
        <v>17315</v>
      </c>
      <c r="P475" s="1">
        <v>15027</v>
      </c>
      <c r="Q475" s="1">
        <v>42873</v>
      </c>
      <c r="R475" s="1">
        <v>16950</v>
      </c>
      <c r="S475" s="1">
        <v>17551</v>
      </c>
      <c r="T475" s="1">
        <v>21780</v>
      </c>
      <c r="U475" s="1">
        <v>21289</v>
      </c>
      <c r="V475" s="1">
        <v>33661</v>
      </c>
      <c r="W475" s="1">
        <v>17651</v>
      </c>
      <c r="X475" s="1">
        <v>29434</v>
      </c>
      <c r="Y475" s="1">
        <v>26652</v>
      </c>
      <c r="Z475" s="1">
        <v>25034</v>
      </c>
      <c r="AA475" s="1">
        <v>24752</v>
      </c>
      <c r="AB475" s="1">
        <v>24084</v>
      </c>
      <c r="AC475" s="1">
        <v>23121</v>
      </c>
      <c r="AD475" s="1">
        <v>25852</v>
      </c>
      <c r="AE475" s="1">
        <v>25567</v>
      </c>
      <c r="AF475" s="1">
        <v>20924</v>
      </c>
      <c r="AG475" s="1">
        <v>24955</v>
      </c>
      <c r="AH475" s="1">
        <v>34832</v>
      </c>
      <c r="AI475" s="1">
        <v>27005</v>
      </c>
      <c r="AJ475" s="1">
        <v>26600</v>
      </c>
      <c r="AK475" s="1">
        <v>25000</v>
      </c>
      <c r="AL475" s="1">
        <v>25000</v>
      </c>
      <c r="AM475" s="1">
        <v>22756</v>
      </c>
      <c r="AN475" s="1">
        <v>20841</v>
      </c>
      <c r="AO475" s="1">
        <v>23576</v>
      </c>
      <c r="AP475" s="1">
        <v>24986</v>
      </c>
      <c r="AQ475" s="1">
        <v>24508</v>
      </c>
      <c r="AR475" s="1">
        <v>25978</v>
      </c>
      <c r="AS475" s="1">
        <v>27728</v>
      </c>
      <c r="AT475" s="1">
        <v>25597</v>
      </c>
      <c r="AU475" s="1">
        <v>27138</v>
      </c>
      <c r="AV475" s="1">
        <v>27413</v>
      </c>
      <c r="AW475" s="1">
        <v>26333</v>
      </c>
      <c r="AX475" s="1">
        <v>28790</v>
      </c>
      <c r="AY475" s="1"/>
      <c r="BA475" s="21">
        <f t="shared" si="447"/>
        <v>206251</v>
      </c>
      <c r="BB475" s="22">
        <f t="shared" si="448"/>
        <v>17187.583333333332</v>
      </c>
      <c r="BD475" s="7">
        <f t="shared" si="449"/>
        <v>285217</v>
      </c>
      <c r="BE475" s="7">
        <f t="shared" si="450"/>
        <v>78966</v>
      </c>
      <c r="BF475" s="8">
        <f t="shared" si="451"/>
        <v>0.38286359823709937</v>
      </c>
      <c r="BG475" s="7">
        <f t="shared" si="452"/>
        <v>23768.083333333332</v>
      </c>
      <c r="BI475" s="12">
        <f t="shared" si="453"/>
        <v>307692</v>
      </c>
      <c r="BJ475" s="12">
        <f t="shared" si="454"/>
        <v>22475</v>
      </c>
      <c r="BK475" s="13">
        <f t="shared" si="455"/>
        <v>7.8799650792203746E-2</v>
      </c>
      <c r="BL475" s="24">
        <f t="shared" si="456"/>
        <v>25510.875</v>
      </c>
      <c r="BM475" s="24">
        <f t="shared" si="457"/>
        <v>25901.25</v>
      </c>
      <c r="BO475" s="17">
        <f t="shared" si="458"/>
        <v>305644</v>
      </c>
      <c r="BP475" s="17">
        <f t="shared" si="459"/>
        <v>-2048</v>
      </c>
      <c r="BQ475" s="18">
        <f t="shared" si="460"/>
        <v>-6.65600665600663E-3</v>
      </c>
      <c r="BR475" s="25">
        <f t="shared" si="461"/>
        <v>25470.333333333332</v>
      </c>
    </row>
    <row r="476" spans="1:70">
      <c r="A476" t="s">
        <v>11</v>
      </c>
      <c r="B476" t="s">
        <v>12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BA476" s="21"/>
      <c r="BB476" s="22"/>
      <c r="BD476" s="7"/>
      <c r="BE476" s="7"/>
      <c r="BF476" s="8"/>
      <c r="BG476" s="7"/>
      <c r="BI476" s="12"/>
      <c r="BJ476" s="12"/>
      <c r="BK476" s="13"/>
      <c r="BL476" s="24"/>
      <c r="BM476" s="24"/>
      <c r="BO476" s="17"/>
      <c r="BP476" s="17"/>
      <c r="BQ476" s="18"/>
      <c r="BR476" s="25"/>
    </row>
    <row r="477" spans="1:70">
      <c r="A477" t="s">
        <v>718</v>
      </c>
      <c r="C477" s="1">
        <v>2054835</v>
      </c>
      <c r="D477" s="1">
        <v>2046146</v>
      </c>
      <c r="E477" s="1">
        <v>2216705</v>
      </c>
      <c r="F477" s="1">
        <v>2102602</v>
      </c>
      <c r="G477" s="1">
        <v>2236863</v>
      </c>
      <c r="H477" s="1">
        <v>2089167</v>
      </c>
      <c r="I477" s="1">
        <v>2122667</v>
      </c>
      <c r="J477" s="1">
        <v>2339546</v>
      </c>
      <c r="K477" s="1">
        <v>1939170</v>
      </c>
      <c r="L477" s="1">
        <v>2174261</v>
      </c>
      <c r="M477" s="1">
        <v>2285310</v>
      </c>
      <c r="N477" s="1">
        <v>1996512</v>
      </c>
      <c r="O477" s="1">
        <v>2486617</v>
      </c>
      <c r="P477" s="1">
        <v>2349839</v>
      </c>
      <c r="Q477" s="1">
        <v>1840542</v>
      </c>
      <c r="R477" s="1">
        <v>2349489</v>
      </c>
      <c r="S477" s="1">
        <v>2554018</v>
      </c>
      <c r="T477" s="1">
        <v>2262183</v>
      </c>
      <c r="U477" s="1">
        <v>2505639</v>
      </c>
      <c r="V477" s="1">
        <v>2441195</v>
      </c>
      <c r="W477" s="1">
        <v>2382332</v>
      </c>
      <c r="X477" s="1">
        <v>2628454</v>
      </c>
      <c r="Y477" s="1">
        <v>2510348</v>
      </c>
      <c r="Z477" s="1">
        <v>2456260</v>
      </c>
      <c r="AA477" s="1">
        <v>2555211</v>
      </c>
      <c r="AB477" s="1">
        <v>2363978</v>
      </c>
      <c r="AC477" s="1">
        <v>2449946</v>
      </c>
      <c r="AD477" s="1">
        <v>1835882</v>
      </c>
      <c r="AE477" s="1">
        <v>2713044</v>
      </c>
      <c r="AF477" s="1">
        <v>2560837</v>
      </c>
      <c r="AG477" s="1">
        <v>2785231</v>
      </c>
      <c r="AH477" s="1">
        <v>2700193</v>
      </c>
      <c r="AI477" s="1">
        <v>2710999</v>
      </c>
      <c r="AJ477" s="1">
        <v>2836523</v>
      </c>
      <c r="AK477" s="1">
        <v>2306136</v>
      </c>
      <c r="AL477" s="1">
        <v>2710792</v>
      </c>
      <c r="AM477" s="50">
        <v>2584834</v>
      </c>
      <c r="AN477" s="1">
        <v>2388939</v>
      </c>
      <c r="AO477" s="1">
        <v>2668746</v>
      </c>
      <c r="AP477" s="1">
        <v>2813015</v>
      </c>
      <c r="AQ477" s="1">
        <v>2764188</v>
      </c>
      <c r="AR477" s="1">
        <v>2914579</v>
      </c>
      <c r="AS477" s="1">
        <v>3093827</v>
      </c>
      <c r="AT477" s="1">
        <v>2875535</v>
      </c>
      <c r="AU477" s="1">
        <v>3033072</v>
      </c>
      <c r="AV477" s="1">
        <v>3061194</v>
      </c>
      <c r="AW477" s="1">
        <v>2950793</v>
      </c>
      <c r="AX477" s="1">
        <v>3202052</v>
      </c>
      <c r="AY477" s="1"/>
      <c r="BA477" s="21">
        <f>SUM(C477:N477)</f>
        <v>25603784</v>
      </c>
      <c r="BB477" s="22">
        <f t="shared" ref="BB477" si="462">+BA477/12</f>
        <v>2133648.6666666665</v>
      </c>
      <c r="BD477" s="7">
        <f>SUM(O477:Z477)</f>
        <v>28766916</v>
      </c>
      <c r="BE477" s="7">
        <f t="shared" ref="BE477" si="463">+BD477-BA477</f>
        <v>3163132</v>
      </c>
      <c r="BF477" s="8">
        <f t="shared" ref="BF477" si="464">(BD477/BA477)-1</f>
        <v>0.12354158275979832</v>
      </c>
      <c r="BG477" s="7">
        <f t="shared" ref="BG477" si="465">BD477/12</f>
        <v>2397243</v>
      </c>
      <c r="BI477" s="12">
        <f>+SUM(AA477:AL477)</f>
        <v>30528772</v>
      </c>
      <c r="BJ477" s="12">
        <f t="shared" ref="BJ477" si="466">+BI477-BD477</f>
        <v>1761856</v>
      </c>
      <c r="BK477" s="13">
        <f t="shared" ref="BK477" si="467">(BI477/BD477)-1</f>
        <v>6.1245911796732111E-2</v>
      </c>
      <c r="BL477" s="24">
        <f>SUM(AA477:AH477)/8</f>
        <v>2495540.25</v>
      </c>
      <c r="BM477" s="24">
        <f>SUM(AI477:AL477)/4</f>
        <v>2641112.5</v>
      </c>
      <c r="BO477" s="17">
        <f>+SUM(AM477:AX477)</f>
        <v>34350774</v>
      </c>
      <c r="BP477" s="17">
        <f t="shared" ref="BP477" si="468">+BO477-BI477</f>
        <v>3822002</v>
      </c>
      <c r="BQ477" s="18">
        <f t="shared" ref="BQ477" si="469">(BO477/BI477)-1</f>
        <v>0.12519344046986225</v>
      </c>
      <c r="BR477" s="25">
        <f t="shared" ref="BR477" si="470">BO477/12</f>
        <v>2862564.5</v>
      </c>
    </row>
    <row r="478" spans="1:70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BA478" s="21"/>
      <c r="BB478" s="22"/>
      <c r="BD478" s="7"/>
      <c r="BE478" s="7"/>
      <c r="BF478" s="8"/>
      <c r="BG478" s="7"/>
      <c r="BI478" s="12"/>
      <c r="BJ478" s="12"/>
      <c r="BK478" s="13"/>
      <c r="BL478" s="24"/>
      <c r="BM478" s="24"/>
      <c r="BO478" s="17"/>
      <c r="BP478" s="17"/>
      <c r="BQ478" s="18"/>
      <c r="BR478" s="25"/>
    </row>
    <row r="479" spans="1:70">
      <c r="A479" t="s">
        <v>719</v>
      </c>
      <c r="B479">
        <v>400060</v>
      </c>
      <c r="C479" s="1">
        <v>1296</v>
      </c>
      <c r="D479" s="1">
        <v>-476</v>
      </c>
      <c r="E479" s="1">
        <v>3889</v>
      </c>
      <c r="F479" s="1">
        <v>890</v>
      </c>
      <c r="G479" s="1">
        <v>17</v>
      </c>
      <c r="H479" s="1">
        <v>136</v>
      </c>
      <c r="I479" s="1">
        <v>946</v>
      </c>
      <c r="J479" s="1">
        <v>1242</v>
      </c>
      <c r="K479" s="1">
        <v>-1355</v>
      </c>
      <c r="L479" s="1">
        <v>-58</v>
      </c>
      <c r="M479" s="1">
        <v>186</v>
      </c>
      <c r="N479" s="1">
        <v>1027</v>
      </c>
      <c r="O479" s="1">
        <v>1013</v>
      </c>
      <c r="P479" s="1">
        <v>4224</v>
      </c>
      <c r="Q479" s="1">
        <v>-2326</v>
      </c>
      <c r="R479" s="1">
        <v>498</v>
      </c>
      <c r="S479" s="1">
        <v>1403</v>
      </c>
      <c r="T479" s="1">
        <v>67</v>
      </c>
      <c r="U479" s="1">
        <v>52</v>
      </c>
      <c r="V479" s="1">
        <v>59</v>
      </c>
      <c r="W479" s="1">
        <v>41</v>
      </c>
      <c r="X479" s="1">
        <v>-40</v>
      </c>
      <c r="Y479" s="1">
        <v>-747</v>
      </c>
      <c r="Z479" s="1">
        <v>809</v>
      </c>
      <c r="AA479" s="1">
        <v>962</v>
      </c>
      <c r="AB479" s="1">
        <v>1011</v>
      </c>
      <c r="AC479" s="1">
        <v>2613</v>
      </c>
      <c r="AD479" s="1">
        <v>3958</v>
      </c>
      <c r="AE479" s="1">
        <v>159</v>
      </c>
      <c r="AF479" s="1">
        <v>170</v>
      </c>
      <c r="AG479" s="1">
        <v>822</v>
      </c>
      <c r="AH479" s="1">
        <v>-915</v>
      </c>
      <c r="AI479" s="1">
        <v>-17</v>
      </c>
      <c r="AJ479" s="1">
        <v>156</v>
      </c>
      <c r="AK479" s="1">
        <v>150</v>
      </c>
      <c r="AL479" s="1">
        <v>150</v>
      </c>
      <c r="AM479" s="1">
        <v>791</v>
      </c>
      <c r="AN479" s="1">
        <v>791</v>
      </c>
      <c r="AO479" s="1">
        <v>791</v>
      </c>
      <c r="AP479" s="1">
        <v>791</v>
      </c>
      <c r="AQ479" s="1">
        <v>791</v>
      </c>
      <c r="AR479" s="1">
        <v>791</v>
      </c>
      <c r="AS479" s="1">
        <v>791</v>
      </c>
      <c r="AT479" s="1">
        <v>791</v>
      </c>
      <c r="AU479" s="1">
        <v>791</v>
      </c>
      <c r="AV479" s="1">
        <v>791</v>
      </c>
      <c r="AW479" s="1">
        <v>791</v>
      </c>
      <c r="AX479" s="1">
        <v>799</v>
      </c>
      <c r="AY479" s="1"/>
      <c r="BA479" s="21">
        <f t="shared" ref="BA479:BA503" si="471">SUM(C479:N479)</f>
        <v>7740</v>
      </c>
      <c r="BB479" s="22">
        <f t="shared" ref="BB479:BB503" si="472">+BA479/12</f>
        <v>645</v>
      </c>
      <c r="BD479" s="7">
        <f t="shared" ref="BD479:BD503" si="473">SUM(O479:Z479)</f>
        <v>5053</v>
      </c>
      <c r="BE479" s="7">
        <f t="shared" ref="BE479:BE503" si="474">+BD479-BA479</f>
        <v>-2687</v>
      </c>
      <c r="BF479" s="8">
        <f t="shared" ref="BF479:BF503" si="475">(BD479/BA479)-1</f>
        <v>-0.34715762273901807</v>
      </c>
      <c r="BG479" s="7">
        <f t="shared" ref="BG479:BG503" si="476">BD479/12</f>
        <v>421.08333333333331</v>
      </c>
      <c r="BI479" s="12">
        <f t="shared" ref="BI479:BI503" si="477">+SUM(AA479:AL479)</f>
        <v>9219</v>
      </c>
      <c r="BJ479" s="12">
        <f t="shared" ref="BJ479:BJ503" si="478">+BI479-BD479</f>
        <v>4166</v>
      </c>
      <c r="BK479" s="13">
        <f t="shared" ref="BK479:BK503" si="479">(BI479/BD479)-1</f>
        <v>0.82446071640609531</v>
      </c>
      <c r="BL479" s="24">
        <f t="shared" ref="BL479:BL503" si="480">SUM(AA479:AH479)/8</f>
        <v>1097.5</v>
      </c>
      <c r="BM479" s="24">
        <f t="shared" ref="BM479:BM503" si="481">SUM(AI479:AL479)/4</f>
        <v>109.75</v>
      </c>
      <c r="BO479" s="17">
        <f t="shared" ref="BO479:BO503" si="482">+SUM(AM479:AX479)</f>
        <v>9500</v>
      </c>
      <c r="BP479" s="17">
        <f t="shared" ref="BP479:BP503" si="483">+BO479-BI479</f>
        <v>281</v>
      </c>
      <c r="BQ479" s="18">
        <f t="shared" ref="BQ479:BQ503" si="484">(BO479/BI479)-1</f>
        <v>3.0480529341577078E-2</v>
      </c>
      <c r="BR479" s="25">
        <f t="shared" ref="BR479:BR503" si="485">BO479/12</f>
        <v>791.66666666666663</v>
      </c>
    </row>
    <row r="480" spans="1:70">
      <c r="A480" t="s">
        <v>720</v>
      </c>
      <c r="B480">
        <v>400065</v>
      </c>
      <c r="C480" s="1">
        <v>0</v>
      </c>
      <c r="D480" s="1">
        <v>0</v>
      </c>
      <c r="E480" s="1">
        <v>50000</v>
      </c>
      <c r="F480" s="1">
        <v>0</v>
      </c>
      <c r="G480" s="1">
        <v>0</v>
      </c>
      <c r="H480" s="1">
        <v>0</v>
      </c>
      <c r="I480" s="1">
        <v>0</v>
      </c>
      <c r="J480" s="1">
        <v>62000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/>
      <c r="BA480" s="21">
        <f t="shared" si="471"/>
        <v>112000</v>
      </c>
      <c r="BB480" s="22">
        <f t="shared" si="472"/>
        <v>9333.3333333333339</v>
      </c>
      <c r="BD480" s="7">
        <f t="shared" si="473"/>
        <v>0</v>
      </c>
      <c r="BE480" s="7">
        <f t="shared" si="474"/>
        <v>-112000</v>
      </c>
      <c r="BF480" s="8">
        <f t="shared" si="475"/>
        <v>-1</v>
      </c>
      <c r="BG480" s="7">
        <f t="shared" si="476"/>
        <v>0</v>
      </c>
      <c r="BI480" s="12">
        <f t="shared" si="477"/>
        <v>0</v>
      </c>
      <c r="BJ480" s="12">
        <f t="shared" si="478"/>
        <v>0</v>
      </c>
      <c r="BK480" s="13" t="e">
        <f t="shared" si="479"/>
        <v>#DIV/0!</v>
      </c>
      <c r="BL480" s="24">
        <f t="shared" si="480"/>
        <v>0</v>
      </c>
      <c r="BM480" s="24">
        <f t="shared" si="481"/>
        <v>0</v>
      </c>
      <c r="BO480" s="17">
        <f t="shared" si="482"/>
        <v>0</v>
      </c>
      <c r="BP480" s="17">
        <f t="shared" si="483"/>
        <v>0</v>
      </c>
      <c r="BQ480" s="18" t="e">
        <f t="shared" si="484"/>
        <v>#DIV/0!</v>
      </c>
      <c r="BR480" s="25">
        <f t="shared" si="485"/>
        <v>0</v>
      </c>
    </row>
    <row r="481" spans="1:70">
      <c r="A481" t="s">
        <v>721</v>
      </c>
      <c r="B481">
        <v>400070</v>
      </c>
      <c r="C481" s="1">
        <v>1079</v>
      </c>
      <c r="D481" s="1">
        <v>1191</v>
      </c>
      <c r="E481" s="1">
        <v>1034</v>
      </c>
      <c r="F481" s="1">
        <v>997</v>
      </c>
      <c r="G481" s="1">
        <v>997</v>
      </c>
      <c r="H481" s="1">
        <v>885</v>
      </c>
      <c r="I481" s="1">
        <v>997</v>
      </c>
      <c r="J481" s="1">
        <v>1130</v>
      </c>
      <c r="K481" s="1">
        <v>1023</v>
      </c>
      <c r="L481" s="1">
        <v>0</v>
      </c>
      <c r="M481" s="1">
        <v>-3070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26</v>
      </c>
      <c r="Y481" s="1">
        <v>0</v>
      </c>
      <c r="Z481" s="1">
        <v>0</v>
      </c>
      <c r="AA481" s="1">
        <v>330</v>
      </c>
      <c r="AB481" s="1">
        <v>0</v>
      </c>
      <c r="AC481" s="1">
        <v>0</v>
      </c>
      <c r="AD481" s="1">
        <v>0</v>
      </c>
      <c r="AE481" s="1">
        <v>34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/>
      <c r="BA481" s="21">
        <f t="shared" si="471"/>
        <v>6263</v>
      </c>
      <c r="BB481" s="22">
        <f t="shared" si="472"/>
        <v>521.91666666666663</v>
      </c>
      <c r="BD481" s="7">
        <f t="shared" si="473"/>
        <v>26</v>
      </c>
      <c r="BE481" s="7">
        <f t="shared" si="474"/>
        <v>-6237</v>
      </c>
      <c r="BF481" s="8">
        <f t="shared" si="475"/>
        <v>-0.99584863483953379</v>
      </c>
      <c r="BG481" s="7">
        <f t="shared" si="476"/>
        <v>2.1666666666666665</v>
      </c>
      <c r="BI481" s="12">
        <f t="shared" si="477"/>
        <v>364</v>
      </c>
      <c r="BJ481" s="12">
        <f t="shared" si="478"/>
        <v>338</v>
      </c>
      <c r="BK481" s="13">
        <f t="shared" si="479"/>
        <v>13</v>
      </c>
      <c r="BL481" s="24">
        <f t="shared" si="480"/>
        <v>45.5</v>
      </c>
      <c r="BM481" s="24">
        <f t="shared" si="481"/>
        <v>0</v>
      </c>
      <c r="BO481" s="17">
        <f t="shared" si="482"/>
        <v>0</v>
      </c>
      <c r="BP481" s="17">
        <f t="shared" si="483"/>
        <v>-364</v>
      </c>
      <c r="BQ481" s="18">
        <f t="shared" si="484"/>
        <v>-1</v>
      </c>
      <c r="BR481" s="25">
        <f t="shared" si="485"/>
        <v>0</v>
      </c>
    </row>
    <row r="482" spans="1:70">
      <c r="A482" t="s">
        <v>722</v>
      </c>
      <c r="B482">
        <v>400075</v>
      </c>
      <c r="C482" s="1">
        <v>36602</v>
      </c>
      <c r="D482" s="1">
        <v>39191</v>
      </c>
      <c r="E482" s="1">
        <v>34038</v>
      </c>
      <c r="F482" s="1">
        <v>33867</v>
      </c>
      <c r="G482" s="1">
        <v>39371</v>
      </c>
      <c r="H482" s="1">
        <v>35010</v>
      </c>
      <c r="I482" s="1">
        <v>36391</v>
      </c>
      <c r="J482" s="1">
        <v>53136</v>
      </c>
      <c r="K482" s="1">
        <v>30286</v>
      </c>
      <c r="L482" s="1">
        <v>35322</v>
      </c>
      <c r="M482" s="1">
        <v>35458</v>
      </c>
      <c r="N482" s="1">
        <v>27847</v>
      </c>
      <c r="O482" s="1">
        <v>43388</v>
      </c>
      <c r="P482" s="1">
        <v>39149</v>
      </c>
      <c r="Q482" s="1">
        <v>25063</v>
      </c>
      <c r="R482" s="1">
        <v>38806</v>
      </c>
      <c r="S482" s="1">
        <v>43513</v>
      </c>
      <c r="T482" s="1">
        <v>37391</v>
      </c>
      <c r="U482" s="1">
        <v>42930</v>
      </c>
      <c r="V482" s="1">
        <v>39304</v>
      </c>
      <c r="W482" s="1">
        <v>38763</v>
      </c>
      <c r="X482" s="1">
        <v>43258</v>
      </c>
      <c r="Y482" s="1">
        <v>39420</v>
      </c>
      <c r="Z482" s="1">
        <v>52657</v>
      </c>
      <c r="AA482" s="1">
        <v>44926</v>
      </c>
      <c r="AB482" s="1">
        <v>38667</v>
      </c>
      <c r="AC482" s="1">
        <v>38880</v>
      </c>
      <c r="AD482" s="1">
        <v>-11091</v>
      </c>
      <c r="AE482" s="1">
        <v>60597</v>
      </c>
      <c r="AF482" s="1">
        <v>42840</v>
      </c>
      <c r="AG482" s="1">
        <v>45954</v>
      </c>
      <c r="AH482" s="1">
        <v>42285</v>
      </c>
      <c r="AI482" s="1">
        <v>-5877</v>
      </c>
      <c r="AJ482" s="1">
        <v>55567</v>
      </c>
      <c r="AK482" s="1">
        <v>55962</v>
      </c>
      <c r="AL482" s="1">
        <v>48662</v>
      </c>
      <c r="AM482" s="1">
        <v>46000</v>
      </c>
      <c r="AN482" s="1">
        <v>46000</v>
      </c>
      <c r="AO482" s="1">
        <v>46000</v>
      </c>
      <c r="AP482" s="1">
        <v>46000</v>
      </c>
      <c r="AQ482" s="1">
        <v>46000</v>
      </c>
      <c r="AR482" s="1">
        <v>46000</v>
      </c>
      <c r="AS482" s="1">
        <v>46000</v>
      </c>
      <c r="AT482" s="1">
        <v>46000</v>
      </c>
      <c r="AU482" s="1">
        <v>46000</v>
      </c>
      <c r="AV482" s="1">
        <v>46000</v>
      </c>
      <c r="AW482" s="1">
        <v>46000</v>
      </c>
      <c r="AX482" s="1">
        <v>46000</v>
      </c>
      <c r="AY482" s="1"/>
      <c r="BA482" s="21">
        <f t="shared" si="471"/>
        <v>436519</v>
      </c>
      <c r="BB482" s="22">
        <f t="shared" si="472"/>
        <v>36376.583333333336</v>
      </c>
      <c r="BD482" s="7">
        <f t="shared" si="473"/>
        <v>483642</v>
      </c>
      <c r="BE482" s="7">
        <f t="shared" si="474"/>
        <v>47123</v>
      </c>
      <c r="BF482" s="8">
        <f t="shared" si="475"/>
        <v>0.10795177300415326</v>
      </c>
      <c r="BG482" s="7">
        <f t="shared" si="476"/>
        <v>40303.5</v>
      </c>
      <c r="BI482" s="12">
        <f t="shared" si="477"/>
        <v>457372</v>
      </c>
      <c r="BJ482" s="12">
        <f t="shared" si="478"/>
        <v>-26270</v>
      </c>
      <c r="BK482" s="13">
        <f t="shared" si="479"/>
        <v>-5.4317036154841847E-2</v>
      </c>
      <c r="BL482" s="24">
        <f t="shared" si="480"/>
        <v>37882.25</v>
      </c>
      <c r="BM482" s="24">
        <f t="shared" si="481"/>
        <v>38578.5</v>
      </c>
      <c r="BO482" s="17">
        <f t="shared" si="482"/>
        <v>552000</v>
      </c>
      <c r="BP482" s="17">
        <f t="shared" si="483"/>
        <v>94628</v>
      </c>
      <c r="BQ482" s="18">
        <f t="shared" si="484"/>
        <v>0.2068950438592656</v>
      </c>
      <c r="BR482" s="25">
        <f t="shared" si="485"/>
        <v>46000</v>
      </c>
    </row>
    <row r="483" spans="1:70">
      <c r="A483" t="s">
        <v>723</v>
      </c>
      <c r="B483">
        <v>400080</v>
      </c>
      <c r="C483" s="1">
        <v>56227</v>
      </c>
      <c r="D483" s="1">
        <v>61797</v>
      </c>
      <c r="E483" s="1">
        <v>58872</v>
      </c>
      <c r="F483" s="1">
        <v>55665</v>
      </c>
      <c r="G483" s="1">
        <v>64164</v>
      </c>
      <c r="H483" s="1">
        <v>57536</v>
      </c>
      <c r="I483" s="1">
        <v>59559</v>
      </c>
      <c r="J483" s="1">
        <v>65205</v>
      </c>
      <c r="K483" s="1">
        <v>53141</v>
      </c>
      <c r="L483" s="1">
        <v>59988</v>
      </c>
      <c r="M483" s="1">
        <v>62068</v>
      </c>
      <c r="N483" s="1">
        <v>55233</v>
      </c>
      <c r="O483" s="1">
        <v>68612</v>
      </c>
      <c r="P483" s="1">
        <v>65462</v>
      </c>
      <c r="Q483" s="1">
        <v>49996</v>
      </c>
      <c r="R483" s="1">
        <v>65527</v>
      </c>
      <c r="S483" s="1">
        <v>72228</v>
      </c>
      <c r="T483" s="1">
        <v>62773</v>
      </c>
      <c r="U483" s="1">
        <v>71599</v>
      </c>
      <c r="V483" s="1">
        <v>69992</v>
      </c>
      <c r="W483" s="1">
        <v>65017</v>
      </c>
      <c r="X483" s="1">
        <v>72529</v>
      </c>
      <c r="Y483" s="1">
        <v>68014</v>
      </c>
      <c r="Z483" s="1">
        <v>64729</v>
      </c>
      <c r="AA483" s="1">
        <v>75171</v>
      </c>
      <c r="AB483" s="1">
        <v>66003</v>
      </c>
      <c r="AC483" s="1">
        <v>67874</v>
      </c>
      <c r="AD483" s="1">
        <v>35603</v>
      </c>
      <c r="AE483" s="1">
        <v>80278</v>
      </c>
      <c r="AF483" s="1">
        <v>72772</v>
      </c>
      <c r="AG483" s="1">
        <v>77741</v>
      </c>
      <c r="AH483" s="1">
        <v>76880</v>
      </c>
      <c r="AI483" s="1">
        <v>-10076</v>
      </c>
      <c r="AJ483" s="1">
        <v>95256</v>
      </c>
      <c r="AK483" s="1">
        <v>95934</v>
      </c>
      <c r="AL483" s="1">
        <v>83421</v>
      </c>
      <c r="AM483" s="1">
        <v>82268</v>
      </c>
      <c r="AN483" s="1">
        <v>82268</v>
      </c>
      <c r="AO483" s="1">
        <v>82268</v>
      </c>
      <c r="AP483" s="1">
        <v>82268</v>
      </c>
      <c r="AQ483" s="1">
        <v>82268</v>
      </c>
      <c r="AR483" s="1">
        <v>82268</v>
      </c>
      <c r="AS483" s="1">
        <v>82268</v>
      </c>
      <c r="AT483" s="1">
        <v>82268</v>
      </c>
      <c r="AU483" s="1">
        <v>82268</v>
      </c>
      <c r="AV483" s="1">
        <v>82268</v>
      </c>
      <c r="AW483" s="1">
        <v>82268</v>
      </c>
      <c r="AX483" s="1">
        <v>82268</v>
      </c>
      <c r="AY483" s="1"/>
      <c r="BA483" s="21">
        <f t="shared" si="471"/>
        <v>709455</v>
      </c>
      <c r="BB483" s="22">
        <f t="shared" si="472"/>
        <v>59121.25</v>
      </c>
      <c r="BD483" s="7">
        <f t="shared" si="473"/>
        <v>796478</v>
      </c>
      <c r="BE483" s="7">
        <f t="shared" si="474"/>
        <v>87023</v>
      </c>
      <c r="BF483" s="8">
        <f t="shared" si="475"/>
        <v>0.12266176149297703</v>
      </c>
      <c r="BG483" s="7">
        <f t="shared" si="476"/>
        <v>66373.166666666672</v>
      </c>
      <c r="BI483" s="12">
        <f t="shared" si="477"/>
        <v>816857</v>
      </c>
      <c r="BJ483" s="12">
        <f t="shared" si="478"/>
        <v>20379</v>
      </c>
      <c r="BK483" s="13">
        <f t="shared" si="479"/>
        <v>2.5586394100025389E-2</v>
      </c>
      <c r="BL483" s="24">
        <f t="shared" si="480"/>
        <v>69040.25</v>
      </c>
      <c r="BM483" s="24">
        <f t="shared" si="481"/>
        <v>66133.75</v>
      </c>
      <c r="BO483" s="17">
        <f t="shared" si="482"/>
        <v>987216</v>
      </c>
      <c r="BP483" s="17">
        <f t="shared" si="483"/>
        <v>170359</v>
      </c>
      <c r="BQ483" s="18">
        <f t="shared" si="484"/>
        <v>0.20855425123369198</v>
      </c>
      <c r="BR483" s="25">
        <f t="shared" si="485"/>
        <v>82268</v>
      </c>
    </row>
    <row r="484" spans="1:70">
      <c r="A484" t="s">
        <v>724</v>
      </c>
      <c r="B484">
        <v>400085</v>
      </c>
      <c r="C484" s="1">
        <v>152098</v>
      </c>
      <c r="D484" s="1">
        <v>155574</v>
      </c>
      <c r="E484" s="1">
        <v>161523</v>
      </c>
      <c r="F484" s="1">
        <v>148599</v>
      </c>
      <c r="G484" s="1">
        <v>152747</v>
      </c>
      <c r="H484" s="1">
        <v>146016</v>
      </c>
      <c r="I484" s="1">
        <v>149182</v>
      </c>
      <c r="J484" s="1">
        <v>164756</v>
      </c>
      <c r="K484" s="1">
        <v>126050</v>
      </c>
      <c r="L484" s="1">
        <v>147386</v>
      </c>
      <c r="M484" s="1">
        <v>150861</v>
      </c>
      <c r="N484" s="1">
        <v>125740</v>
      </c>
      <c r="O484" s="1">
        <v>187394</v>
      </c>
      <c r="P484" s="1">
        <v>167007</v>
      </c>
      <c r="Q484" s="1">
        <v>131447</v>
      </c>
      <c r="R484" s="1">
        <v>170292</v>
      </c>
      <c r="S484" s="1">
        <v>179351</v>
      </c>
      <c r="T484" s="1">
        <v>155580</v>
      </c>
      <c r="U484" s="1">
        <v>167599</v>
      </c>
      <c r="V484" s="1">
        <v>167775</v>
      </c>
      <c r="W484" s="1">
        <v>162835</v>
      </c>
      <c r="X484" s="1">
        <v>179921</v>
      </c>
      <c r="Y484" s="1">
        <v>163028</v>
      </c>
      <c r="Z484" s="1">
        <v>165275</v>
      </c>
      <c r="AA484" s="1">
        <v>185275</v>
      </c>
      <c r="AB484" s="1">
        <v>173323</v>
      </c>
      <c r="AC484" s="1">
        <v>177825</v>
      </c>
      <c r="AD484" s="1">
        <v>77463</v>
      </c>
      <c r="AE484" s="1">
        <v>190208</v>
      </c>
      <c r="AF484" s="1">
        <v>179379</v>
      </c>
      <c r="AG484" s="1">
        <v>195526</v>
      </c>
      <c r="AH484" s="1">
        <v>182009</v>
      </c>
      <c r="AI484" s="1">
        <v>-24462</v>
      </c>
      <c r="AJ484" s="1">
        <v>232264</v>
      </c>
      <c r="AK484" s="1">
        <v>195917</v>
      </c>
      <c r="AL484" s="1">
        <v>222389</v>
      </c>
      <c r="AM484" s="1">
        <v>209410</v>
      </c>
      <c r="AN484" s="1">
        <v>209410</v>
      </c>
      <c r="AO484" s="1">
        <v>209410</v>
      </c>
      <c r="AP484" s="1">
        <v>209410</v>
      </c>
      <c r="AQ484" s="1">
        <v>209410</v>
      </c>
      <c r="AR484" s="1">
        <v>209410</v>
      </c>
      <c r="AS484" s="1">
        <v>209410</v>
      </c>
      <c r="AT484" s="1">
        <v>209410</v>
      </c>
      <c r="AU484" s="1">
        <v>209410</v>
      </c>
      <c r="AV484" s="1">
        <v>209410</v>
      </c>
      <c r="AW484" s="1">
        <v>209410</v>
      </c>
      <c r="AX484" s="1">
        <v>209410</v>
      </c>
      <c r="AY484" s="1"/>
      <c r="BA484" s="21">
        <f t="shared" si="471"/>
        <v>1780532</v>
      </c>
      <c r="BB484" s="22">
        <f t="shared" si="472"/>
        <v>148377.66666666666</v>
      </c>
      <c r="BD484" s="7">
        <f t="shared" si="473"/>
        <v>1997504</v>
      </c>
      <c r="BE484" s="7">
        <f t="shared" si="474"/>
        <v>216972</v>
      </c>
      <c r="BF484" s="8">
        <f t="shared" si="475"/>
        <v>0.12185796155306394</v>
      </c>
      <c r="BG484" s="7">
        <f t="shared" si="476"/>
        <v>166458.66666666666</v>
      </c>
      <c r="BI484" s="12">
        <f t="shared" si="477"/>
        <v>1987116</v>
      </c>
      <c r="BJ484" s="12">
        <f t="shared" si="478"/>
        <v>-10388</v>
      </c>
      <c r="BK484" s="13">
        <f t="shared" si="479"/>
        <v>-5.2004902117842589E-3</v>
      </c>
      <c r="BL484" s="24">
        <f t="shared" si="480"/>
        <v>170126</v>
      </c>
      <c r="BM484" s="24">
        <f t="shared" si="481"/>
        <v>156527</v>
      </c>
      <c r="BO484" s="17">
        <f t="shared" si="482"/>
        <v>2512920</v>
      </c>
      <c r="BP484" s="17">
        <f t="shared" si="483"/>
        <v>525804</v>
      </c>
      <c r="BQ484" s="18">
        <f t="shared" si="484"/>
        <v>0.26460659568943123</v>
      </c>
      <c r="BR484" s="25">
        <f t="shared" si="485"/>
        <v>209410</v>
      </c>
    </row>
    <row r="485" spans="1:70">
      <c r="A485" t="s">
        <v>725</v>
      </c>
      <c r="B485">
        <v>400090</v>
      </c>
      <c r="C485" s="1">
        <v>14287</v>
      </c>
      <c r="D485" s="1">
        <v>14366</v>
      </c>
      <c r="E485" s="1">
        <v>19399</v>
      </c>
      <c r="F485" s="1">
        <v>13138</v>
      </c>
      <c r="G485" s="1">
        <v>12226</v>
      </c>
      <c r="H485" s="1">
        <v>11695</v>
      </c>
      <c r="I485" s="1">
        <v>11760</v>
      </c>
      <c r="J485" s="1">
        <v>10913</v>
      </c>
      <c r="K485" s="1">
        <v>13241</v>
      </c>
      <c r="L485" s="1">
        <v>8589</v>
      </c>
      <c r="M485" s="1">
        <v>8859</v>
      </c>
      <c r="N485" s="1">
        <v>15695</v>
      </c>
      <c r="O485" s="1">
        <v>8844</v>
      </c>
      <c r="P485" s="1">
        <v>14707</v>
      </c>
      <c r="Q485" s="1">
        <v>19146</v>
      </c>
      <c r="R485" s="1">
        <v>13990</v>
      </c>
      <c r="S485" s="1">
        <v>16545</v>
      </c>
      <c r="T485" s="1">
        <v>13668</v>
      </c>
      <c r="U485" s="1">
        <v>12927</v>
      </c>
      <c r="V485" s="1">
        <v>17665</v>
      </c>
      <c r="W485" s="1">
        <v>11228</v>
      </c>
      <c r="X485" s="1">
        <v>10847</v>
      </c>
      <c r="Y485" s="1">
        <v>10769</v>
      </c>
      <c r="Z485" s="1">
        <v>9526</v>
      </c>
      <c r="AA485" s="1">
        <v>26044</v>
      </c>
      <c r="AB485" s="1">
        <v>18418</v>
      </c>
      <c r="AC485" s="1">
        <v>26114</v>
      </c>
      <c r="AD485" s="1">
        <v>19370</v>
      </c>
      <c r="AE485" s="1">
        <v>18743</v>
      </c>
      <c r="AF485" s="1">
        <v>17926</v>
      </c>
      <c r="AG485" s="1">
        <v>16437</v>
      </c>
      <c r="AH485" s="1">
        <v>22500</v>
      </c>
      <c r="AI485" s="1">
        <v>-2277</v>
      </c>
      <c r="AJ485" s="1">
        <v>21486</v>
      </c>
      <c r="AK485" s="1">
        <v>17999</v>
      </c>
      <c r="AL485" s="1">
        <v>20698</v>
      </c>
      <c r="AM485" s="1">
        <v>19799</v>
      </c>
      <c r="AN485" s="1">
        <v>17999</v>
      </c>
      <c r="AO485" s="1">
        <v>19799</v>
      </c>
      <c r="AP485" s="1">
        <v>19799</v>
      </c>
      <c r="AQ485" s="1">
        <v>18899</v>
      </c>
      <c r="AR485" s="1">
        <v>19799</v>
      </c>
      <c r="AS485" s="1">
        <v>20698</v>
      </c>
      <c r="AT485" s="1">
        <v>18899</v>
      </c>
      <c r="AU485" s="1">
        <v>19799</v>
      </c>
      <c r="AV485" s="1">
        <v>19799</v>
      </c>
      <c r="AW485" s="1">
        <v>18899</v>
      </c>
      <c r="AX485" s="1">
        <v>20698</v>
      </c>
      <c r="AY485" s="1"/>
      <c r="BA485" s="21">
        <f t="shared" si="471"/>
        <v>154168</v>
      </c>
      <c r="BB485" s="22">
        <f t="shared" si="472"/>
        <v>12847.333333333334</v>
      </c>
      <c r="BD485" s="7">
        <f t="shared" si="473"/>
        <v>159862</v>
      </c>
      <c r="BE485" s="7">
        <f t="shared" si="474"/>
        <v>5694</v>
      </c>
      <c r="BF485" s="8">
        <f t="shared" si="475"/>
        <v>3.6933734627159875E-2</v>
      </c>
      <c r="BG485" s="7">
        <f t="shared" si="476"/>
        <v>13321.833333333334</v>
      </c>
      <c r="BI485" s="12">
        <f t="shared" si="477"/>
        <v>223458</v>
      </c>
      <c r="BJ485" s="12">
        <f t="shared" si="478"/>
        <v>63596</v>
      </c>
      <c r="BK485" s="13">
        <f t="shared" si="479"/>
        <v>0.3978181181268845</v>
      </c>
      <c r="BL485" s="24">
        <f t="shared" si="480"/>
        <v>20694</v>
      </c>
      <c r="BM485" s="24">
        <f t="shared" si="481"/>
        <v>14476.5</v>
      </c>
      <c r="BO485" s="17">
        <f t="shared" si="482"/>
        <v>234886</v>
      </c>
      <c r="BP485" s="17">
        <f t="shared" si="483"/>
        <v>11428</v>
      </c>
      <c r="BQ485" s="18">
        <f t="shared" si="484"/>
        <v>5.1141601553759575E-2</v>
      </c>
      <c r="BR485" s="25">
        <f t="shared" si="485"/>
        <v>19573.833333333332</v>
      </c>
    </row>
    <row r="486" spans="1:70">
      <c r="A486" t="s">
        <v>726</v>
      </c>
      <c r="B486">
        <v>400095</v>
      </c>
      <c r="C486" s="1">
        <v>3162</v>
      </c>
      <c r="D486" s="1">
        <v>159</v>
      </c>
      <c r="E486" s="1">
        <v>1798</v>
      </c>
      <c r="F486" s="1">
        <v>1350</v>
      </c>
      <c r="G486" s="1">
        <v>1819</v>
      </c>
      <c r="H486" s="1">
        <v>1662</v>
      </c>
      <c r="I486" s="1">
        <v>1309</v>
      </c>
      <c r="J486" s="1">
        <v>4576</v>
      </c>
      <c r="K486" s="1">
        <v>-3118</v>
      </c>
      <c r="L486" s="1">
        <v>569</v>
      </c>
      <c r="M486" s="1">
        <v>-2501</v>
      </c>
      <c r="N486" s="1">
        <v>1865</v>
      </c>
      <c r="O486" s="1">
        <v>-4634</v>
      </c>
      <c r="P486" s="1">
        <v>1928</v>
      </c>
      <c r="Q486" s="1">
        <v>6737</v>
      </c>
      <c r="R486" s="1">
        <v>2059</v>
      </c>
      <c r="S486" s="1">
        <v>1914</v>
      </c>
      <c r="T486" s="1">
        <v>1895</v>
      </c>
      <c r="U486" s="1">
        <v>1777</v>
      </c>
      <c r="V486" s="1">
        <v>1833</v>
      </c>
      <c r="W486" s="1">
        <v>1830</v>
      </c>
      <c r="X486" s="1">
        <v>1939</v>
      </c>
      <c r="Y486" s="1">
        <v>1884</v>
      </c>
      <c r="Z486" s="1">
        <v>2043</v>
      </c>
      <c r="AA486" s="1">
        <v>1867</v>
      </c>
      <c r="AB486" s="1">
        <v>1920</v>
      </c>
      <c r="AC486" s="1">
        <v>2219</v>
      </c>
      <c r="AD486" s="1">
        <v>1992</v>
      </c>
      <c r="AE486" s="1">
        <v>2069</v>
      </c>
      <c r="AF486" s="1">
        <v>2079</v>
      </c>
      <c r="AG486" s="1">
        <v>2027</v>
      </c>
      <c r="AH486" s="1">
        <v>1999</v>
      </c>
      <c r="AI486" s="1">
        <v>-219</v>
      </c>
      <c r="AJ486" s="1">
        <v>1972</v>
      </c>
      <c r="AK486" s="1">
        <v>1900</v>
      </c>
      <c r="AL486" s="1">
        <v>1900</v>
      </c>
      <c r="AM486" s="1">
        <v>2060</v>
      </c>
      <c r="AN486" s="1">
        <v>2060</v>
      </c>
      <c r="AO486" s="1">
        <v>2060</v>
      </c>
      <c r="AP486" s="1">
        <v>2060</v>
      </c>
      <c r="AQ486" s="1">
        <v>2060</v>
      </c>
      <c r="AR486" s="1">
        <v>2060</v>
      </c>
      <c r="AS486" s="1">
        <v>2060</v>
      </c>
      <c r="AT486" s="1">
        <v>2060</v>
      </c>
      <c r="AU486" s="1">
        <v>2060</v>
      </c>
      <c r="AV486" s="1">
        <v>2060</v>
      </c>
      <c r="AW486" s="1">
        <v>2060</v>
      </c>
      <c r="AX486" s="1">
        <v>2063</v>
      </c>
      <c r="AY486" s="1"/>
      <c r="BA486" s="21">
        <f t="shared" si="471"/>
        <v>12650</v>
      </c>
      <c r="BB486" s="22">
        <f t="shared" si="472"/>
        <v>1054.1666666666667</v>
      </c>
      <c r="BD486" s="7">
        <f t="shared" si="473"/>
        <v>21205</v>
      </c>
      <c r="BE486" s="7">
        <f t="shared" si="474"/>
        <v>8555</v>
      </c>
      <c r="BF486" s="8">
        <f t="shared" si="475"/>
        <v>0.67628458498023725</v>
      </c>
      <c r="BG486" s="7">
        <f t="shared" si="476"/>
        <v>1767.0833333333333</v>
      </c>
      <c r="BI486" s="12">
        <f t="shared" si="477"/>
        <v>21725</v>
      </c>
      <c r="BJ486" s="12">
        <f t="shared" si="478"/>
        <v>520</v>
      </c>
      <c r="BK486" s="13">
        <f t="shared" si="479"/>
        <v>2.4522518273991878E-2</v>
      </c>
      <c r="BL486" s="24">
        <f t="shared" si="480"/>
        <v>2021.5</v>
      </c>
      <c r="BM486" s="24">
        <f t="shared" si="481"/>
        <v>1388.25</v>
      </c>
      <c r="BO486" s="17">
        <f t="shared" si="482"/>
        <v>24723</v>
      </c>
      <c r="BP486" s="17">
        <f t="shared" si="483"/>
        <v>2998</v>
      </c>
      <c r="BQ486" s="18">
        <f t="shared" si="484"/>
        <v>0.13799769850402765</v>
      </c>
      <c r="BR486" s="25">
        <f t="shared" si="485"/>
        <v>2060.25</v>
      </c>
    </row>
    <row r="487" spans="1:70">
      <c r="A487" t="s">
        <v>727</v>
      </c>
      <c r="B487">
        <v>400100</v>
      </c>
      <c r="C487" s="1">
        <v>586</v>
      </c>
      <c r="D487" s="1">
        <v>589</v>
      </c>
      <c r="E487" s="1">
        <v>586</v>
      </c>
      <c r="F487" s="1">
        <v>599</v>
      </c>
      <c r="G487" s="1">
        <v>609</v>
      </c>
      <c r="H487" s="1">
        <v>619</v>
      </c>
      <c r="I487" s="1">
        <v>574</v>
      </c>
      <c r="J487" s="1">
        <v>696</v>
      </c>
      <c r="K487" s="1">
        <v>628</v>
      </c>
      <c r="L487" s="1">
        <v>621</v>
      </c>
      <c r="M487" s="1">
        <v>582</v>
      </c>
      <c r="N487" s="1">
        <v>984</v>
      </c>
      <c r="O487" s="1">
        <v>330</v>
      </c>
      <c r="P487" s="1">
        <v>643</v>
      </c>
      <c r="Q487" s="1">
        <v>607</v>
      </c>
      <c r="R487" s="1">
        <v>624</v>
      </c>
      <c r="S487" s="1">
        <v>679</v>
      </c>
      <c r="T487" s="1">
        <v>599</v>
      </c>
      <c r="U487" s="1">
        <v>631</v>
      </c>
      <c r="V487" s="1">
        <v>653</v>
      </c>
      <c r="W487" s="1">
        <v>598</v>
      </c>
      <c r="X487" s="1">
        <v>608</v>
      </c>
      <c r="Y487" s="1">
        <v>661</v>
      </c>
      <c r="Z487" s="1">
        <v>621</v>
      </c>
      <c r="AA487" s="1">
        <v>601</v>
      </c>
      <c r="AB487" s="1">
        <v>655</v>
      </c>
      <c r="AC487" s="1">
        <v>634</v>
      </c>
      <c r="AD487" s="1">
        <v>639</v>
      </c>
      <c r="AE487" s="1">
        <v>642</v>
      </c>
      <c r="AF487" s="1">
        <v>630</v>
      </c>
      <c r="AG487" s="1">
        <v>606</v>
      </c>
      <c r="AH487" s="1">
        <v>636</v>
      </c>
      <c r="AI487" s="1">
        <v>-75</v>
      </c>
      <c r="AJ487" s="1">
        <v>675</v>
      </c>
      <c r="AK487" s="1">
        <v>650</v>
      </c>
      <c r="AL487" s="1">
        <v>650</v>
      </c>
      <c r="AM487" s="1">
        <v>650</v>
      </c>
      <c r="AN487" s="1">
        <v>650</v>
      </c>
      <c r="AO487" s="1">
        <v>650</v>
      </c>
      <c r="AP487" s="1">
        <v>650</v>
      </c>
      <c r="AQ487" s="1">
        <v>650</v>
      </c>
      <c r="AR487" s="1">
        <v>650</v>
      </c>
      <c r="AS487" s="1">
        <v>650</v>
      </c>
      <c r="AT487" s="1">
        <v>650</v>
      </c>
      <c r="AU487" s="1">
        <v>650</v>
      </c>
      <c r="AV487" s="1">
        <v>650</v>
      </c>
      <c r="AW487" s="1">
        <v>650</v>
      </c>
      <c r="AX487" s="1">
        <v>650</v>
      </c>
      <c r="AY487" s="1"/>
      <c r="BA487" s="21">
        <f t="shared" si="471"/>
        <v>7673</v>
      </c>
      <c r="BB487" s="22">
        <f t="shared" si="472"/>
        <v>639.41666666666663</v>
      </c>
      <c r="BD487" s="7">
        <f t="shared" si="473"/>
        <v>7254</v>
      </c>
      <c r="BE487" s="7">
        <f t="shared" si="474"/>
        <v>-419</v>
      </c>
      <c r="BF487" s="8">
        <f t="shared" si="475"/>
        <v>-5.4607063729962158E-2</v>
      </c>
      <c r="BG487" s="7">
        <f t="shared" si="476"/>
        <v>604.5</v>
      </c>
      <c r="BI487" s="12">
        <f t="shared" si="477"/>
        <v>6943</v>
      </c>
      <c r="BJ487" s="12">
        <f t="shared" si="478"/>
        <v>-311</v>
      </c>
      <c r="BK487" s="13">
        <f t="shared" si="479"/>
        <v>-4.2872897711607405E-2</v>
      </c>
      <c r="BL487" s="24">
        <f t="shared" si="480"/>
        <v>630.375</v>
      </c>
      <c r="BM487" s="24">
        <f t="shared" si="481"/>
        <v>475</v>
      </c>
      <c r="BO487" s="17">
        <f t="shared" si="482"/>
        <v>7800</v>
      </c>
      <c r="BP487" s="17">
        <f t="shared" si="483"/>
        <v>857</v>
      </c>
      <c r="BQ487" s="18">
        <f t="shared" si="484"/>
        <v>0.12343367420423457</v>
      </c>
      <c r="BR487" s="25">
        <f t="shared" si="485"/>
        <v>650</v>
      </c>
    </row>
    <row r="488" spans="1:70">
      <c r="A488" t="s">
        <v>728</v>
      </c>
      <c r="B488">
        <v>400101</v>
      </c>
      <c r="C488" s="1">
        <v>607</v>
      </c>
      <c r="D488" s="1">
        <v>610</v>
      </c>
      <c r="E488" s="1">
        <v>612</v>
      </c>
      <c r="F488" s="1">
        <v>624</v>
      </c>
      <c r="G488" s="1">
        <v>633</v>
      </c>
      <c r="H488" s="1">
        <v>631</v>
      </c>
      <c r="I488" s="1">
        <v>644</v>
      </c>
      <c r="J488" s="1">
        <v>650</v>
      </c>
      <c r="K488" s="1">
        <v>644</v>
      </c>
      <c r="L488" s="1">
        <v>647</v>
      </c>
      <c r="M488" s="1">
        <v>654</v>
      </c>
      <c r="N488" s="1">
        <v>-767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/>
      <c r="BA488" s="21">
        <f t="shared" si="471"/>
        <v>6189</v>
      </c>
      <c r="BB488" s="22">
        <f t="shared" si="472"/>
        <v>515.75</v>
      </c>
      <c r="BD488" s="7">
        <f t="shared" si="473"/>
        <v>0</v>
      </c>
      <c r="BE488" s="7">
        <f t="shared" si="474"/>
        <v>-6189</v>
      </c>
      <c r="BF488" s="8">
        <f t="shared" si="475"/>
        <v>-1</v>
      </c>
      <c r="BG488" s="7">
        <f t="shared" si="476"/>
        <v>0</v>
      </c>
      <c r="BI488" s="12">
        <f t="shared" si="477"/>
        <v>0</v>
      </c>
      <c r="BJ488" s="12">
        <f t="shared" si="478"/>
        <v>0</v>
      </c>
      <c r="BK488" s="13" t="e">
        <f t="shared" si="479"/>
        <v>#DIV/0!</v>
      </c>
      <c r="BL488" s="24">
        <f t="shared" si="480"/>
        <v>0</v>
      </c>
      <c r="BM488" s="24">
        <f t="shared" si="481"/>
        <v>0</v>
      </c>
      <c r="BO488" s="17">
        <f t="shared" si="482"/>
        <v>0</v>
      </c>
      <c r="BP488" s="17">
        <f t="shared" si="483"/>
        <v>0</v>
      </c>
      <c r="BQ488" s="18" t="e">
        <f t="shared" si="484"/>
        <v>#DIV/0!</v>
      </c>
      <c r="BR488" s="25">
        <f t="shared" si="485"/>
        <v>0</v>
      </c>
    </row>
    <row r="489" spans="1:70">
      <c r="A489" t="s">
        <v>729</v>
      </c>
      <c r="B489">
        <v>400102</v>
      </c>
      <c r="C489" s="1">
        <v>1583</v>
      </c>
      <c r="D489" s="1">
        <v>1591</v>
      </c>
      <c r="E489" s="1">
        <v>1593</v>
      </c>
      <c r="F489" s="1">
        <v>1626</v>
      </c>
      <c r="G489" s="1">
        <v>1650</v>
      </c>
      <c r="H489" s="1">
        <v>1645</v>
      </c>
      <c r="I489" s="1">
        <v>1677</v>
      </c>
      <c r="J489" s="1">
        <v>1694</v>
      </c>
      <c r="K489" s="1">
        <v>1677</v>
      </c>
      <c r="L489" s="1">
        <v>1686</v>
      </c>
      <c r="M489" s="1">
        <v>1705</v>
      </c>
      <c r="N489" s="1">
        <v>-3325</v>
      </c>
      <c r="O489" s="1">
        <v>862</v>
      </c>
      <c r="P489" s="1">
        <v>2634</v>
      </c>
      <c r="Q489" s="1">
        <v>1783</v>
      </c>
      <c r="R489" s="1">
        <v>1770</v>
      </c>
      <c r="S489" s="1">
        <v>1767</v>
      </c>
      <c r="T489" s="1">
        <v>1759</v>
      </c>
      <c r="U489" s="1">
        <v>1772</v>
      </c>
      <c r="V489" s="1">
        <v>1772</v>
      </c>
      <c r="W489" s="1">
        <v>1762</v>
      </c>
      <c r="X489" s="1">
        <v>1786</v>
      </c>
      <c r="Y489" s="1">
        <v>1791</v>
      </c>
      <c r="Z489" s="1">
        <v>-3922</v>
      </c>
      <c r="AA489" s="1">
        <v>886</v>
      </c>
      <c r="AB489" s="1">
        <v>3</v>
      </c>
      <c r="AC489" s="1">
        <v>8</v>
      </c>
      <c r="AD489" s="1">
        <v>-897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/>
      <c r="BA489" s="21">
        <f t="shared" si="471"/>
        <v>14802</v>
      </c>
      <c r="BB489" s="22">
        <f t="shared" si="472"/>
        <v>1233.5</v>
      </c>
      <c r="BD489" s="7">
        <f t="shared" si="473"/>
        <v>15536</v>
      </c>
      <c r="BE489" s="7">
        <f t="shared" si="474"/>
        <v>734</v>
      </c>
      <c r="BF489" s="8">
        <f t="shared" si="475"/>
        <v>4.9587893527901716E-2</v>
      </c>
      <c r="BG489" s="7">
        <f t="shared" si="476"/>
        <v>1294.6666666666667</v>
      </c>
      <c r="BI489" s="12">
        <f t="shared" si="477"/>
        <v>0</v>
      </c>
      <c r="BJ489" s="12">
        <f t="shared" si="478"/>
        <v>-15536</v>
      </c>
      <c r="BK489" s="13">
        <f t="shared" si="479"/>
        <v>-1</v>
      </c>
      <c r="BL489" s="24">
        <f t="shared" si="480"/>
        <v>0</v>
      </c>
      <c r="BM489" s="24">
        <f t="shared" si="481"/>
        <v>0</v>
      </c>
      <c r="BO489" s="17">
        <f t="shared" si="482"/>
        <v>0</v>
      </c>
      <c r="BP489" s="17">
        <f t="shared" si="483"/>
        <v>0</v>
      </c>
      <c r="BQ489" s="18" t="e">
        <f t="shared" si="484"/>
        <v>#DIV/0!</v>
      </c>
      <c r="BR489" s="25">
        <f t="shared" si="485"/>
        <v>0</v>
      </c>
    </row>
    <row r="490" spans="1:70">
      <c r="A490" t="s">
        <v>730</v>
      </c>
      <c r="B490">
        <v>400105</v>
      </c>
      <c r="C490" s="1">
        <v>336270</v>
      </c>
      <c r="D490" s="1">
        <v>278389</v>
      </c>
      <c r="E490" s="1">
        <v>252696</v>
      </c>
      <c r="F490" s="1">
        <v>180447</v>
      </c>
      <c r="G490" s="1">
        <v>380359</v>
      </c>
      <c r="H490" s="1">
        <v>315378</v>
      </c>
      <c r="I490" s="1">
        <v>189753</v>
      </c>
      <c r="J490" s="1">
        <v>244471</v>
      </c>
      <c r="K490" s="1">
        <v>222215</v>
      </c>
      <c r="L490" s="1">
        <v>323545</v>
      </c>
      <c r="M490" s="1">
        <v>395679</v>
      </c>
      <c r="N490" s="1">
        <v>352660</v>
      </c>
      <c r="O490" s="1">
        <v>309088</v>
      </c>
      <c r="P490" s="1">
        <v>376581</v>
      </c>
      <c r="Q490" s="1">
        <v>250233</v>
      </c>
      <c r="R490" s="1">
        <v>599068</v>
      </c>
      <c r="S490" s="1">
        <v>359124</v>
      </c>
      <c r="T490" s="1">
        <v>353372</v>
      </c>
      <c r="U490" s="1">
        <v>441984</v>
      </c>
      <c r="V490" s="1">
        <v>291514</v>
      </c>
      <c r="W490" s="1">
        <v>170519</v>
      </c>
      <c r="X490" s="1">
        <v>368757</v>
      </c>
      <c r="Y490" s="1">
        <v>417230</v>
      </c>
      <c r="Z490" s="1">
        <v>327734</v>
      </c>
      <c r="AA490" s="1">
        <v>446994</v>
      </c>
      <c r="AB490" s="1">
        <v>368129</v>
      </c>
      <c r="AC490" s="1">
        <v>348349</v>
      </c>
      <c r="AD490" s="1">
        <v>377426</v>
      </c>
      <c r="AE490" s="1">
        <v>458187</v>
      </c>
      <c r="AF490" s="1">
        <v>432661</v>
      </c>
      <c r="AG490" s="1">
        <v>1000768</v>
      </c>
      <c r="AH490" s="1">
        <v>-40009</v>
      </c>
      <c r="AI490" s="1">
        <v>-46011</v>
      </c>
      <c r="AJ490" s="1">
        <v>415228</v>
      </c>
      <c r="AK490" s="1">
        <v>400000</v>
      </c>
      <c r="AL490" s="1">
        <v>400000</v>
      </c>
      <c r="AM490" s="1">
        <v>416667</v>
      </c>
      <c r="AN490" s="1">
        <v>416667</v>
      </c>
      <c r="AO490" s="1">
        <v>416667</v>
      </c>
      <c r="AP490" s="1">
        <v>416667</v>
      </c>
      <c r="AQ490" s="1">
        <v>416667</v>
      </c>
      <c r="AR490" s="1">
        <v>416667</v>
      </c>
      <c r="AS490" s="1">
        <v>416667</v>
      </c>
      <c r="AT490" s="1">
        <v>416667</v>
      </c>
      <c r="AU490" s="1">
        <v>416667</v>
      </c>
      <c r="AV490" s="1">
        <v>416667</v>
      </c>
      <c r="AW490" s="1">
        <v>416667</v>
      </c>
      <c r="AX490" s="1">
        <v>416667</v>
      </c>
      <c r="AY490" s="1"/>
      <c r="BA490" s="21">
        <f t="shared" si="471"/>
        <v>3471862</v>
      </c>
      <c r="BB490" s="22">
        <f t="shared" si="472"/>
        <v>289321.83333333331</v>
      </c>
      <c r="BD490" s="7">
        <f t="shared" si="473"/>
        <v>4265204</v>
      </c>
      <c r="BE490" s="7">
        <f t="shared" si="474"/>
        <v>793342</v>
      </c>
      <c r="BF490" s="8">
        <f t="shared" si="475"/>
        <v>0.22850620214743556</v>
      </c>
      <c r="BG490" s="7">
        <f t="shared" si="476"/>
        <v>355433.66666666669</v>
      </c>
      <c r="BI490" s="12">
        <f t="shared" si="477"/>
        <v>4561722</v>
      </c>
      <c r="BJ490" s="12">
        <f t="shared" si="478"/>
        <v>296518</v>
      </c>
      <c r="BK490" s="13">
        <f t="shared" si="479"/>
        <v>6.9520238656814559E-2</v>
      </c>
      <c r="BL490" s="24">
        <f t="shared" si="480"/>
        <v>424063.125</v>
      </c>
      <c r="BM490" s="24">
        <f t="shared" si="481"/>
        <v>292304.25</v>
      </c>
      <c r="BO490" s="17">
        <f t="shared" si="482"/>
        <v>5000004</v>
      </c>
      <c r="BP490" s="17">
        <f t="shared" si="483"/>
        <v>438282</v>
      </c>
      <c r="BQ490" s="18">
        <f t="shared" si="484"/>
        <v>9.60781915250426E-2</v>
      </c>
      <c r="BR490" s="25">
        <f t="shared" si="485"/>
        <v>416667</v>
      </c>
    </row>
    <row r="491" spans="1:70">
      <c r="A491" t="s">
        <v>731</v>
      </c>
      <c r="B491">
        <v>400107</v>
      </c>
      <c r="C491" s="1">
        <v>13026</v>
      </c>
      <c r="D491" s="1">
        <v>12643</v>
      </c>
      <c r="E491" s="1">
        <v>12991</v>
      </c>
      <c r="F491" s="1">
        <v>13064</v>
      </c>
      <c r="G491" s="1">
        <v>13328</v>
      </c>
      <c r="H491" s="1">
        <v>13116</v>
      </c>
      <c r="I491" s="1">
        <v>13481</v>
      </c>
      <c r="J491" s="1">
        <v>15314</v>
      </c>
      <c r="K491" s="1">
        <v>14353</v>
      </c>
      <c r="L491" s="1">
        <v>14401</v>
      </c>
      <c r="M491" s="1">
        <v>14391</v>
      </c>
      <c r="N491" s="1">
        <v>21123</v>
      </c>
      <c r="O491" s="1">
        <v>6935</v>
      </c>
      <c r="P491" s="1">
        <v>13925</v>
      </c>
      <c r="Q491" s="1">
        <v>18019</v>
      </c>
      <c r="R491" s="1">
        <v>13554</v>
      </c>
      <c r="S491" s="1">
        <v>14672</v>
      </c>
      <c r="T491" s="1">
        <v>14430</v>
      </c>
      <c r="U491" s="1">
        <v>14321</v>
      </c>
      <c r="V491" s="1">
        <v>14189</v>
      </c>
      <c r="W491" s="1">
        <v>14996</v>
      </c>
      <c r="X491" s="1">
        <v>14769</v>
      </c>
      <c r="Y491" s="1">
        <v>15265</v>
      </c>
      <c r="Z491" s="1">
        <v>15076</v>
      </c>
      <c r="AA491" s="1">
        <v>14142</v>
      </c>
      <c r="AB491" s="1">
        <v>17705</v>
      </c>
      <c r="AC491" s="1">
        <v>14078</v>
      </c>
      <c r="AD491" s="1">
        <v>16199</v>
      </c>
      <c r="AE491" s="1">
        <v>13763</v>
      </c>
      <c r="AF491" s="1">
        <v>16194</v>
      </c>
      <c r="AG491" s="1">
        <v>16192</v>
      </c>
      <c r="AH491" s="1">
        <v>14809</v>
      </c>
      <c r="AI491" s="1">
        <v>-1725</v>
      </c>
      <c r="AJ491" s="1">
        <v>15571</v>
      </c>
      <c r="AK491" s="1">
        <v>15000</v>
      </c>
      <c r="AL491" s="1">
        <v>15000</v>
      </c>
      <c r="AM491" s="1">
        <v>14427</v>
      </c>
      <c r="AN491" s="1">
        <v>14427</v>
      </c>
      <c r="AO491" s="1">
        <v>14427</v>
      </c>
      <c r="AP491" s="1">
        <v>14427</v>
      </c>
      <c r="AQ491" s="1">
        <v>14427</v>
      </c>
      <c r="AR491" s="1">
        <v>14427</v>
      </c>
      <c r="AS491" s="1">
        <v>14427</v>
      </c>
      <c r="AT491" s="1">
        <v>14427</v>
      </c>
      <c r="AU491" s="1">
        <v>14427</v>
      </c>
      <c r="AV491" s="1">
        <v>14427</v>
      </c>
      <c r="AW491" s="1">
        <v>14427</v>
      </c>
      <c r="AX491" s="1">
        <v>14428</v>
      </c>
      <c r="AY491" s="1"/>
      <c r="BA491" s="21">
        <f t="shared" si="471"/>
        <v>171231</v>
      </c>
      <c r="BB491" s="22">
        <f t="shared" si="472"/>
        <v>14269.25</v>
      </c>
      <c r="BD491" s="7">
        <f t="shared" si="473"/>
        <v>170151</v>
      </c>
      <c r="BE491" s="7">
        <f t="shared" si="474"/>
        <v>-1080</v>
      </c>
      <c r="BF491" s="8">
        <f t="shared" si="475"/>
        <v>-6.3072691276696569E-3</v>
      </c>
      <c r="BG491" s="7">
        <f t="shared" si="476"/>
        <v>14179.25</v>
      </c>
      <c r="BI491" s="12">
        <f t="shared" si="477"/>
        <v>166928</v>
      </c>
      <c r="BJ491" s="12">
        <f t="shared" si="478"/>
        <v>-3223</v>
      </c>
      <c r="BK491" s="13">
        <f t="shared" si="479"/>
        <v>-1.8941998577733932E-2</v>
      </c>
      <c r="BL491" s="24">
        <f t="shared" si="480"/>
        <v>15385.25</v>
      </c>
      <c r="BM491" s="24">
        <f t="shared" si="481"/>
        <v>10961.5</v>
      </c>
      <c r="BO491" s="17">
        <f t="shared" si="482"/>
        <v>173125</v>
      </c>
      <c r="BP491" s="17">
        <f t="shared" si="483"/>
        <v>6197</v>
      </c>
      <c r="BQ491" s="18">
        <f t="shared" si="484"/>
        <v>3.7123789897440806E-2</v>
      </c>
      <c r="BR491" s="25">
        <f t="shared" si="485"/>
        <v>14427.083333333334</v>
      </c>
    </row>
    <row r="492" spans="1:70">
      <c r="A492" t="s">
        <v>732</v>
      </c>
      <c r="B492">
        <v>400110</v>
      </c>
      <c r="C492" s="1">
        <v>5828</v>
      </c>
      <c r="D492" s="1">
        <v>8781</v>
      </c>
      <c r="E492" s="1">
        <v>13392</v>
      </c>
      <c r="F492" s="1">
        <v>9601</v>
      </c>
      <c r="G492" s="1">
        <v>9609</v>
      </c>
      <c r="H492" s="1">
        <v>9045</v>
      </c>
      <c r="I492" s="1">
        <v>8470</v>
      </c>
      <c r="J492" s="1">
        <v>9660</v>
      </c>
      <c r="K492" s="1">
        <v>13906</v>
      </c>
      <c r="L492" s="1">
        <v>9563</v>
      </c>
      <c r="M492" s="1">
        <v>9749</v>
      </c>
      <c r="N492" s="1">
        <v>13122</v>
      </c>
      <c r="O492" s="1">
        <v>4790</v>
      </c>
      <c r="P492" s="1">
        <v>9640</v>
      </c>
      <c r="Q492" s="1">
        <v>14770</v>
      </c>
      <c r="R492" s="1">
        <v>12478</v>
      </c>
      <c r="S492" s="1">
        <v>10173</v>
      </c>
      <c r="T492" s="1">
        <v>9338</v>
      </c>
      <c r="U492" s="1">
        <v>11032</v>
      </c>
      <c r="V492" s="1">
        <v>14701</v>
      </c>
      <c r="W492" s="1">
        <v>9277</v>
      </c>
      <c r="X492" s="1">
        <v>9469</v>
      </c>
      <c r="Y492" s="1">
        <v>9636</v>
      </c>
      <c r="Z492" s="1">
        <v>9510</v>
      </c>
      <c r="AA492" s="1">
        <v>15208</v>
      </c>
      <c r="AB492" s="1">
        <v>9625</v>
      </c>
      <c r="AC492" s="1">
        <v>10268</v>
      </c>
      <c r="AD492" s="1">
        <v>15473</v>
      </c>
      <c r="AE492" s="1">
        <v>10532</v>
      </c>
      <c r="AF492" s="1">
        <v>9971</v>
      </c>
      <c r="AG492" s="1">
        <v>14005</v>
      </c>
      <c r="AH492" s="1">
        <v>15488</v>
      </c>
      <c r="AI492" s="1">
        <v>-1654</v>
      </c>
      <c r="AJ492" s="1">
        <v>15602</v>
      </c>
      <c r="AK492" s="1">
        <v>13069</v>
      </c>
      <c r="AL492" s="1">
        <v>15030</v>
      </c>
      <c r="AM492" s="1">
        <v>14376</v>
      </c>
      <c r="AN492" s="1">
        <v>13069</v>
      </c>
      <c r="AO492" s="1">
        <v>14376</v>
      </c>
      <c r="AP492" s="1">
        <v>14376</v>
      </c>
      <c r="AQ492" s="1">
        <v>13723</v>
      </c>
      <c r="AR492" s="1">
        <v>14376</v>
      </c>
      <c r="AS492" s="1">
        <v>15030</v>
      </c>
      <c r="AT492" s="1">
        <v>13723</v>
      </c>
      <c r="AU492" s="1">
        <v>14376</v>
      </c>
      <c r="AV492" s="1">
        <v>14376</v>
      </c>
      <c r="AW492" s="1">
        <v>13723</v>
      </c>
      <c r="AX492" s="1">
        <v>14376</v>
      </c>
      <c r="AY492" s="1"/>
      <c r="BA492" s="21">
        <f t="shared" si="471"/>
        <v>120726</v>
      </c>
      <c r="BB492" s="22">
        <f t="shared" si="472"/>
        <v>10060.5</v>
      </c>
      <c r="BD492" s="7">
        <f t="shared" si="473"/>
        <v>124814</v>
      </c>
      <c r="BE492" s="7">
        <f t="shared" si="474"/>
        <v>4088</v>
      </c>
      <c r="BF492" s="8">
        <f t="shared" si="475"/>
        <v>3.3861802759968862E-2</v>
      </c>
      <c r="BG492" s="7">
        <f t="shared" si="476"/>
        <v>10401.166666666666</v>
      </c>
      <c r="BI492" s="12">
        <f t="shared" si="477"/>
        <v>142617</v>
      </c>
      <c r="BJ492" s="12">
        <f t="shared" si="478"/>
        <v>17803</v>
      </c>
      <c r="BK492" s="13">
        <f t="shared" si="479"/>
        <v>0.14263624272918096</v>
      </c>
      <c r="BL492" s="24">
        <f t="shared" si="480"/>
        <v>12571.25</v>
      </c>
      <c r="BM492" s="24">
        <f t="shared" si="481"/>
        <v>10511.75</v>
      </c>
      <c r="BO492" s="17">
        <f t="shared" si="482"/>
        <v>169900</v>
      </c>
      <c r="BP492" s="17">
        <f t="shared" si="483"/>
        <v>27283</v>
      </c>
      <c r="BQ492" s="18">
        <f t="shared" si="484"/>
        <v>0.19130257963636876</v>
      </c>
      <c r="BR492" s="25">
        <f t="shared" si="485"/>
        <v>14158.333333333334</v>
      </c>
    </row>
    <row r="493" spans="1:70">
      <c r="A493" t="s">
        <v>733</v>
      </c>
      <c r="B493">
        <v>400111</v>
      </c>
      <c r="C493" s="1">
        <v>14281</v>
      </c>
      <c r="D493" s="1">
        <v>15713</v>
      </c>
      <c r="E493" s="1">
        <v>20652</v>
      </c>
      <c r="F493" s="1">
        <v>14397</v>
      </c>
      <c r="G493" s="1">
        <v>13817</v>
      </c>
      <c r="H493" s="1">
        <v>13827</v>
      </c>
      <c r="I493" s="1">
        <v>14542</v>
      </c>
      <c r="J493" s="1">
        <v>14431</v>
      </c>
      <c r="K493" s="1">
        <v>19813</v>
      </c>
      <c r="L493" s="1">
        <v>13385</v>
      </c>
      <c r="M493" s="1">
        <v>13259</v>
      </c>
      <c r="N493" s="1">
        <v>20601</v>
      </c>
      <c r="O493" s="1">
        <v>8082</v>
      </c>
      <c r="P493" s="1">
        <v>15457</v>
      </c>
      <c r="Q493" s="1">
        <v>18996</v>
      </c>
      <c r="R493" s="1">
        <v>7929</v>
      </c>
      <c r="S493" s="1">
        <v>18705</v>
      </c>
      <c r="T493" s="1">
        <v>8559</v>
      </c>
      <c r="U493" s="1">
        <v>8662</v>
      </c>
      <c r="V493" s="1">
        <v>12231</v>
      </c>
      <c r="W493" s="1">
        <v>28674</v>
      </c>
      <c r="X493" s="1">
        <v>40389</v>
      </c>
      <c r="Y493" s="1">
        <v>14837</v>
      </c>
      <c r="Z493" s="1">
        <v>14386</v>
      </c>
      <c r="AA493" s="1">
        <v>12040</v>
      </c>
      <c r="AB493" s="1">
        <v>21310</v>
      </c>
      <c r="AC493" s="1">
        <v>20603</v>
      </c>
      <c r="AD493" s="1">
        <v>-42504</v>
      </c>
      <c r="AE493" s="1">
        <v>96123</v>
      </c>
      <c r="AF493" s="1">
        <v>21159</v>
      </c>
      <c r="AG493" s="1">
        <v>20864</v>
      </c>
      <c r="AH493" s="1">
        <v>30326</v>
      </c>
      <c r="AI493" s="1">
        <v>-1970</v>
      </c>
      <c r="AJ493" s="1">
        <v>19464</v>
      </c>
      <c r="AK493" s="1">
        <v>17109</v>
      </c>
      <c r="AL493" s="1">
        <v>17940</v>
      </c>
      <c r="AM493" s="1">
        <v>16018</v>
      </c>
      <c r="AN493" s="1">
        <v>14561</v>
      </c>
      <c r="AO493" s="1">
        <v>16018</v>
      </c>
      <c r="AP493" s="1">
        <v>16018</v>
      </c>
      <c r="AQ493" s="1">
        <v>15290</v>
      </c>
      <c r="AR493" s="1">
        <v>16018</v>
      </c>
      <c r="AS493" s="1">
        <v>16746</v>
      </c>
      <c r="AT493" s="1">
        <v>15290</v>
      </c>
      <c r="AU493" s="1">
        <v>16018</v>
      </c>
      <c r="AV493" s="1">
        <v>16018</v>
      </c>
      <c r="AW493" s="1">
        <v>15290</v>
      </c>
      <c r="AX493" s="1">
        <v>16018</v>
      </c>
      <c r="AY493" s="1"/>
      <c r="BA493" s="21">
        <f t="shared" si="471"/>
        <v>188718</v>
      </c>
      <c r="BB493" s="22">
        <f t="shared" si="472"/>
        <v>15726.5</v>
      </c>
      <c r="BD493" s="7">
        <f t="shared" si="473"/>
        <v>196907</v>
      </c>
      <c r="BE493" s="7">
        <f t="shared" si="474"/>
        <v>8189</v>
      </c>
      <c r="BF493" s="8">
        <f t="shared" si="475"/>
        <v>4.3392787121525167E-2</v>
      </c>
      <c r="BG493" s="7">
        <f t="shared" si="476"/>
        <v>16408.916666666668</v>
      </c>
      <c r="BI493" s="12">
        <f t="shared" si="477"/>
        <v>232464</v>
      </c>
      <c r="BJ493" s="12">
        <f t="shared" si="478"/>
        <v>35557</v>
      </c>
      <c r="BK493" s="13">
        <f t="shared" si="479"/>
        <v>0.18057763309582686</v>
      </c>
      <c r="BL493" s="24">
        <f t="shared" si="480"/>
        <v>22490.125</v>
      </c>
      <c r="BM493" s="24">
        <f t="shared" si="481"/>
        <v>13135.75</v>
      </c>
      <c r="BO493" s="17">
        <f t="shared" si="482"/>
        <v>189303</v>
      </c>
      <c r="BP493" s="17">
        <f t="shared" si="483"/>
        <v>-43161</v>
      </c>
      <c r="BQ493" s="18">
        <f t="shared" si="484"/>
        <v>-0.18566745818707409</v>
      </c>
      <c r="BR493" s="25">
        <f t="shared" si="485"/>
        <v>15775.25</v>
      </c>
    </row>
    <row r="494" spans="1:70">
      <c r="A494" t="s">
        <v>734</v>
      </c>
      <c r="B494">
        <v>400115</v>
      </c>
      <c r="C494" s="1">
        <v>8177</v>
      </c>
      <c r="D494" s="1">
        <v>3818</v>
      </c>
      <c r="E494" s="1">
        <v>1003</v>
      </c>
      <c r="F494" s="1">
        <v>471</v>
      </c>
      <c r="G494" s="1">
        <v>442</v>
      </c>
      <c r="H494" s="1">
        <v>377</v>
      </c>
      <c r="I494" s="1">
        <v>318</v>
      </c>
      <c r="J494" s="1">
        <v>480</v>
      </c>
      <c r="K494" s="1">
        <v>450</v>
      </c>
      <c r="L494" s="1">
        <v>166</v>
      </c>
      <c r="M494" s="1">
        <v>249</v>
      </c>
      <c r="N494" s="1">
        <v>5519</v>
      </c>
      <c r="O494" s="1">
        <v>3993</v>
      </c>
      <c r="P494" s="1">
        <v>4088</v>
      </c>
      <c r="Q494" s="1">
        <v>880</v>
      </c>
      <c r="R494" s="1">
        <v>295</v>
      </c>
      <c r="S494" s="1">
        <v>-2155</v>
      </c>
      <c r="T494" s="1">
        <v>191</v>
      </c>
      <c r="U494" s="1">
        <v>328</v>
      </c>
      <c r="V494" s="1">
        <v>550</v>
      </c>
      <c r="W494" s="1">
        <v>243</v>
      </c>
      <c r="X494" s="1">
        <v>254</v>
      </c>
      <c r="Y494" s="1">
        <v>203</v>
      </c>
      <c r="Z494" s="1">
        <v>183</v>
      </c>
      <c r="AA494" s="1">
        <v>12530</v>
      </c>
      <c r="AB494" s="1">
        <v>1404</v>
      </c>
      <c r="AC494" s="1">
        <v>457</v>
      </c>
      <c r="AD494" s="1">
        <v>452</v>
      </c>
      <c r="AE494" s="1">
        <v>220</v>
      </c>
      <c r="AF494" s="1">
        <v>267</v>
      </c>
      <c r="AG494" s="1">
        <v>135</v>
      </c>
      <c r="AH494" s="1">
        <v>450</v>
      </c>
      <c r="AI494" s="1">
        <v>-46</v>
      </c>
      <c r="AJ494" s="1">
        <v>415</v>
      </c>
      <c r="AK494" s="1">
        <v>400</v>
      </c>
      <c r="AL494" s="1">
        <v>400</v>
      </c>
      <c r="AM494" s="1">
        <v>13156</v>
      </c>
      <c r="AN494" s="1">
        <v>1474</v>
      </c>
      <c r="AO494" s="1">
        <v>480</v>
      </c>
      <c r="AP494" s="1">
        <v>475</v>
      </c>
      <c r="AQ494" s="1">
        <v>231</v>
      </c>
      <c r="AR494" s="1">
        <v>281</v>
      </c>
      <c r="AS494" s="1">
        <v>141</v>
      </c>
      <c r="AT494" s="1">
        <v>472</v>
      </c>
      <c r="AU494" s="1">
        <v>420</v>
      </c>
      <c r="AV494" s="1">
        <v>420</v>
      </c>
      <c r="AW494" s="1">
        <v>420</v>
      </c>
      <c r="AX494" s="1">
        <v>420</v>
      </c>
      <c r="AY494" s="1"/>
      <c r="BA494" s="21">
        <f t="shared" si="471"/>
        <v>21470</v>
      </c>
      <c r="BB494" s="22">
        <f t="shared" si="472"/>
        <v>1789.1666666666667</v>
      </c>
      <c r="BD494" s="7">
        <f t="shared" si="473"/>
        <v>9053</v>
      </c>
      <c r="BE494" s="7">
        <f t="shared" si="474"/>
        <v>-12417</v>
      </c>
      <c r="BF494" s="8">
        <f t="shared" si="475"/>
        <v>-0.57834187238006518</v>
      </c>
      <c r="BG494" s="7">
        <f t="shared" si="476"/>
        <v>754.41666666666663</v>
      </c>
      <c r="BI494" s="12">
        <f t="shared" si="477"/>
        <v>17084</v>
      </c>
      <c r="BJ494" s="12">
        <f t="shared" si="478"/>
        <v>8031</v>
      </c>
      <c r="BK494" s="13">
        <f t="shared" si="479"/>
        <v>0.88710924555395998</v>
      </c>
      <c r="BL494" s="24">
        <f t="shared" si="480"/>
        <v>1989.375</v>
      </c>
      <c r="BM494" s="24">
        <f t="shared" si="481"/>
        <v>292.25</v>
      </c>
      <c r="BO494" s="17">
        <f t="shared" si="482"/>
        <v>18390</v>
      </c>
      <c r="BP494" s="17">
        <f t="shared" si="483"/>
        <v>1306</v>
      </c>
      <c r="BQ494" s="18">
        <f t="shared" si="484"/>
        <v>7.6445797237181035E-2</v>
      </c>
      <c r="BR494" s="25">
        <f t="shared" si="485"/>
        <v>1532.5</v>
      </c>
    </row>
    <row r="495" spans="1:70">
      <c r="A495" t="s">
        <v>735</v>
      </c>
      <c r="B495">
        <v>400120</v>
      </c>
      <c r="C495" s="1">
        <v>5230</v>
      </c>
      <c r="D495" s="1">
        <v>5563</v>
      </c>
      <c r="E495" s="1">
        <v>5184</v>
      </c>
      <c r="F495" s="1">
        <v>5239</v>
      </c>
      <c r="G495" s="1">
        <v>5561</v>
      </c>
      <c r="H495" s="1">
        <v>5532</v>
      </c>
      <c r="I495" s="1">
        <v>5968</v>
      </c>
      <c r="J495" s="1">
        <v>5878</v>
      </c>
      <c r="K495" s="1">
        <v>5960</v>
      </c>
      <c r="L495" s="1">
        <v>5850</v>
      </c>
      <c r="M495" s="1">
        <v>10037</v>
      </c>
      <c r="N495" s="1">
        <v>9859</v>
      </c>
      <c r="O495" s="1">
        <v>6731</v>
      </c>
      <c r="P495" s="1">
        <v>7004</v>
      </c>
      <c r="Q495" s="1">
        <v>7113</v>
      </c>
      <c r="R495" s="1">
        <v>6838</v>
      </c>
      <c r="S495" s="1">
        <v>10645</v>
      </c>
      <c r="T495" s="1">
        <v>8139</v>
      </c>
      <c r="U495" s="1">
        <v>6798</v>
      </c>
      <c r="V495" s="1">
        <v>7035</v>
      </c>
      <c r="W495" s="1">
        <v>6882</v>
      </c>
      <c r="X495" s="1">
        <v>7078</v>
      </c>
      <c r="Y495" s="1">
        <v>7075</v>
      </c>
      <c r="Z495" s="1">
        <v>7315</v>
      </c>
      <c r="AA495" s="1">
        <v>2320</v>
      </c>
      <c r="AB495" s="1">
        <v>902</v>
      </c>
      <c r="AC495" s="1">
        <v>-841</v>
      </c>
      <c r="AD495" s="1">
        <v>1802</v>
      </c>
      <c r="AE495" s="1">
        <v>-136</v>
      </c>
      <c r="AF495" s="1">
        <v>-20893</v>
      </c>
      <c r="AG495" s="1">
        <v>956</v>
      </c>
      <c r="AH495" s="1">
        <v>1407</v>
      </c>
      <c r="AI495" s="1">
        <v>-173</v>
      </c>
      <c r="AJ495" s="1">
        <v>1557</v>
      </c>
      <c r="AK495" s="1">
        <v>1500</v>
      </c>
      <c r="AL495" s="1">
        <v>1500</v>
      </c>
      <c r="AM495" s="1">
        <v>1500</v>
      </c>
      <c r="AN495" s="1">
        <v>1500</v>
      </c>
      <c r="AO495" s="1">
        <v>1500</v>
      </c>
      <c r="AP495" s="1">
        <v>1500</v>
      </c>
      <c r="AQ495" s="1">
        <v>1500</v>
      </c>
      <c r="AR495" s="1">
        <v>1500</v>
      </c>
      <c r="AS495" s="1">
        <v>1500</v>
      </c>
      <c r="AT495" s="1">
        <v>1500</v>
      </c>
      <c r="AU495" s="1">
        <v>1500</v>
      </c>
      <c r="AV495" s="1">
        <v>1500</v>
      </c>
      <c r="AW495" s="1">
        <v>1500</v>
      </c>
      <c r="AX495" s="1">
        <v>1500</v>
      </c>
      <c r="AY495" s="1"/>
      <c r="BA495" s="21">
        <f t="shared" si="471"/>
        <v>75861</v>
      </c>
      <c r="BB495" s="22">
        <f t="shared" si="472"/>
        <v>6321.75</v>
      </c>
      <c r="BD495" s="7">
        <f t="shared" si="473"/>
        <v>88653</v>
      </c>
      <c r="BE495" s="7">
        <f t="shared" si="474"/>
        <v>12792</v>
      </c>
      <c r="BF495" s="8">
        <f t="shared" si="475"/>
        <v>0.16862419425000996</v>
      </c>
      <c r="BG495" s="7">
        <f t="shared" si="476"/>
        <v>7387.75</v>
      </c>
      <c r="BI495" s="12">
        <f t="shared" si="477"/>
        <v>-10099</v>
      </c>
      <c r="BJ495" s="12">
        <f t="shared" si="478"/>
        <v>-98752</v>
      </c>
      <c r="BK495" s="13">
        <f t="shared" si="479"/>
        <v>-1.1139160547302405</v>
      </c>
      <c r="BL495" s="24">
        <f t="shared" si="480"/>
        <v>-1810.375</v>
      </c>
      <c r="BM495" s="24">
        <f t="shared" si="481"/>
        <v>1096</v>
      </c>
      <c r="BO495" s="17">
        <f t="shared" si="482"/>
        <v>18000</v>
      </c>
      <c r="BP495" s="17">
        <f t="shared" si="483"/>
        <v>28099</v>
      </c>
      <c r="BQ495" s="18">
        <f t="shared" si="484"/>
        <v>-2.7823546885830277</v>
      </c>
      <c r="BR495" s="25">
        <f t="shared" si="485"/>
        <v>1500</v>
      </c>
    </row>
    <row r="496" spans="1:70">
      <c r="A496" t="s">
        <v>736</v>
      </c>
      <c r="B496">
        <v>400125</v>
      </c>
      <c r="C496" s="1">
        <v>4439</v>
      </c>
      <c r="D496" s="1">
        <v>4439</v>
      </c>
      <c r="E496" s="1">
        <v>8540</v>
      </c>
      <c r="F496" s="1">
        <v>4108</v>
      </c>
      <c r="G496" s="1">
        <v>4108</v>
      </c>
      <c r="H496" s="1">
        <v>2341</v>
      </c>
      <c r="I496" s="1">
        <v>3847</v>
      </c>
      <c r="J496" s="1">
        <v>4128</v>
      </c>
      <c r="K496" s="1">
        <v>3914</v>
      </c>
      <c r="L496" s="1">
        <v>4131</v>
      </c>
      <c r="M496" s="1">
        <v>4041</v>
      </c>
      <c r="N496" s="1">
        <v>4074</v>
      </c>
      <c r="O496" s="1">
        <v>4077</v>
      </c>
      <c r="P496" s="1">
        <v>4094</v>
      </c>
      <c r="Q496" s="1">
        <v>4082</v>
      </c>
      <c r="R496" s="1">
        <v>9449</v>
      </c>
      <c r="S496" s="1">
        <v>4386</v>
      </c>
      <c r="T496" s="1">
        <v>4819</v>
      </c>
      <c r="U496" s="1">
        <v>4818</v>
      </c>
      <c r="V496" s="1">
        <v>4349</v>
      </c>
      <c r="W496" s="1">
        <v>4323</v>
      </c>
      <c r="X496" s="1">
        <v>4405</v>
      </c>
      <c r="Y496" s="1">
        <v>4484</v>
      </c>
      <c r="Z496" s="1">
        <v>4386</v>
      </c>
      <c r="AA496" s="1">
        <v>4468</v>
      </c>
      <c r="AB496" s="1">
        <v>4446</v>
      </c>
      <c r="AC496" s="1">
        <v>9581</v>
      </c>
      <c r="AD496" s="1">
        <v>4636</v>
      </c>
      <c r="AE496" s="1">
        <v>4503</v>
      </c>
      <c r="AF496" s="1">
        <v>5055</v>
      </c>
      <c r="AG496" s="1">
        <v>5296</v>
      </c>
      <c r="AH496" s="1">
        <v>4773</v>
      </c>
      <c r="AI496" s="1">
        <v>-575</v>
      </c>
      <c r="AJ496" s="1">
        <v>5190</v>
      </c>
      <c r="AK496" s="1">
        <v>5000</v>
      </c>
      <c r="AL496" s="1">
        <v>5000</v>
      </c>
      <c r="AM496" s="1">
        <v>5000</v>
      </c>
      <c r="AN496" s="1">
        <v>5000</v>
      </c>
      <c r="AO496" s="1">
        <v>5000</v>
      </c>
      <c r="AP496" s="1">
        <v>5000</v>
      </c>
      <c r="AQ496" s="1">
        <v>5000</v>
      </c>
      <c r="AR496" s="1">
        <v>5000</v>
      </c>
      <c r="AS496" s="1">
        <v>5000</v>
      </c>
      <c r="AT496" s="1">
        <v>5000</v>
      </c>
      <c r="AU496" s="1">
        <v>5000</v>
      </c>
      <c r="AV496" s="1">
        <v>5000</v>
      </c>
      <c r="AW496" s="1">
        <v>5000</v>
      </c>
      <c r="AX496" s="1">
        <v>5000</v>
      </c>
      <c r="AY496" s="1"/>
      <c r="BA496" s="21">
        <f t="shared" si="471"/>
        <v>52110</v>
      </c>
      <c r="BB496" s="22">
        <f t="shared" si="472"/>
        <v>4342.5</v>
      </c>
      <c r="BD496" s="7">
        <f t="shared" si="473"/>
        <v>57672</v>
      </c>
      <c r="BE496" s="7">
        <f t="shared" si="474"/>
        <v>5562</v>
      </c>
      <c r="BF496" s="8">
        <f t="shared" si="475"/>
        <v>0.10673575129533686</v>
      </c>
      <c r="BG496" s="7">
        <f t="shared" si="476"/>
        <v>4806</v>
      </c>
      <c r="BI496" s="12">
        <f t="shared" si="477"/>
        <v>57373</v>
      </c>
      <c r="BJ496" s="12">
        <f t="shared" si="478"/>
        <v>-299</v>
      </c>
      <c r="BK496" s="13">
        <f t="shared" si="479"/>
        <v>-5.1844916077126157E-3</v>
      </c>
      <c r="BL496" s="24">
        <f t="shared" si="480"/>
        <v>5344.75</v>
      </c>
      <c r="BM496" s="24">
        <f t="shared" si="481"/>
        <v>3653.75</v>
      </c>
      <c r="BO496" s="17">
        <f t="shared" si="482"/>
        <v>60000</v>
      </c>
      <c r="BP496" s="17">
        <f t="shared" si="483"/>
        <v>2627</v>
      </c>
      <c r="BQ496" s="18">
        <f t="shared" si="484"/>
        <v>4.5788088473672328E-2</v>
      </c>
      <c r="BR496" s="25">
        <f t="shared" si="485"/>
        <v>5000</v>
      </c>
    </row>
    <row r="497" spans="1:70">
      <c r="A497" t="s">
        <v>737</v>
      </c>
      <c r="B497">
        <v>400130</v>
      </c>
      <c r="C497" s="1">
        <v>5962</v>
      </c>
      <c r="D497" s="1">
        <v>5962</v>
      </c>
      <c r="E497" s="1">
        <v>6244</v>
      </c>
      <c r="F497" s="1">
        <v>6407</v>
      </c>
      <c r="G497" s="1">
        <v>6215</v>
      </c>
      <c r="H497" s="1">
        <v>1718</v>
      </c>
      <c r="I497" s="1">
        <v>5234</v>
      </c>
      <c r="J497" s="1">
        <v>5492</v>
      </c>
      <c r="K497" s="1">
        <v>5284</v>
      </c>
      <c r="L497" s="1">
        <v>5502</v>
      </c>
      <c r="M497" s="1">
        <v>5413</v>
      </c>
      <c r="N497" s="1">
        <v>6588</v>
      </c>
      <c r="O497" s="1">
        <v>4311</v>
      </c>
      <c r="P497" s="1">
        <v>5469</v>
      </c>
      <c r="Q497" s="1">
        <v>5456</v>
      </c>
      <c r="R497" s="1">
        <v>5719</v>
      </c>
      <c r="S497" s="1">
        <v>5757</v>
      </c>
      <c r="T497" s="1">
        <v>5715</v>
      </c>
      <c r="U497" s="1">
        <v>7136</v>
      </c>
      <c r="V497" s="1">
        <v>6391</v>
      </c>
      <c r="W497" s="1">
        <v>5915</v>
      </c>
      <c r="X497" s="1">
        <v>5985</v>
      </c>
      <c r="Y497" s="1">
        <v>6069</v>
      </c>
      <c r="Z497" s="1">
        <v>5968</v>
      </c>
      <c r="AA497" s="1">
        <v>6061</v>
      </c>
      <c r="AB497" s="1">
        <v>6033</v>
      </c>
      <c r="AC497" s="1">
        <v>6048</v>
      </c>
      <c r="AD497" s="1">
        <v>6194</v>
      </c>
      <c r="AE497" s="1">
        <v>6084</v>
      </c>
      <c r="AF497" s="1">
        <v>6702</v>
      </c>
      <c r="AG497" s="1">
        <v>6552</v>
      </c>
      <c r="AH497" s="1">
        <v>6386</v>
      </c>
      <c r="AI497" s="1">
        <v>-719</v>
      </c>
      <c r="AJ497" s="1">
        <v>6488</v>
      </c>
      <c r="AK497" s="1">
        <v>6250</v>
      </c>
      <c r="AL497" s="1">
        <v>6250</v>
      </c>
      <c r="AM497" s="1">
        <v>6250</v>
      </c>
      <c r="AN497" s="1">
        <v>6250</v>
      </c>
      <c r="AO497" s="1">
        <v>6250</v>
      </c>
      <c r="AP497" s="1">
        <v>6250</v>
      </c>
      <c r="AQ497" s="1">
        <v>6250</v>
      </c>
      <c r="AR497" s="1">
        <v>6250</v>
      </c>
      <c r="AS497" s="1">
        <v>6250</v>
      </c>
      <c r="AT497" s="1">
        <v>6250</v>
      </c>
      <c r="AU497" s="1">
        <v>6250</v>
      </c>
      <c r="AV497" s="1">
        <v>6250</v>
      </c>
      <c r="AW497" s="1">
        <v>6250</v>
      </c>
      <c r="AX497" s="1">
        <v>6250</v>
      </c>
      <c r="AY497" s="1"/>
      <c r="BA497" s="21">
        <f t="shared" si="471"/>
        <v>66021</v>
      </c>
      <c r="BB497" s="22">
        <f t="shared" si="472"/>
        <v>5501.75</v>
      </c>
      <c r="BD497" s="7">
        <f t="shared" si="473"/>
        <v>69891</v>
      </c>
      <c r="BE497" s="7">
        <f t="shared" si="474"/>
        <v>3870</v>
      </c>
      <c r="BF497" s="8">
        <f t="shared" si="475"/>
        <v>5.8617712546008116E-2</v>
      </c>
      <c r="BG497" s="7">
        <f t="shared" si="476"/>
        <v>5824.25</v>
      </c>
      <c r="BI497" s="12">
        <f t="shared" si="477"/>
        <v>68329</v>
      </c>
      <c r="BJ497" s="12">
        <f t="shared" si="478"/>
        <v>-1562</v>
      </c>
      <c r="BK497" s="13">
        <f t="shared" si="479"/>
        <v>-2.2349086434590992E-2</v>
      </c>
      <c r="BL497" s="24">
        <f t="shared" si="480"/>
        <v>6257.5</v>
      </c>
      <c r="BM497" s="24">
        <f t="shared" si="481"/>
        <v>4567.25</v>
      </c>
      <c r="BO497" s="17">
        <f t="shared" si="482"/>
        <v>75000</v>
      </c>
      <c r="BP497" s="17">
        <f t="shared" si="483"/>
        <v>6671</v>
      </c>
      <c r="BQ497" s="18">
        <f t="shared" si="484"/>
        <v>9.7630581451506604E-2</v>
      </c>
      <c r="BR497" s="25">
        <f t="shared" si="485"/>
        <v>6250</v>
      </c>
    </row>
    <row r="498" spans="1:70">
      <c r="A498" t="s">
        <v>738</v>
      </c>
      <c r="B498">
        <v>400135</v>
      </c>
      <c r="C498" s="1">
        <v>2502</v>
      </c>
      <c r="D498" s="1">
        <v>3477</v>
      </c>
      <c r="E498" s="1">
        <v>4493</v>
      </c>
      <c r="F498" s="1">
        <v>4</v>
      </c>
      <c r="G498" s="1">
        <v>4556</v>
      </c>
      <c r="H498" s="1">
        <v>1531</v>
      </c>
      <c r="I498" s="1">
        <v>1161</v>
      </c>
      <c r="J498" s="1">
        <v>1022</v>
      </c>
      <c r="K498" s="1">
        <v>2349</v>
      </c>
      <c r="L498" s="1">
        <v>248</v>
      </c>
      <c r="M498" s="1">
        <v>6239</v>
      </c>
      <c r="N498" s="1">
        <v>31</v>
      </c>
      <c r="O498" s="1">
        <v>0</v>
      </c>
      <c r="P498" s="1">
        <v>1347</v>
      </c>
      <c r="Q498" s="1">
        <v>1617</v>
      </c>
      <c r="R498" s="1">
        <v>855</v>
      </c>
      <c r="S498" s="1">
        <v>3010</v>
      </c>
      <c r="T498" s="1">
        <v>11505</v>
      </c>
      <c r="U498" s="1">
        <v>1766</v>
      </c>
      <c r="V498" s="1">
        <v>872</v>
      </c>
      <c r="W498" s="1">
        <v>521</v>
      </c>
      <c r="X498" s="1">
        <v>794</v>
      </c>
      <c r="Y498" s="1">
        <v>1491</v>
      </c>
      <c r="Z498" s="1">
        <v>1673</v>
      </c>
      <c r="AA498" s="1">
        <v>1240</v>
      </c>
      <c r="AB498" s="1">
        <v>3615</v>
      </c>
      <c r="AC498" s="1">
        <v>1270</v>
      </c>
      <c r="AD498" s="1">
        <v>2541</v>
      </c>
      <c r="AE498" s="1">
        <v>0</v>
      </c>
      <c r="AF498" s="1">
        <v>9418</v>
      </c>
      <c r="AG498" s="1">
        <v>587</v>
      </c>
      <c r="AH498" s="1">
        <v>5478</v>
      </c>
      <c r="AI498" s="1">
        <v>-1084</v>
      </c>
      <c r="AJ498" s="1">
        <v>9781</v>
      </c>
      <c r="AK498" s="1">
        <v>9422</v>
      </c>
      <c r="AL498" s="1">
        <v>9422</v>
      </c>
      <c r="AM498" s="1">
        <v>7299</v>
      </c>
      <c r="AN498" s="1">
        <v>7299</v>
      </c>
      <c r="AO498" s="1">
        <v>7299</v>
      </c>
      <c r="AP498" s="1">
        <v>7299</v>
      </c>
      <c r="AQ498" s="1">
        <v>7299</v>
      </c>
      <c r="AR498" s="1">
        <v>7299</v>
      </c>
      <c r="AS498" s="1">
        <v>7299</v>
      </c>
      <c r="AT498" s="1">
        <v>7299</v>
      </c>
      <c r="AU498" s="1">
        <v>7299</v>
      </c>
      <c r="AV498" s="1">
        <v>7299</v>
      </c>
      <c r="AW498" s="1">
        <v>7299</v>
      </c>
      <c r="AX498" s="1">
        <v>7311</v>
      </c>
      <c r="AY498" s="1"/>
      <c r="BA498" s="21">
        <f t="shared" si="471"/>
        <v>27613</v>
      </c>
      <c r="BB498" s="22">
        <f t="shared" si="472"/>
        <v>2301.0833333333335</v>
      </c>
      <c r="BD498" s="7">
        <f t="shared" si="473"/>
        <v>25451</v>
      </c>
      <c r="BE498" s="7">
        <f t="shared" si="474"/>
        <v>-2162</v>
      </c>
      <c r="BF498" s="8">
        <f t="shared" si="475"/>
        <v>-7.8296454568500318E-2</v>
      </c>
      <c r="BG498" s="7">
        <f t="shared" si="476"/>
        <v>2120.9166666666665</v>
      </c>
      <c r="BI498" s="12">
        <f t="shared" si="477"/>
        <v>51690</v>
      </c>
      <c r="BJ498" s="12">
        <f t="shared" si="478"/>
        <v>26239</v>
      </c>
      <c r="BK498" s="13">
        <f t="shared" si="479"/>
        <v>1.0309614553455662</v>
      </c>
      <c r="BL498" s="24">
        <f t="shared" si="480"/>
        <v>3018.625</v>
      </c>
      <c r="BM498" s="24">
        <f t="shared" si="481"/>
        <v>6885.25</v>
      </c>
      <c r="BO498" s="17">
        <f t="shared" si="482"/>
        <v>87600</v>
      </c>
      <c r="BP498" s="17">
        <f t="shared" si="483"/>
        <v>35910</v>
      </c>
      <c r="BQ498" s="18">
        <f t="shared" si="484"/>
        <v>0.6947185142193848</v>
      </c>
      <c r="BR498" s="25">
        <f t="shared" si="485"/>
        <v>7300</v>
      </c>
    </row>
    <row r="499" spans="1:70">
      <c r="A499" t="s">
        <v>739</v>
      </c>
      <c r="B499">
        <v>400140</v>
      </c>
      <c r="C499" s="1">
        <v>383</v>
      </c>
      <c r="D499" s="1">
        <v>0</v>
      </c>
      <c r="E499" s="1">
        <v>885</v>
      </c>
      <c r="F499" s="1">
        <v>1786</v>
      </c>
      <c r="G499" s="1">
        <v>2004</v>
      </c>
      <c r="H499" s="1">
        <v>5031</v>
      </c>
      <c r="I499" s="1">
        <v>403</v>
      </c>
      <c r="J499" s="1">
        <v>32920</v>
      </c>
      <c r="K499" s="1">
        <v>2</v>
      </c>
      <c r="L499" s="1">
        <v>0</v>
      </c>
      <c r="M499" s="1">
        <v>30</v>
      </c>
      <c r="N499" s="1">
        <v>16418</v>
      </c>
      <c r="O499" s="1">
        <v>0</v>
      </c>
      <c r="P499" s="1">
        <v>514</v>
      </c>
      <c r="Q499" s="1">
        <v>1127</v>
      </c>
      <c r="R499" s="1">
        <v>5333</v>
      </c>
      <c r="S499" s="1">
        <v>2158</v>
      </c>
      <c r="T499" s="1">
        <v>707</v>
      </c>
      <c r="U499" s="1">
        <v>4398</v>
      </c>
      <c r="V499" s="1">
        <v>25591</v>
      </c>
      <c r="W499" s="1">
        <v>5983</v>
      </c>
      <c r="X499" s="1">
        <v>2803</v>
      </c>
      <c r="Y499" s="1">
        <v>10838</v>
      </c>
      <c r="Z499" s="1">
        <v>15671</v>
      </c>
      <c r="AA499" s="1">
        <v>2589</v>
      </c>
      <c r="AB499" s="1">
        <v>9496</v>
      </c>
      <c r="AC499" s="1">
        <v>686</v>
      </c>
      <c r="AD499" s="1">
        <v>1427</v>
      </c>
      <c r="AE499" s="1">
        <v>604</v>
      </c>
      <c r="AF499" s="1">
        <v>896</v>
      </c>
      <c r="AG499" s="1">
        <v>9496</v>
      </c>
      <c r="AH499" s="1">
        <v>6342</v>
      </c>
      <c r="AI499" s="1">
        <v>-863</v>
      </c>
      <c r="AJ499" s="1">
        <v>7786</v>
      </c>
      <c r="AK499" s="1">
        <v>7500</v>
      </c>
      <c r="AL499" s="1">
        <v>7500</v>
      </c>
      <c r="AM499" s="1">
        <v>7500</v>
      </c>
      <c r="AN499" s="1">
        <v>7500</v>
      </c>
      <c r="AO499" s="1">
        <v>7500</v>
      </c>
      <c r="AP499" s="1">
        <v>7500</v>
      </c>
      <c r="AQ499" s="1">
        <v>7500</v>
      </c>
      <c r="AR499" s="1">
        <v>7500</v>
      </c>
      <c r="AS499" s="1">
        <v>7500</v>
      </c>
      <c r="AT499" s="1">
        <v>7500</v>
      </c>
      <c r="AU499" s="1">
        <v>7500</v>
      </c>
      <c r="AV499" s="1">
        <v>7500</v>
      </c>
      <c r="AW499" s="1">
        <v>7500</v>
      </c>
      <c r="AX499" s="1">
        <v>7500</v>
      </c>
      <c r="AY499" s="1"/>
      <c r="BA499" s="21">
        <f t="shared" si="471"/>
        <v>59862</v>
      </c>
      <c r="BB499" s="22">
        <f t="shared" si="472"/>
        <v>4988.5</v>
      </c>
      <c r="BD499" s="7">
        <f t="shared" si="473"/>
        <v>75123</v>
      </c>
      <c r="BE499" s="7">
        <f t="shared" si="474"/>
        <v>15261</v>
      </c>
      <c r="BF499" s="8">
        <f t="shared" si="475"/>
        <v>0.25493635361331068</v>
      </c>
      <c r="BG499" s="7">
        <f t="shared" si="476"/>
        <v>6260.25</v>
      </c>
      <c r="BI499" s="12">
        <f t="shared" si="477"/>
        <v>53459</v>
      </c>
      <c r="BJ499" s="12">
        <f t="shared" si="478"/>
        <v>-21664</v>
      </c>
      <c r="BK499" s="13">
        <f t="shared" si="479"/>
        <v>-0.28838038949456224</v>
      </c>
      <c r="BL499" s="24">
        <f t="shared" si="480"/>
        <v>3942</v>
      </c>
      <c r="BM499" s="24">
        <f t="shared" si="481"/>
        <v>5480.75</v>
      </c>
      <c r="BO499" s="17">
        <f t="shared" si="482"/>
        <v>90000</v>
      </c>
      <c r="BP499" s="17">
        <f t="shared" si="483"/>
        <v>36541</v>
      </c>
      <c r="BQ499" s="18">
        <f t="shared" si="484"/>
        <v>0.68353317495650878</v>
      </c>
      <c r="BR499" s="25">
        <f t="shared" si="485"/>
        <v>7500</v>
      </c>
    </row>
    <row r="500" spans="1:70">
      <c r="A500" t="s">
        <v>740</v>
      </c>
      <c r="B500">
        <v>400145</v>
      </c>
      <c r="C500" s="1">
        <v>46</v>
      </c>
      <c r="D500" s="1">
        <v>219</v>
      </c>
      <c r="E500" s="1">
        <v>549</v>
      </c>
      <c r="F500" s="1">
        <v>132</v>
      </c>
      <c r="G500" s="1">
        <v>391</v>
      </c>
      <c r="H500" s="1">
        <v>3164</v>
      </c>
      <c r="I500" s="1">
        <v>1905</v>
      </c>
      <c r="J500" s="1">
        <v>2317</v>
      </c>
      <c r="K500" s="1">
        <v>1574</v>
      </c>
      <c r="L500" s="1">
        <v>363</v>
      </c>
      <c r="M500" s="1">
        <v>348</v>
      </c>
      <c r="N500" s="1">
        <v>13644</v>
      </c>
      <c r="O500" s="1">
        <v>-2960</v>
      </c>
      <c r="P500" s="1">
        <v>-881</v>
      </c>
      <c r="Q500" s="1">
        <v>49</v>
      </c>
      <c r="R500" s="1">
        <v>2911</v>
      </c>
      <c r="S500" s="1">
        <v>628</v>
      </c>
      <c r="T500" s="1">
        <v>79</v>
      </c>
      <c r="U500" s="1">
        <v>273</v>
      </c>
      <c r="V500" s="1">
        <v>1830</v>
      </c>
      <c r="W500" s="1">
        <v>4414</v>
      </c>
      <c r="X500" s="1">
        <v>1882</v>
      </c>
      <c r="Y500" s="1">
        <v>1686</v>
      </c>
      <c r="Z500" s="1">
        <v>763</v>
      </c>
      <c r="AA500" s="1">
        <v>0</v>
      </c>
      <c r="AB500" s="1">
        <v>273</v>
      </c>
      <c r="AC500" s="1">
        <v>367</v>
      </c>
      <c r="AD500" s="1">
        <v>770</v>
      </c>
      <c r="AE500" s="1">
        <v>500</v>
      </c>
      <c r="AF500" s="1">
        <v>444</v>
      </c>
      <c r="AG500" s="1">
        <v>1964</v>
      </c>
      <c r="AH500" s="1">
        <v>1359</v>
      </c>
      <c r="AI500" s="1">
        <v>0</v>
      </c>
      <c r="AJ500" s="1">
        <v>0</v>
      </c>
      <c r="AK500" s="1">
        <v>0</v>
      </c>
      <c r="AL500" s="1">
        <v>0</v>
      </c>
      <c r="AM500" s="1">
        <v>5000</v>
      </c>
      <c r="AN500" s="1">
        <v>5000</v>
      </c>
      <c r="AO500" s="1">
        <v>5000</v>
      </c>
      <c r="AP500" s="1">
        <v>5000</v>
      </c>
      <c r="AQ500" s="1">
        <v>5000</v>
      </c>
      <c r="AR500" s="1">
        <v>5000</v>
      </c>
      <c r="AS500" s="1">
        <v>5000</v>
      </c>
      <c r="AT500" s="1">
        <v>5000</v>
      </c>
      <c r="AU500" s="1">
        <v>5000</v>
      </c>
      <c r="AV500" s="1">
        <v>5000</v>
      </c>
      <c r="AW500" s="1">
        <v>5000</v>
      </c>
      <c r="AX500" s="1">
        <v>5000</v>
      </c>
      <c r="AY500" s="1"/>
      <c r="BA500" s="21">
        <f t="shared" si="471"/>
        <v>24652</v>
      </c>
      <c r="BB500" s="22">
        <f t="shared" si="472"/>
        <v>2054.3333333333335</v>
      </c>
      <c r="BD500" s="7">
        <f t="shared" si="473"/>
        <v>10674</v>
      </c>
      <c r="BE500" s="7">
        <f t="shared" si="474"/>
        <v>-13978</v>
      </c>
      <c r="BF500" s="8">
        <f t="shared" si="475"/>
        <v>-0.56701281843258156</v>
      </c>
      <c r="BG500" s="7">
        <f t="shared" si="476"/>
        <v>889.5</v>
      </c>
      <c r="BI500" s="12">
        <f t="shared" si="477"/>
        <v>5677</v>
      </c>
      <c r="BJ500" s="12">
        <f t="shared" si="478"/>
        <v>-4997</v>
      </c>
      <c r="BK500" s="13">
        <f t="shared" si="479"/>
        <v>-0.46814689900693274</v>
      </c>
      <c r="BL500" s="24">
        <f t="shared" si="480"/>
        <v>709.625</v>
      </c>
      <c r="BM500" s="24">
        <f t="shared" si="481"/>
        <v>0</v>
      </c>
      <c r="BO500" s="17">
        <f t="shared" si="482"/>
        <v>60000</v>
      </c>
      <c r="BP500" s="17">
        <f t="shared" si="483"/>
        <v>54323</v>
      </c>
      <c r="BQ500" s="18">
        <f t="shared" si="484"/>
        <v>9.5689624801831954</v>
      </c>
      <c r="BR500" s="25">
        <f t="shared" si="485"/>
        <v>5000</v>
      </c>
    </row>
    <row r="501" spans="1:70">
      <c r="A501" t="s">
        <v>741</v>
      </c>
      <c r="B501">
        <v>400155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1650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764</v>
      </c>
      <c r="AH501" s="1">
        <v>160</v>
      </c>
      <c r="AI501" s="1">
        <v>0</v>
      </c>
      <c r="AJ501" s="1">
        <v>0</v>
      </c>
      <c r="AK501" s="1">
        <v>0</v>
      </c>
      <c r="AL501" s="1">
        <v>0</v>
      </c>
      <c r="AM501" s="1">
        <v>9165</v>
      </c>
      <c r="AN501" s="1">
        <v>9165</v>
      </c>
      <c r="AO501" s="1">
        <v>9165</v>
      </c>
      <c r="AP501" s="1">
        <v>9165</v>
      </c>
      <c r="AQ501" s="1">
        <v>9165</v>
      </c>
      <c r="AR501" s="1">
        <v>9165</v>
      </c>
      <c r="AS501" s="1">
        <v>9165</v>
      </c>
      <c r="AT501" s="1">
        <v>9165</v>
      </c>
      <c r="AU501" s="1">
        <v>9165</v>
      </c>
      <c r="AV501" s="1">
        <v>9165</v>
      </c>
      <c r="AW501" s="1">
        <v>9165</v>
      </c>
      <c r="AX501" s="1">
        <v>9185</v>
      </c>
      <c r="AY501" s="1"/>
      <c r="BA501" s="21">
        <f t="shared" si="471"/>
        <v>0</v>
      </c>
      <c r="BB501" s="22">
        <f t="shared" si="472"/>
        <v>0</v>
      </c>
      <c r="BD501" s="7">
        <f t="shared" si="473"/>
        <v>1650</v>
      </c>
      <c r="BE501" s="7">
        <f t="shared" si="474"/>
        <v>1650</v>
      </c>
      <c r="BF501" s="8" t="e">
        <f t="shared" si="475"/>
        <v>#DIV/0!</v>
      </c>
      <c r="BG501" s="7">
        <f t="shared" si="476"/>
        <v>137.5</v>
      </c>
      <c r="BI501" s="12">
        <f t="shared" si="477"/>
        <v>924</v>
      </c>
      <c r="BJ501" s="12">
        <f t="shared" si="478"/>
        <v>-726</v>
      </c>
      <c r="BK501" s="13">
        <f t="shared" si="479"/>
        <v>-0.43999999999999995</v>
      </c>
      <c r="BL501" s="24">
        <f t="shared" si="480"/>
        <v>115.5</v>
      </c>
      <c r="BM501" s="24">
        <f t="shared" si="481"/>
        <v>0</v>
      </c>
      <c r="BO501" s="17">
        <f t="shared" si="482"/>
        <v>110000</v>
      </c>
      <c r="BP501" s="17">
        <f t="shared" si="483"/>
        <v>109076</v>
      </c>
      <c r="BQ501" s="18">
        <f t="shared" si="484"/>
        <v>118.04761904761905</v>
      </c>
      <c r="BR501" s="25">
        <f t="shared" si="485"/>
        <v>9166.6666666666661</v>
      </c>
    </row>
    <row r="502" spans="1:70">
      <c r="A502" t="s">
        <v>742</v>
      </c>
      <c r="B502">
        <v>400160</v>
      </c>
      <c r="C502" s="1">
        <v>-578</v>
      </c>
      <c r="D502" s="1">
        <v>2238</v>
      </c>
      <c r="E502" s="1">
        <v>4503</v>
      </c>
      <c r="F502" s="1">
        <v>4192</v>
      </c>
      <c r="G502" s="1">
        <v>5595</v>
      </c>
      <c r="H502" s="1">
        <v>4644</v>
      </c>
      <c r="I502" s="1">
        <v>3852</v>
      </c>
      <c r="J502" s="1">
        <v>5730</v>
      </c>
      <c r="K502" s="1">
        <v>3056</v>
      </c>
      <c r="L502" s="1">
        <v>6962</v>
      </c>
      <c r="M502" s="1">
        <v>6894</v>
      </c>
      <c r="N502" s="1">
        <v>35116</v>
      </c>
      <c r="O502" s="1">
        <v>755</v>
      </c>
      <c r="P502" s="1">
        <v>5804</v>
      </c>
      <c r="Q502" s="1">
        <v>4800</v>
      </c>
      <c r="R502" s="1">
        <v>11967</v>
      </c>
      <c r="S502" s="1">
        <v>17193</v>
      </c>
      <c r="T502" s="1">
        <v>15430</v>
      </c>
      <c r="U502" s="1">
        <v>6413</v>
      </c>
      <c r="V502" s="1">
        <v>7824</v>
      </c>
      <c r="W502" s="1">
        <v>5642</v>
      </c>
      <c r="X502" s="1">
        <v>6876</v>
      </c>
      <c r="Y502" s="1">
        <v>11044</v>
      </c>
      <c r="Z502" s="1">
        <v>25661</v>
      </c>
      <c r="AA502" s="1">
        <v>10597</v>
      </c>
      <c r="AB502" s="1">
        <v>1915</v>
      </c>
      <c r="AC502" s="1">
        <v>7838</v>
      </c>
      <c r="AD502" s="1">
        <v>6460</v>
      </c>
      <c r="AE502" s="1">
        <v>12774</v>
      </c>
      <c r="AF502" s="1">
        <v>7947</v>
      </c>
      <c r="AG502" s="1">
        <v>9895</v>
      </c>
      <c r="AH502" s="1">
        <v>11075</v>
      </c>
      <c r="AI502" s="1">
        <v>0</v>
      </c>
      <c r="AJ502" s="1">
        <v>0</v>
      </c>
      <c r="AK502" s="1">
        <v>0</v>
      </c>
      <c r="AL502" s="1">
        <v>0</v>
      </c>
      <c r="AM502" s="1">
        <v>7958</v>
      </c>
      <c r="AN502" s="1">
        <v>7958</v>
      </c>
      <c r="AO502" s="1">
        <v>7958</v>
      </c>
      <c r="AP502" s="1">
        <v>7958</v>
      </c>
      <c r="AQ502" s="1">
        <v>7958</v>
      </c>
      <c r="AR502" s="1">
        <v>7958</v>
      </c>
      <c r="AS502" s="1">
        <v>7958</v>
      </c>
      <c r="AT502" s="1">
        <v>7958</v>
      </c>
      <c r="AU502" s="1">
        <v>7958</v>
      </c>
      <c r="AV502" s="1">
        <v>7958</v>
      </c>
      <c r="AW502" s="1">
        <v>7958</v>
      </c>
      <c r="AX502" s="1">
        <v>7958</v>
      </c>
      <c r="AY502" s="1"/>
      <c r="BA502" s="21">
        <f t="shared" si="471"/>
        <v>82204</v>
      </c>
      <c r="BB502" s="22">
        <f t="shared" si="472"/>
        <v>6850.333333333333</v>
      </c>
      <c r="BD502" s="7">
        <f t="shared" si="473"/>
        <v>119409</v>
      </c>
      <c r="BE502" s="7">
        <f t="shared" si="474"/>
        <v>37205</v>
      </c>
      <c r="BF502" s="8">
        <f t="shared" si="475"/>
        <v>0.45259354775923311</v>
      </c>
      <c r="BG502" s="7">
        <f t="shared" si="476"/>
        <v>9950.75</v>
      </c>
      <c r="BI502" s="12">
        <f t="shared" si="477"/>
        <v>68501</v>
      </c>
      <c r="BJ502" s="12">
        <f t="shared" si="478"/>
        <v>-50908</v>
      </c>
      <c r="BK502" s="13">
        <f t="shared" si="479"/>
        <v>-0.42633302347394253</v>
      </c>
      <c r="BL502" s="24">
        <f t="shared" si="480"/>
        <v>8562.625</v>
      </c>
      <c r="BM502" s="24">
        <f t="shared" si="481"/>
        <v>0</v>
      </c>
      <c r="BO502" s="17">
        <f t="shared" si="482"/>
        <v>95496</v>
      </c>
      <c r="BP502" s="17">
        <f t="shared" si="483"/>
        <v>26995</v>
      </c>
      <c r="BQ502" s="18">
        <f t="shared" si="484"/>
        <v>0.3940818382213398</v>
      </c>
      <c r="BR502" s="25">
        <f t="shared" si="485"/>
        <v>7958</v>
      </c>
    </row>
    <row r="503" spans="1:70">
      <c r="A503" t="s">
        <v>743</v>
      </c>
      <c r="B503">
        <v>400165</v>
      </c>
      <c r="C503" s="1">
        <v>495</v>
      </c>
      <c r="D503" s="1">
        <v>0</v>
      </c>
      <c r="E503" s="1">
        <v>0</v>
      </c>
      <c r="F503" s="1">
        <v>2579</v>
      </c>
      <c r="G503" s="1">
        <v>248</v>
      </c>
      <c r="H503" s="1">
        <v>5452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2831</v>
      </c>
      <c r="S503" s="1">
        <v>0</v>
      </c>
      <c r="T503" s="1">
        <v>0</v>
      </c>
      <c r="U503" s="1">
        <v>3716</v>
      </c>
      <c r="V503" s="1">
        <v>0</v>
      </c>
      <c r="W503" s="1">
        <v>0</v>
      </c>
      <c r="X503" s="1">
        <v>3641</v>
      </c>
      <c r="Y503" s="1">
        <v>0</v>
      </c>
      <c r="Z503" s="1">
        <v>2840</v>
      </c>
      <c r="AA503" s="1">
        <v>3716</v>
      </c>
      <c r="AB503" s="1">
        <v>0</v>
      </c>
      <c r="AC503" s="1">
        <v>1421</v>
      </c>
      <c r="AD503" s="1">
        <v>3641</v>
      </c>
      <c r="AE503" s="1">
        <v>0</v>
      </c>
      <c r="AF503" s="1">
        <v>0</v>
      </c>
      <c r="AG503" s="1">
        <v>0</v>
      </c>
      <c r="AH503" s="1">
        <v>0</v>
      </c>
      <c r="AI503" s="1">
        <v>-192</v>
      </c>
      <c r="AJ503" s="1">
        <v>1729</v>
      </c>
      <c r="AK503" s="1">
        <v>1666</v>
      </c>
      <c r="AL503" s="1">
        <v>1666</v>
      </c>
      <c r="AM503" s="1">
        <v>1666</v>
      </c>
      <c r="AN503" s="1">
        <v>1666</v>
      </c>
      <c r="AO503" s="1">
        <v>1666</v>
      </c>
      <c r="AP503" s="1">
        <v>1666</v>
      </c>
      <c r="AQ503" s="1">
        <v>1666</v>
      </c>
      <c r="AR503" s="1">
        <v>1666</v>
      </c>
      <c r="AS503" s="1">
        <v>1666</v>
      </c>
      <c r="AT503" s="1">
        <v>1666</v>
      </c>
      <c r="AU503" s="1">
        <v>1666</v>
      </c>
      <c r="AV503" s="1">
        <v>1666</v>
      </c>
      <c r="AW503" s="1">
        <v>1666</v>
      </c>
      <c r="AX503" s="1">
        <v>1674</v>
      </c>
      <c r="AY503" s="1"/>
      <c r="BA503" s="21">
        <f t="shared" si="471"/>
        <v>8774</v>
      </c>
      <c r="BB503" s="22">
        <f t="shared" si="472"/>
        <v>731.16666666666663</v>
      </c>
      <c r="BD503" s="7">
        <f t="shared" si="473"/>
        <v>13028</v>
      </c>
      <c r="BE503" s="7">
        <f t="shared" si="474"/>
        <v>4254</v>
      </c>
      <c r="BF503" s="8">
        <f t="shared" si="475"/>
        <v>0.48484157738773659</v>
      </c>
      <c r="BG503" s="7">
        <f t="shared" si="476"/>
        <v>1085.6666666666667</v>
      </c>
      <c r="BI503" s="12">
        <f t="shared" si="477"/>
        <v>13647</v>
      </c>
      <c r="BJ503" s="12">
        <f t="shared" si="478"/>
        <v>619</v>
      </c>
      <c r="BK503" s="13">
        <f t="shared" si="479"/>
        <v>4.7513048817930503E-2</v>
      </c>
      <c r="BL503" s="24">
        <f t="shared" si="480"/>
        <v>1097.25</v>
      </c>
      <c r="BM503" s="24">
        <f t="shared" si="481"/>
        <v>1217.25</v>
      </c>
      <c r="BO503" s="17">
        <f t="shared" si="482"/>
        <v>20000</v>
      </c>
      <c r="BP503" s="17">
        <f t="shared" si="483"/>
        <v>6353</v>
      </c>
      <c r="BQ503" s="18">
        <f t="shared" si="484"/>
        <v>0.46552355829119962</v>
      </c>
      <c r="BR503" s="25">
        <f t="shared" si="485"/>
        <v>1666.6666666666667</v>
      </c>
    </row>
    <row r="504" spans="1:70">
      <c r="A504" t="s">
        <v>11</v>
      </c>
      <c r="B504" t="s">
        <v>12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BA504" s="21"/>
      <c r="BB504" s="22"/>
      <c r="BD504" s="7"/>
      <c r="BE504" s="7"/>
      <c r="BF504" s="8"/>
      <c r="BG504" s="7"/>
      <c r="BI504" s="12"/>
      <c r="BJ504" s="12"/>
      <c r="BK504" s="13"/>
      <c r="BL504" s="24"/>
      <c r="BM504" s="24"/>
      <c r="BO504" s="17"/>
      <c r="BP504" s="17"/>
      <c r="BQ504" s="18"/>
      <c r="BR504" s="25"/>
    </row>
    <row r="505" spans="1:70">
      <c r="A505" t="s">
        <v>744</v>
      </c>
      <c r="C505" s="1">
        <v>663589</v>
      </c>
      <c r="D505" s="1">
        <v>615836</v>
      </c>
      <c r="E505" s="1">
        <v>664475</v>
      </c>
      <c r="F505" s="1">
        <v>499781</v>
      </c>
      <c r="G505" s="1">
        <v>720468</v>
      </c>
      <c r="H505" s="1">
        <v>636993</v>
      </c>
      <c r="I505" s="1">
        <v>511972</v>
      </c>
      <c r="J505" s="1">
        <v>707843</v>
      </c>
      <c r="K505" s="1">
        <v>515095</v>
      </c>
      <c r="L505" s="1">
        <v>638866</v>
      </c>
      <c r="M505" s="1">
        <v>721132</v>
      </c>
      <c r="N505" s="1">
        <v>723053</v>
      </c>
      <c r="O505" s="1">
        <v>651611</v>
      </c>
      <c r="P505" s="1">
        <v>738796</v>
      </c>
      <c r="Q505" s="1">
        <v>559594</v>
      </c>
      <c r="R505" s="1">
        <v>972792</v>
      </c>
      <c r="S505" s="1">
        <v>763347</v>
      </c>
      <c r="T505" s="1">
        <v>706017</v>
      </c>
      <c r="U505" s="1">
        <v>810933</v>
      </c>
      <c r="V505" s="1">
        <v>686129</v>
      </c>
      <c r="W505" s="1">
        <v>539462</v>
      </c>
      <c r="X505" s="1">
        <v>777976</v>
      </c>
      <c r="Y505" s="1">
        <v>784678</v>
      </c>
      <c r="Z505" s="1">
        <v>722905</v>
      </c>
      <c r="AA505" s="1">
        <v>867967</v>
      </c>
      <c r="AB505" s="1">
        <v>744853</v>
      </c>
      <c r="AC505" s="1">
        <v>736291</v>
      </c>
      <c r="AD505" s="1">
        <v>521554</v>
      </c>
      <c r="AE505" s="1">
        <v>955885</v>
      </c>
      <c r="AF505" s="1">
        <v>805617</v>
      </c>
      <c r="AG505" s="1">
        <v>1426586</v>
      </c>
      <c r="AH505" s="1">
        <v>383439</v>
      </c>
      <c r="AI505" s="1">
        <v>-98014</v>
      </c>
      <c r="AJ505" s="1">
        <v>906187</v>
      </c>
      <c r="AK505" s="1">
        <v>845428</v>
      </c>
      <c r="AL505" s="1">
        <v>857578</v>
      </c>
      <c r="AM505" s="50">
        <v>886960</v>
      </c>
      <c r="AN505" s="1">
        <v>870714</v>
      </c>
      <c r="AO505" s="1">
        <v>874284</v>
      </c>
      <c r="AP505" s="1">
        <v>874279</v>
      </c>
      <c r="AQ505" s="1">
        <v>871754</v>
      </c>
      <c r="AR505" s="1">
        <v>874085</v>
      </c>
      <c r="AS505" s="1">
        <v>876226</v>
      </c>
      <c r="AT505" s="1">
        <v>871995</v>
      </c>
      <c r="AU505" s="1">
        <v>874224</v>
      </c>
      <c r="AV505" s="1">
        <v>874224</v>
      </c>
      <c r="AW505" s="1">
        <v>871943</v>
      </c>
      <c r="AX505" s="1">
        <v>875175</v>
      </c>
      <c r="AY505" s="1"/>
      <c r="BA505" s="21">
        <f>SUM(C505:N505)</f>
        <v>7619103</v>
      </c>
      <c r="BB505" s="22">
        <f t="shared" ref="BB505" si="486">+BA505/12</f>
        <v>634925.25</v>
      </c>
      <c r="BD505" s="7">
        <f>SUM(O505:Z505)</f>
        <v>8714240</v>
      </c>
      <c r="BE505" s="7">
        <f t="shared" ref="BE505" si="487">+BD505-BA505</f>
        <v>1095137</v>
      </c>
      <c r="BF505" s="8">
        <f t="shared" ref="BF505" si="488">(BD505/BA505)-1</f>
        <v>0.14373568647122892</v>
      </c>
      <c r="BG505" s="7">
        <f t="shared" ref="BG505" si="489">BD505/12</f>
        <v>726186.66666666663</v>
      </c>
      <c r="BI505" s="12">
        <f>+SUM(AA505:AL505)</f>
        <v>8953371</v>
      </c>
      <c r="BJ505" s="12">
        <f t="shared" ref="BJ505" si="490">+BI505-BD505</f>
        <v>239131</v>
      </c>
      <c r="BK505" s="13">
        <f t="shared" ref="BK505" si="491">(BI505/BD505)-1</f>
        <v>2.7441406249999911E-2</v>
      </c>
      <c r="BL505" s="24">
        <f>SUM(AA505:AH505)/8</f>
        <v>805274</v>
      </c>
      <c r="BM505" s="24">
        <f>SUM(AI505:AL505)/4</f>
        <v>627794.75</v>
      </c>
      <c r="BO505" s="17">
        <f>+SUM(AM505:AX505)</f>
        <v>10495863</v>
      </c>
      <c r="BP505" s="17">
        <f t="shared" ref="BP505" si="492">+BO505-BI505</f>
        <v>1542492</v>
      </c>
      <c r="BQ505" s="18">
        <f t="shared" ref="BQ505" si="493">(BO505/BI505)-1</f>
        <v>0.17228058571458726</v>
      </c>
      <c r="BR505" s="25">
        <f t="shared" ref="BR505" si="494">BO505/12</f>
        <v>874655.25</v>
      </c>
    </row>
    <row r="506" spans="1:70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BA506" s="21"/>
      <c r="BB506" s="22"/>
      <c r="BD506" s="7"/>
      <c r="BE506" s="7"/>
      <c r="BF506" s="8"/>
      <c r="BG506" s="7"/>
      <c r="BI506" s="12"/>
      <c r="BJ506" s="12"/>
      <c r="BK506" s="13"/>
      <c r="BL506" s="24"/>
      <c r="BM506" s="24"/>
      <c r="BO506" s="17"/>
      <c r="BP506" s="17"/>
      <c r="BQ506" s="18"/>
      <c r="BR506" s="25"/>
    </row>
    <row r="507" spans="1:70">
      <c r="A507" t="s">
        <v>745</v>
      </c>
      <c r="B507">
        <v>410005</v>
      </c>
      <c r="C507" s="1">
        <v>0</v>
      </c>
      <c r="D507" s="1">
        <v>0</v>
      </c>
      <c r="E507" s="1">
        <v>0</v>
      </c>
      <c r="F507" s="1">
        <v>1442</v>
      </c>
      <c r="G507" s="1">
        <v>1366</v>
      </c>
      <c r="H507" s="1">
        <v>1366</v>
      </c>
      <c r="I507" s="1">
        <v>0</v>
      </c>
      <c r="J507" s="1">
        <v>2870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/>
      <c r="BA507" s="21">
        <f t="shared" ref="BA507:BA514" si="495">SUM(C507:N507)</f>
        <v>7044</v>
      </c>
      <c r="BB507" s="22">
        <f t="shared" ref="BB507:BB514" si="496">+BA507/12</f>
        <v>587</v>
      </c>
      <c r="BD507" s="7">
        <f t="shared" ref="BD507:BD514" si="497">SUM(O507:Z507)</f>
        <v>0</v>
      </c>
      <c r="BE507" s="7">
        <f t="shared" ref="BE507:BE514" si="498">+BD507-BA507</f>
        <v>-7044</v>
      </c>
      <c r="BF507" s="8">
        <f t="shared" ref="BF507:BF514" si="499">(BD507/BA507)-1</f>
        <v>-1</v>
      </c>
      <c r="BG507" s="7">
        <f t="shared" ref="BG507:BG514" si="500">BD507/12</f>
        <v>0</v>
      </c>
      <c r="BI507" s="12">
        <f t="shared" ref="BI507:BI514" si="501">+SUM(AA507:AL507)</f>
        <v>0</v>
      </c>
      <c r="BJ507" s="12">
        <f t="shared" ref="BJ507:BJ514" si="502">+BI507-BD507</f>
        <v>0</v>
      </c>
      <c r="BK507" s="13" t="e">
        <f t="shared" ref="BK507:BK514" si="503">(BI507/BD507)-1</f>
        <v>#DIV/0!</v>
      </c>
      <c r="BL507" s="24">
        <f t="shared" ref="BL507:BL514" si="504">SUM(AA507:AH507)/8</f>
        <v>0</v>
      </c>
      <c r="BM507" s="24">
        <f t="shared" ref="BM507:BM514" si="505">SUM(AI507:AL507)/4</f>
        <v>0</v>
      </c>
      <c r="BO507" s="17">
        <f t="shared" ref="BO507:BO514" si="506">+SUM(AM507:AX507)</f>
        <v>0</v>
      </c>
      <c r="BP507" s="17">
        <f t="shared" ref="BP507:BP514" si="507">+BO507-BI507</f>
        <v>0</v>
      </c>
      <c r="BQ507" s="18" t="e">
        <f t="shared" ref="BQ507:BQ514" si="508">(BO507/BI507)-1</f>
        <v>#DIV/0!</v>
      </c>
      <c r="BR507" s="25">
        <f t="shared" ref="BR507:BR514" si="509">BO507/12</f>
        <v>0</v>
      </c>
    </row>
    <row r="508" spans="1:70">
      <c r="A508" t="s">
        <v>746</v>
      </c>
      <c r="B508">
        <v>410010</v>
      </c>
      <c r="C508" s="1">
        <v>56841</v>
      </c>
      <c r="D508" s="1">
        <v>73152</v>
      </c>
      <c r="E508" s="1">
        <v>27878</v>
      </c>
      <c r="F508" s="1">
        <v>72558</v>
      </c>
      <c r="G508" s="1">
        <v>48745</v>
      </c>
      <c r="H508" s="1">
        <v>31511</v>
      </c>
      <c r="I508" s="1">
        <v>44449</v>
      </c>
      <c r="J508" s="1">
        <v>37815</v>
      </c>
      <c r="K508" s="1">
        <v>27219</v>
      </c>
      <c r="L508" s="1">
        <v>62890</v>
      </c>
      <c r="M508" s="1">
        <v>80079</v>
      </c>
      <c r="N508" s="1">
        <v>42111</v>
      </c>
      <c r="O508" s="1">
        <v>54600</v>
      </c>
      <c r="P508" s="1">
        <v>28680</v>
      </c>
      <c r="Q508" s="1">
        <v>88150</v>
      </c>
      <c r="R508" s="1">
        <v>48279</v>
      </c>
      <c r="S508" s="1">
        <v>47213</v>
      </c>
      <c r="T508" s="1">
        <v>29307</v>
      </c>
      <c r="U508" s="1">
        <v>48368</v>
      </c>
      <c r="V508" s="1">
        <v>57178</v>
      </c>
      <c r="W508" s="1">
        <v>34396</v>
      </c>
      <c r="X508" s="1">
        <v>70880</v>
      </c>
      <c r="Y508" s="1">
        <v>40950</v>
      </c>
      <c r="Z508" s="1">
        <v>30363</v>
      </c>
      <c r="AA508" s="1">
        <v>51502</v>
      </c>
      <c r="AB508" s="1">
        <v>47674</v>
      </c>
      <c r="AC508" s="1">
        <v>48677</v>
      </c>
      <c r="AD508" s="1">
        <v>38716</v>
      </c>
      <c r="AE508" s="1">
        <v>66256</v>
      </c>
      <c r="AF508" s="1">
        <v>43209</v>
      </c>
      <c r="AG508" s="1">
        <v>70472</v>
      </c>
      <c r="AH508" s="1">
        <v>80691</v>
      </c>
      <c r="AI508" s="1">
        <v>71201</v>
      </c>
      <c r="AJ508" s="1">
        <v>71777</v>
      </c>
      <c r="AK508" s="1">
        <v>79741</v>
      </c>
      <c r="AL508" s="1">
        <v>79741</v>
      </c>
      <c r="AM508" s="1">
        <v>83510</v>
      </c>
      <c r="AN508" s="1">
        <v>83510</v>
      </c>
      <c r="AO508" s="1">
        <v>83510</v>
      </c>
      <c r="AP508" s="1">
        <v>83510</v>
      </c>
      <c r="AQ508" s="1">
        <v>83596</v>
      </c>
      <c r="AR508" s="1">
        <v>83510</v>
      </c>
      <c r="AS508" s="1">
        <v>83510</v>
      </c>
      <c r="AT508" s="1">
        <v>83510</v>
      </c>
      <c r="AU508" s="1">
        <v>83510</v>
      </c>
      <c r="AV508" s="1">
        <v>83510</v>
      </c>
      <c r="AW508" s="1">
        <v>83510</v>
      </c>
      <c r="AX508" s="1">
        <v>83613</v>
      </c>
      <c r="AY508" s="1"/>
      <c r="BA508" s="21">
        <f t="shared" si="495"/>
        <v>605248</v>
      </c>
      <c r="BB508" s="22">
        <f t="shared" si="496"/>
        <v>50437.333333333336</v>
      </c>
      <c r="BD508" s="7">
        <f t="shared" si="497"/>
        <v>578364</v>
      </c>
      <c r="BE508" s="7">
        <f t="shared" si="498"/>
        <v>-26884</v>
      </c>
      <c r="BF508" s="8">
        <f t="shared" si="499"/>
        <v>-4.4418155863381603E-2</v>
      </c>
      <c r="BG508" s="7">
        <f t="shared" si="500"/>
        <v>48197</v>
      </c>
      <c r="BI508" s="12">
        <f t="shared" si="501"/>
        <v>749657</v>
      </c>
      <c r="BJ508" s="12">
        <f t="shared" si="502"/>
        <v>171293</v>
      </c>
      <c r="BK508" s="13">
        <f t="shared" si="503"/>
        <v>0.29616815707754984</v>
      </c>
      <c r="BL508" s="24">
        <f t="shared" si="504"/>
        <v>55899.625</v>
      </c>
      <c r="BM508" s="24">
        <f t="shared" si="505"/>
        <v>75615</v>
      </c>
      <c r="BO508" s="17">
        <f t="shared" si="506"/>
        <v>1002309</v>
      </c>
      <c r="BP508" s="17">
        <f t="shared" si="507"/>
        <v>252652</v>
      </c>
      <c r="BQ508" s="18">
        <f t="shared" si="508"/>
        <v>0.3370234653981754</v>
      </c>
      <c r="BR508" s="25">
        <f t="shared" si="509"/>
        <v>83525.75</v>
      </c>
    </row>
    <row r="509" spans="1:70">
      <c r="A509" t="s">
        <v>747</v>
      </c>
      <c r="B509">
        <v>410020</v>
      </c>
      <c r="C509" s="1">
        <v>33157</v>
      </c>
      <c r="D509" s="1">
        <v>32280</v>
      </c>
      <c r="E509" s="1">
        <v>34421</v>
      </c>
      <c r="F509" s="1">
        <v>32625</v>
      </c>
      <c r="G509" s="1">
        <v>31311</v>
      </c>
      <c r="H509" s="1">
        <v>32637</v>
      </c>
      <c r="I509" s="1">
        <v>35016</v>
      </c>
      <c r="J509" s="1">
        <v>33681</v>
      </c>
      <c r="K509" s="1">
        <v>35000</v>
      </c>
      <c r="L509" s="1">
        <v>35226</v>
      </c>
      <c r="M509" s="1">
        <v>33614</v>
      </c>
      <c r="N509" s="1">
        <v>34737</v>
      </c>
      <c r="O509" s="1">
        <v>34125</v>
      </c>
      <c r="P509" s="1">
        <v>32160</v>
      </c>
      <c r="Q509" s="1">
        <v>32307</v>
      </c>
      <c r="R509" s="1">
        <v>32442</v>
      </c>
      <c r="S509" s="1">
        <v>34243</v>
      </c>
      <c r="T509" s="1">
        <v>34675</v>
      </c>
      <c r="U509" s="1">
        <v>32748</v>
      </c>
      <c r="V509" s="1">
        <v>32924</v>
      </c>
      <c r="W509" s="1">
        <v>36337</v>
      </c>
      <c r="X509" s="1">
        <v>31177</v>
      </c>
      <c r="Y509" s="1">
        <v>33925</v>
      </c>
      <c r="Z509" s="1">
        <v>31022</v>
      </c>
      <c r="AA509" s="1">
        <v>31850</v>
      </c>
      <c r="AB509" s="1">
        <v>35723</v>
      </c>
      <c r="AC509" s="1">
        <v>34893</v>
      </c>
      <c r="AD509" s="1">
        <v>32187</v>
      </c>
      <c r="AE509" s="1">
        <v>35590</v>
      </c>
      <c r="AF509" s="1">
        <v>30464</v>
      </c>
      <c r="AG509" s="1">
        <v>33211</v>
      </c>
      <c r="AH509" s="1">
        <v>33567</v>
      </c>
      <c r="AI509" s="1">
        <v>36182</v>
      </c>
      <c r="AJ509" s="1">
        <v>30215</v>
      </c>
      <c r="AK509" s="1">
        <v>33567</v>
      </c>
      <c r="AL509" s="1">
        <v>33567</v>
      </c>
      <c r="AM509" s="1">
        <v>32444</v>
      </c>
      <c r="AN509" s="1">
        <v>32747</v>
      </c>
      <c r="AO509" s="1">
        <v>32444</v>
      </c>
      <c r="AP509" s="1">
        <v>32717</v>
      </c>
      <c r="AQ509" s="1">
        <v>32444</v>
      </c>
      <c r="AR509" s="1">
        <v>32444</v>
      </c>
      <c r="AS509" s="1">
        <v>32444</v>
      </c>
      <c r="AT509" s="1">
        <v>32444</v>
      </c>
      <c r="AU509" s="1">
        <v>32444</v>
      </c>
      <c r="AV509" s="1">
        <v>32444</v>
      </c>
      <c r="AW509" s="1">
        <v>32444</v>
      </c>
      <c r="AX509" s="1">
        <v>32524</v>
      </c>
      <c r="AY509" s="1"/>
      <c r="BA509" s="21">
        <f t="shared" si="495"/>
        <v>403705</v>
      </c>
      <c r="BB509" s="22">
        <f t="shared" si="496"/>
        <v>33642.083333333336</v>
      </c>
      <c r="BD509" s="7">
        <f t="shared" si="497"/>
        <v>398085</v>
      </c>
      <c r="BE509" s="7">
        <f t="shared" si="498"/>
        <v>-5620</v>
      </c>
      <c r="BF509" s="8">
        <f t="shared" si="499"/>
        <v>-1.392105621679196E-2</v>
      </c>
      <c r="BG509" s="7">
        <f t="shared" si="500"/>
        <v>33173.75</v>
      </c>
      <c r="BI509" s="12">
        <f t="shared" si="501"/>
        <v>401016</v>
      </c>
      <c r="BJ509" s="12">
        <f t="shared" si="502"/>
        <v>2931</v>
      </c>
      <c r="BK509" s="13">
        <f t="shared" si="503"/>
        <v>7.3627491616112817E-3</v>
      </c>
      <c r="BL509" s="24">
        <f t="shared" si="504"/>
        <v>33435.625</v>
      </c>
      <c r="BM509" s="24">
        <f t="shared" si="505"/>
        <v>33382.75</v>
      </c>
      <c r="BO509" s="17">
        <f t="shared" si="506"/>
        <v>389984</v>
      </c>
      <c r="BP509" s="17">
        <f t="shared" si="507"/>
        <v>-11032</v>
      </c>
      <c r="BQ509" s="18">
        <f t="shared" si="508"/>
        <v>-2.7510124284317872E-2</v>
      </c>
      <c r="BR509" s="25">
        <f t="shared" si="509"/>
        <v>32498.666666666668</v>
      </c>
    </row>
    <row r="510" spans="1:70">
      <c r="A510" t="s">
        <v>748</v>
      </c>
      <c r="B510">
        <v>410025</v>
      </c>
      <c r="C510" s="1">
        <v>35407</v>
      </c>
      <c r="D510" s="1">
        <v>34446</v>
      </c>
      <c r="E510" s="1">
        <v>31650</v>
      </c>
      <c r="F510" s="1">
        <v>27134</v>
      </c>
      <c r="G510" s="1">
        <v>26544</v>
      </c>
      <c r="H510" s="1">
        <v>27879</v>
      </c>
      <c r="I510" s="1">
        <v>23435</v>
      </c>
      <c r="J510" s="1">
        <v>29466</v>
      </c>
      <c r="K510" s="1">
        <v>32763</v>
      </c>
      <c r="L510" s="1">
        <v>25232</v>
      </c>
      <c r="M510" s="1">
        <v>24404</v>
      </c>
      <c r="N510" s="1">
        <v>30970</v>
      </c>
      <c r="O510" s="1">
        <v>30103</v>
      </c>
      <c r="P510" s="1">
        <v>33706</v>
      </c>
      <c r="Q510" s="1">
        <v>31994</v>
      </c>
      <c r="R510" s="1">
        <v>27676</v>
      </c>
      <c r="S510" s="1">
        <v>23000</v>
      </c>
      <c r="T510" s="1">
        <v>26414</v>
      </c>
      <c r="U510" s="1">
        <v>25297</v>
      </c>
      <c r="V510" s="1">
        <v>36071</v>
      </c>
      <c r="W510" s="1">
        <v>25022</v>
      </c>
      <c r="X510" s="1">
        <v>30781</v>
      </c>
      <c r="Y510" s="1">
        <v>24474</v>
      </c>
      <c r="Z510" s="1">
        <v>36399</v>
      </c>
      <c r="AA510" s="1">
        <v>31355</v>
      </c>
      <c r="AB510" s="1">
        <v>32865</v>
      </c>
      <c r="AC510" s="1">
        <v>39308</v>
      </c>
      <c r="AD510" s="1">
        <v>27336</v>
      </c>
      <c r="AE510" s="1">
        <v>19950</v>
      </c>
      <c r="AF510" s="1">
        <v>30094</v>
      </c>
      <c r="AG510" s="1">
        <v>34180</v>
      </c>
      <c r="AH510" s="1">
        <v>31743</v>
      </c>
      <c r="AI510" s="1">
        <v>38156</v>
      </c>
      <c r="AJ510" s="1">
        <v>28573</v>
      </c>
      <c r="AK510" s="1">
        <v>31743</v>
      </c>
      <c r="AL510" s="1">
        <v>31743</v>
      </c>
      <c r="AM510" s="1">
        <v>31001</v>
      </c>
      <c r="AN510" s="1">
        <v>31001</v>
      </c>
      <c r="AO510" s="1">
        <v>31002</v>
      </c>
      <c r="AP510" s="1">
        <v>31001</v>
      </c>
      <c r="AQ510" s="1">
        <v>31002</v>
      </c>
      <c r="AR510" s="1">
        <v>31001</v>
      </c>
      <c r="AS510" s="1">
        <v>31001</v>
      </c>
      <c r="AT510" s="1">
        <v>31002</v>
      </c>
      <c r="AU510" s="1">
        <v>31002</v>
      </c>
      <c r="AV510" s="1">
        <v>31001</v>
      </c>
      <c r="AW510" s="1">
        <v>31001</v>
      </c>
      <c r="AX510" s="1">
        <v>31075</v>
      </c>
      <c r="AY510" s="1"/>
      <c r="BA510" s="21">
        <f t="shared" si="495"/>
        <v>349330</v>
      </c>
      <c r="BB510" s="22">
        <f t="shared" si="496"/>
        <v>29110.833333333332</v>
      </c>
      <c r="BD510" s="7">
        <f t="shared" si="497"/>
        <v>350937</v>
      </c>
      <c r="BE510" s="7">
        <f t="shared" si="498"/>
        <v>1607</v>
      </c>
      <c r="BF510" s="8">
        <f t="shared" si="499"/>
        <v>4.6002347350642125E-3</v>
      </c>
      <c r="BG510" s="7">
        <f t="shared" si="500"/>
        <v>29244.75</v>
      </c>
      <c r="BI510" s="12">
        <f t="shared" si="501"/>
        <v>377046</v>
      </c>
      <c r="BJ510" s="12">
        <f t="shared" si="502"/>
        <v>26109</v>
      </c>
      <c r="BK510" s="13">
        <f t="shared" si="503"/>
        <v>7.4397968866206865E-2</v>
      </c>
      <c r="BL510" s="24">
        <f t="shared" si="504"/>
        <v>30853.875</v>
      </c>
      <c r="BM510" s="24">
        <f t="shared" si="505"/>
        <v>32553.75</v>
      </c>
      <c r="BO510" s="17">
        <f t="shared" si="506"/>
        <v>372090</v>
      </c>
      <c r="BP510" s="17">
        <f t="shared" si="507"/>
        <v>-4956</v>
      </c>
      <c r="BQ510" s="18">
        <f t="shared" si="508"/>
        <v>-1.3144284782228177E-2</v>
      </c>
      <c r="BR510" s="25">
        <f t="shared" si="509"/>
        <v>31007.5</v>
      </c>
    </row>
    <row r="511" spans="1:70">
      <c r="A511" t="s">
        <v>749</v>
      </c>
      <c r="B511">
        <v>410050</v>
      </c>
      <c r="C511" s="1">
        <v>74418</v>
      </c>
      <c r="D511" s="1">
        <v>71625</v>
      </c>
      <c r="E511" s="1">
        <v>72122</v>
      </c>
      <c r="F511" s="1">
        <v>72122</v>
      </c>
      <c r="G511" s="1">
        <v>72690</v>
      </c>
      <c r="H511" s="1">
        <v>73729</v>
      </c>
      <c r="I511" s="1">
        <v>77834</v>
      </c>
      <c r="J511" s="1">
        <v>76546</v>
      </c>
      <c r="K511" s="1">
        <v>74361</v>
      </c>
      <c r="L511" s="1">
        <v>73006</v>
      </c>
      <c r="M511" s="1">
        <v>73006</v>
      </c>
      <c r="N511" s="1">
        <v>73006</v>
      </c>
      <c r="O511" s="1">
        <v>73006</v>
      </c>
      <c r="P511" s="1">
        <v>73006</v>
      </c>
      <c r="Q511" s="1">
        <v>73006</v>
      </c>
      <c r="R511" s="1">
        <v>74714</v>
      </c>
      <c r="S511" s="1">
        <v>73697</v>
      </c>
      <c r="T511" s="1">
        <v>73274</v>
      </c>
      <c r="U511" s="1">
        <v>74539</v>
      </c>
      <c r="V511" s="1">
        <v>77564</v>
      </c>
      <c r="W511" s="1">
        <v>77130</v>
      </c>
      <c r="X511" s="1">
        <v>75891</v>
      </c>
      <c r="Y511" s="1">
        <v>75891</v>
      </c>
      <c r="Z511" s="1">
        <v>75891</v>
      </c>
      <c r="AA511" s="1">
        <v>75891</v>
      </c>
      <c r="AB511" s="1">
        <v>75891</v>
      </c>
      <c r="AC511" s="1">
        <v>76308</v>
      </c>
      <c r="AD511" s="1">
        <v>76308</v>
      </c>
      <c r="AE511" s="1">
        <v>76308</v>
      </c>
      <c r="AF511" s="1">
        <v>77934</v>
      </c>
      <c r="AG511" s="1">
        <v>79393</v>
      </c>
      <c r="AH511" s="1">
        <v>79686</v>
      </c>
      <c r="AI511" s="1">
        <v>78951</v>
      </c>
      <c r="AJ511" s="1">
        <v>71066</v>
      </c>
      <c r="AK511" s="1">
        <v>78951</v>
      </c>
      <c r="AL511" s="1">
        <v>78951</v>
      </c>
      <c r="AM511" s="1">
        <v>96565</v>
      </c>
      <c r="AN511" s="1">
        <v>98764</v>
      </c>
      <c r="AO511" s="1">
        <v>98764</v>
      </c>
      <c r="AP511" s="1">
        <v>100912</v>
      </c>
      <c r="AQ511" s="1">
        <v>102719</v>
      </c>
      <c r="AR511" s="1">
        <v>105748</v>
      </c>
      <c r="AS511" s="1">
        <v>105748</v>
      </c>
      <c r="AT511" s="1">
        <v>106769</v>
      </c>
      <c r="AU511" s="1">
        <v>130851</v>
      </c>
      <c r="AV511" s="1">
        <v>131474</v>
      </c>
      <c r="AW511" s="1">
        <v>130867</v>
      </c>
      <c r="AX511" s="1">
        <v>130868</v>
      </c>
      <c r="AY511" s="1"/>
      <c r="BA511" s="21">
        <f t="shared" si="495"/>
        <v>884465</v>
      </c>
      <c r="BB511" s="22">
        <f t="shared" si="496"/>
        <v>73705.416666666672</v>
      </c>
      <c r="BD511" s="7">
        <f t="shared" si="497"/>
        <v>897609</v>
      </c>
      <c r="BE511" s="7">
        <f t="shared" si="498"/>
        <v>13144</v>
      </c>
      <c r="BF511" s="8">
        <f t="shared" si="499"/>
        <v>1.4860961146003548E-2</v>
      </c>
      <c r="BG511" s="7">
        <f t="shared" si="500"/>
        <v>74800.75</v>
      </c>
      <c r="BI511" s="12">
        <f t="shared" si="501"/>
        <v>925638</v>
      </c>
      <c r="BJ511" s="12">
        <f t="shared" si="502"/>
        <v>28029</v>
      </c>
      <c r="BK511" s="13">
        <f t="shared" si="503"/>
        <v>3.1226291180235455E-2</v>
      </c>
      <c r="BL511" s="24">
        <f t="shared" si="504"/>
        <v>77214.875</v>
      </c>
      <c r="BM511" s="24">
        <f t="shared" si="505"/>
        <v>76979.75</v>
      </c>
      <c r="BO511" s="17">
        <f t="shared" si="506"/>
        <v>1340049</v>
      </c>
      <c r="BP511" s="17">
        <f t="shared" si="507"/>
        <v>414411</v>
      </c>
      <c r="BQ511" s="18">
        <f t="shared" si="508"/>
        <v>0.44770309775527806</v>
      </c>
      <c r="BR511" s="25">
        <f t="shared" si="509"/>
        <v>111670.75</v>
      </c>
    </row>
    <row r="512" spans="1:70">
      <c r="A512" t="s">
        <v>750</v>
      </c>
      <c r="B512">
        <v>410055</v>
      </c>
      <c r="C512" s="1">
        <v>23943</v>
      </c>
      <c r="D512" s="1">
        <v>23943</v>
      </c>
      <c r="E512" s="1">
        <v>23943</v>
      </c>
      <c r="F512" s="1">
        <v>23943</v>
      </c>
      <c r="G512" s="1">
        <v>23943</v>
      </c>
      <c r="H512" s="1">
        <v>23943</v>
      </c>
      <c r="I512" s="1">
        <v>23943</v>
      </c>
      <c r="J512" s="1">
        <v>23943</v>
      </c>
      <c r="K512" s="1">
        <v>15672</v>
      </c>
      <c r="L512" s="1">
        <v>14742</v>
      </c>
      <c r="M512" s="1">
        <v>14742</v>
      </c>
      <c r="N512" s="1">
        <v>14742</v>
      </c>
      <c r="O512" s="1">
        <v>14742</v>
      </c>
      <c r="P512" s="1">
        <v>14742</v>
      </c>
      <c r="Q512" s="1">
        <v>14742</v>
      </c>
      <c r="R512" s="1">
        <v>14742</v>
      </c>
      <c r="S512" s="1">
        <v>1917</v>
      </c>
      <c r="T512" s="1">
        <v>1917</v>
      </c>
      <c r="U512" s="1">
        <v>1917</v>
      </c>
      <c r="V512" s="1">
        <v>1917</v>
      </c>
      <c r="W512" s="1">
        <v>1917</v>
      </c>
      <c r="X512" s="1">
        <v>1917</v>
      </c>
      <c r="Y512" s="1">
        <v>1917</v>
      </c>
      <c r="Z512" s="1">
        <v>1916</v>
      </c>
      <c r="AA512" s="1">
        <v>1917</v>
      </c>
      <c r="AB512" s="1">
        <v>1917</v>
      </c>
      <c r="AC512" s="1">
        <v>1917</v>
      </c>
      <c r="AD512" s="1">
        <v>1917</v>
      </c>
      <c r="AE512" s="1">
        <v>1917</v>
      </c>
      <c r="AF512" s="1">
        <v>1917</v>
      </c>
      <c r="AG512" s="1">
        <v>1917</v>
      </c>
      <c r="AH512" s="1">
        <v>1917</v>
      </c>
      <c r="AI512" s="1">
        <v>1917</v>
      </c>
      <c r="AJ512" s="1">
        <v>1726</v>
      </c>
      <c r="AK512" s="1">
        <v>1917</v>
      </c>
      <c r="AL512" s="1">
        <v>1916</v>
      </c>
      <c r="AM512" s="1">
        <v>1807</v>
      </c>
      <c r="AN512" s="1">
        <v>1807</v>
      </c>
      <c r="AO512" s="1">
        <v>1807</v>
      </c>
      <c r="AP512" s="1">
        <v>1807</v>
      </c>
      <c r="AQ512" s="1">
        <v>1608</v>
      </c>
      <c r="AR512" s="1">
        <v>1608</v>
      </c>
      <c r="AS512" s="1">
        <v>1608</v>
      </c>
      <c r="AT512" s="1">
        <v>1608</v>
      </c>
      <c r="AU512" s="1">
        <v>1608</v>
      </c>
      <c r="AV512" s="1">
        <v>1608</v>
      </c>
      <c r="AW512" s="1">
        <v>1608</v>
      </c>
      <c r="AX512" s="1">
        <v>1608</v>
      </c>
      <c r="AY512" s="1"/>
      <c r="BA512" s="21">
        <f t="shared" si="495"/>
        <v>251442</v>
      </c>
      <c r="BB512" s="22">
        <f t="shared" si="496"/>
        <v>20953.5</v>
      </c>
      <c r="BD512" s="7">
        <f t="shared" si="497"/>
        <v>74303</v>
      </c>
      <c r="BE512" s="7">
        <f t="shared" si="498"/>
        <v>-177139</v>
      </c>
      <c r="BF512" s="8">
        <f t="shared" si="499"/>
        <v>-0.70449248733306291</v>
      </c>
      <c r="BG512" s="7">
        <f t="shared" si="500"/>
        <v>6191.916666666667</v>
      </c>
      <c r="BI512" s="12">
        <f t="shared" si="501"/>
        <v>22812</v>
      </c>
      <c r="BJ512" s="12">
        <f t="shared" si="502"/>
        <v>-51491</v>
      </c>
      <c r="BK512" s="13">
        <f t="shared" si="503"/>
        <v>-0.69298682421974889</v>
      </c>
      <c r="BL512" s="24">
        <f t="shared" si="504"/>
        <v>1917</v>
      </c>
      <c r="BM512" s="24">
        <f t="shared" si="505"/>
        <v>1869</v>
      </c>
      <c r="BO512" s="17">
        <f t="shared" si="506"/>
        <v>20092</v>
      </c>
      <c r="BP512" s="17">
        <f t="shared" si="507"/>
        <v>-2720</v>
      </c>
      <c r="BQ512" s="18">
        <f t="shared" si="508"/>
        <v>-0.11923549009293355</v>
      </c>
      <c r="BR512" s="25">
        <f t="shared" si="509"/>
        <v>1674.3333333333333</v>
      </c>
    </row>
    <row r="513" spans="1:70">
      <c r="A513" t="s">
        <v>751</v>
      </c>
      <c r="B513">
        <v>410060</v>
      </c>
      <c r="C513" s="1">
        <v>16792</v>
      </c>
      <c r="D513" s="1">
        <v>16792</v>
      </c>
      <c r="E513" s="1">
        <v>15316</v>
      </c>
      <c r="F513" s="1">
        <v>14163</v>
      </c>
      <c r="G513" s="1">
        <v>14163</v>
      </c>
      <c r="H513" s="1">
        <v>14163</v>
      </c>
      <c r="I513" s="1">
        <v>14163</v>
      </c>
      <c r="J513" s="1">
        <v>14163</v>
      </c>
      <c r="K513" s="1">
        <v>14576</v>
      </c>
      <c r="L513" s="1">
        <v>15323</v>
      </c>
      <c r="M513" s="1">
        <v>15476</v>
      </c>
      <c r="N513" s="1">
        <v>15821</v>
      </c>
      <c r="O513" s="1">
        <v>14411</v>
      </c>
      <c r="P513" s="1">
        <v>14577</v>
      </c>
      <c r="Q513" s="1">
        <v>14411</v>
      </c>
      <c r="R513" s="1">
        <v>15263</v>
      </c>
      <c r="S513" s="1">
        <v>15263</v>
      </c>
      <c r="T513" s="1">
        <v>15263</v>
      </c>
      <c r="U513" s="1">
        <v>15263</v>
      </c>
      <c r="V513" s="1">
        <v>15263</v>
      </c>
      <c r="W513" s="1">
        <v>15263</v>
      </c>
      <c r="X513" s="1">
        <v>15263</v>
      </c>
      <c r="Y513" s="1">
        <v>15098</v>
      </c>
      <c r="Z513" s="1">
        <v>15264</v>
      </c>
      <c r="AA513" s="1">
        <v>15198</v>
      </c>
      <c r="AB513" s="1">
        <v>15198</v>
      </c>
      <c r="AC513" s="1">
        <v>15198</v>
      </c>
      <c r="AD513" s="1">
        <v>21978</v>
      </c>
      <c r="AE513" s="1">
        <v>16893</v>
      </c>
      <c r="AF513" s="1">
        <v>16893</v>
      </c>
      <c r="AG513" s="1">
        <v>16893</v>
      </c>
      <c r="AH513" s="1">
        <v>16893</v>
      </c>
      <c r="AI513" s="1">
        <v>16893</v>
      </c>
      <c r="AJ513" s="1">
        <v>15206</v>
      </c>
      <c r="AK513" s="1">
        <v>16893</v>
      </c>
      <c r="AL513" s="1">
        <v>16893</v>
      </c>
      <c r="AM513" s="1">
        <v>15923</v>
      </c>
      <c r="AN513" s="1">
        <v>15923</v>
      </c>
      <c r="AO513" s="1">
        <v>15923</v>
      </c>
      <c r="AP513" s="1">
        <v>16680</v>
      </c>
      <c r="AQ513" s="1">
        <v>16680</v>
      </c>
      <c r="AR513" s="1">
        <v>16680</v>
      </c>
      <c r="AS513" s="1">
        <v>16680</v>
      </c>
      <c r="AT513" s="1">
        <v>16680</v>
      </c>
      <c r="AU513" s="1">
        <v>16680</v>
      </c>
      <c r="AV513" s="1">
        <v>16680</v>
      </c>
      <c r="AW513" s="1">
        <v>16680</v>
      </c>
      <c r="AX513" s="1">
        <v>16680</v>
      </c>
      <c r="AY513" s="1"/>
      <c r="BA513" s="21">
        <f t="shared" si="495"/>
        <v>180911</v>
      </c>
      <c r="BB513" s="22">
        <f t="shared" si="496"/>
        <v>15075.916666666666</v>
      </c>
      <c r="BD513" s="7">
        <f t="shared" si="497"/>
        <v>180602</v>
      </c>
      <c r="BE513" s="7">
        <f t="shared" si="498"/>
        <v>-309</v>
      </c>
      <c r="BF513" s="8">
        <f t="shared" si="499"/>
        <v>-1.7080221766504478E-3</v>
      </c>
      <c r="BG513" s="7">
        <f t="shared" si="500"/>
        <v>15050.166666666666</v>
      </c>
      <c r="BI513" s="12">
        <f t="shared" si="501"/>
        <v>201029</v>
      </c>
      <c r="BJ513" s="12">
        <f t="shared" si="502"/>
        <v>20427</v>
      </c>
      <c r="BK513" s="13">
        <f t="shared" si="503"/>
        <v>0.11310505974463192</v>
      </c>
      <c r="BL513" s="24">
        <f t="shared" si="504"/>
        <v>16893</v>
      </c>
      <c r="BM513" s="24">
        <f t="shared" si="505"/>
        <v>16471.25</v>
      </c>
      <c r="BO513" s="17">
        <f t="shared" si="506"/>
        <v>197889</v>
      </c>
      <c r="BP513" s="17">
        <f t="shared" si="507"/>
        <v>-3140</v>
      </c>
      <c r="BQ513" s="18">
        <f t="shared" si="508"/>
        <v>-1.5619636967800665E-2</v>
      </c>
      <c r="BR513" s="25">
        <f t="shared" si="509"/>
        <v>16490.75</v>
      </c>
    </row>
    <row r="514" spans="1:70">
      <c r="A514" t="s">
        <v>752</v>
      </c>
      <c r="B514">
        <v>410070</v>
      </c>
      <c r="C514" s="1">
        <v>62729</v>
      </c>
      <c r="D514" s="1">
        <v>60945</v>
      </c>
      <c r="E514" s="1">
        <v>59005</v>
      </c>
      <c r="F514" s="1">
        <v>56554</v>
      </c>
      <c r="G514" s="1">
        <v>58429</v>
      </c>
      <c r="H514" s="1">
        <v>59313</v>
      </c>
      <c r="I514" s="1">
        <v>65751</v>
      </c>
      <c r="J514" s="1">
        <v>64266</v>
      </c>
      <c r="K514" s="1">
        <v>67857</v>
      </c>
      <c r="L514" s="1">
        <v>70854</v>
      </c>
      <c r="M514" s="1">
        <v>23374</v>
      </c>
      <c r="N514" s="1">
        <v>59020</v>
      </c>
      <c r="O514" s="1">
        <v>60140</v>
      </c>
      <c r="P514" s="1">
        <v>63295</v>
      </c>
      <c r="Q514" s="1">
        <v>62252</v>
      </c>
      <c r="R514" s="1">
        <v>61694</v>
      </c>
      <c r="S514" s="1">
        <v>61735</v>
      </c>
      <c r="T514" s="1">
        <v>61855</v>
      </c>
      <c r="U514" s="1">
        <v>61963</v>
      </c>
      <c r="V514" s="1">
        <v>58959</v>
      </c>
      <c r="W514" s="1">
        <v>61382</v>
      </c>
      <c r="X514" s="1">
        <v>60484</v>
      </c>
      <c r="Y514" s="1">
        <v>60552</v>
      </c>
      <c r="Z514" s="1">
        <v>60671</v>
      </c>
      <c r="AA514" s="1">
        <v>61904</v>
      </c>
      <c r="AB514" s="1">
        <v>60552</v>
      </c>
      <c r="AC514" s="1">
        <v>60246</v>
      </c>
      <c r="AD514" s="1">
        <v>60552</v>
      </c>
      <c r="AE514" s="1">
        <v>60552</v>
      </c>
      <c r="AF514" s="1">
        <v>60552</v>
      </c>
      <c r="AG514" s="1">
        <v>60906</v>
      </c>
      <c r="AH514" s="1">
        <v>60951</v>
      </c>
      <c r="AI514" s="1">
        <v>60951</v>
      </c>
      <c r="AJ514" s="1">
        <v>54864</v>
      </c>
      <c r="AK514" s="1">
        <v>60951</v>
      </c>
      <c r="AL514" s="1">
        <v>60951</v>
      </c>
      <c r="AM514" s="1">
        <v>58840</v>
      </c>
      <c r="AN514" s="1">
        <v>58840</v>
      </c>
      <c r="AO514" s="1">
        <v>58840</v>
      </c>
      <c r="AP514" s="1">
        <v>58840</v>
      </c>
      <c r="AQ514" s="1">
        <v>58840</v>
      </c>
      <c r="AR514" s="1">
        <v>58840</v>
      </c>
      <c r="AS514" s="1">
        <v>58840</v>
      </c>
      <c r="AT514" s="1">
        <v>58840</v>
      </c>
      <c r="AU514" s="1">
        <v>58840</v>
      </c>
      <c r="AV514" s="1">
        <v>58840</v>
      </c>
      <c r="AW514" s="1">
        <v>58840</v>
      </c>
      <c r="AX514" s="1">
        <v>58887</v>
      </c>
      <c r="AY514" s="1"/>
      <c r="BA514" s="21">
        <f t="shared" si="495"/>
        <v>708097</v>
      </c>
      <c r="BB514" s="22">
        <f t="shared" si="496"/>
        <v>59008.083333333336</v>
      </c>
      <c r="BD514" s="7">
        <f t="shared" si="497"/>
        <v>734982</v>
      </c>
      <c r="BE514" s="7">
        <f t="shared" si="498"/>
        <v>26885</v>
      </c>
      <c r="BF514" s="8">
        <f t="shared" si="499"/>
        <v>3.7967962016503431E-2</v>
      </c>
      <c r="BG514" s="7">
        <f t="shared" si="500"/>
        <v>61248.5</v>
      </c>
      <c r="BI514" s="12">
        <f t="shared" si="501"/>
        <v>723932</v>
      </c>
      <c r="BJ514" s="12">
        <f t="shared" si="502"/>
        <v>-11050</v>
      </c>
      <c r="BK514" s="13">
        <f t="shared" si="503"/>
        <v>-1.50343817943841E-2</v>
      </c>
      <c r="BL514" s="24">
        <f t="shared" si="504"/>
        <v>60776.875</v>
      </c>
      <c r="BM514" s="24">
        <f t="shared" si="505"/>
        <v>59429.25</v>
      </c>
      <c r="BO514" s="17">
        <f t="shared" si="506"/>
        <v>706127</v>
      </c>
      <c r="BP514" s="17">
        <f t="shared" si="507"/>
        <v>-17805</v>
      </c>
      <c r="BQ514" s="18">
        <f t="shared" si="508"/>
        <v>-2.4594851450136179E-2</v>
      </c>
      <c r="BR514" s="25">
        <f t="shared" si="509"/>
        <v>58843.916666666664</v>
      </c>
    </row>
    <row r="515" spans="1:70">
      <c r="A515" t="s">
        <v>11</v>
      </c>
      <c r="B515" t="s">
        <v>12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BA515" s="21"/>
      <c r="BB515" s="22"/>
      <c r="BD515" s="7"/>
      <c r="BE515" s="7"/>
      <c r="BF515" s="8"/>
      <c r="BG515" s="7"/>
      <c r="BI515" s="12"/>
      <c r="BJ515" s="12"/>
      <c r="BK515" s="13"/>
      <c r="BL515" s="24"/>
      <c r="BM515" s="24"/>
      <c r="BO515" s="17"/>
      <c r="BP515" s="17"/>
      <c r="BQ515" s="18"/>
      <c r="BR515" s="25"/>
    </row>
    <row r="516" spans="1:70">
      <c r="A516" t="s">
        <v>753</v>
      </c>
      <c r="C516" s="1">
        <v>303288</v>
      </c>
      <c r="D516" s="1">
        <v>313184</v>
      </c>
      <c r="E516" s="1">
        <v>264336</v>
      </c>
      <c r="F516" s="1">
        <v>300541</v>
      </c>
      <c r="G516" s="1">
        <v>277191</v>
      </c>
      <c r="H516" s="1">
        <v>264542</v>
      </c>
      <c r="I516" s="1">
        <v>284591</v>
      </c>
      <c r="J516" s="1">
        <v>282750</v>
      </c>
      <c r="K516" s="1">
        <v>267450</v>
      </c>
      <c r="L516" s="1">
        <v>297273</v>
      </c>
      <c r="M516" s="1">
        <v>264695</v>
      </c>
      <c r="N516" s="1">
        <v>270407</v>
      </c>
      <c r="O516" s="1">
        <v>281126</v>
      </c>
      <c r="P516" s="1">
        <v>260165</v>
      </c>
      <c r="Q516" s="1">
        <v>316862</v>
      </c>
      <c r="R516" s="1">
        <v>274810</v>
      </c>
      <c r="S516" s="1">
        <v>257067</v>
      </c>
      <c r="T516" s="1">
        <v>242705</v>
      </c>
      <c r="U516" s="1">
        <v>260095</v>
      </c>
      <c r="V516" s="1">
        <v>279875</v>
      </c>
      <c r="W516" s="1">
        <v>251448</v>
      </c>
      <c r="X516" s="1">
        <v>286393</v>
      </c>
      <c r="Y516" s="1">
        <v>252807</v>
      </c>
      <c r="Z516" s="1">
        <v>251527</v>
      </c>
      <c r="AA516" s="1">
        <v>269618</v>
      </c>
      <c r="AB516" s="1">
        <v>269820</v>
      </c>
      <c r="AC516" s="1">
        <v>276546</v>
      </c>
      <c r="AD516" s="1">
        <v>258992</v>
      </c>
      <c r="AE516" s="1">
        <v>277465</v>
      </c>
      <c r="AF516" s="1">
        <v>261063</v>
      </c>
      <c r="AG516" s="1">
        <v>296971</v>
      </c>
      <c r="AH516" s="1">
        <v>305448</v>
      </c>
      <c r="AI516" s="1">
        <v>304251</v>
      </c>
      <c r="AJ516" s="1">
        <v>273426</v>
      </c>
      <c r="AK516" s="1">
        <v>303763</v>
      </c>
      <c r="AL516" s="1">
        <v>303762</v>
      </c>
      <c r="AM516" s="50">
        <v>320089</v>
      </c>
      <c r="AN516" s="1">
        <v>322592</v>
      </c>
      <c r="AO516" s="1">
        <v>322289</v>
      </c>
      <c r="AP516" s="1">
        <v>325467</v>
      </c>
      <c r="AQ516" s="1">
        <v>326888</v>
      </c>
      <c r="AR516" s="1">
        <v>329831</v>
      </c>
      <c r="AS516" s="1">
        <v>329831</v>
      </c>
      <c r="AT516" s="1">
        <v>330852</v>
      </c>
      <c r="AU516" s="1">
        <v>354935</v>
      </c>
      <c r="AV516" s="1">
        <v>355557</v>
      </c>
      <c r="AW516" s="1">
        <v>354950</v>
      </c>
      <c r="AX516" s="1">
        <v>355255</v>
      </c>
      <c r="AY516" s="1"/>
      <c r="BA516" s="21">
        <f>SUM(C516:N516)</f>
        <v>3390248</v>
      </c>
      <c r="BB516" s="22">
        <f t="shared" ref="BB516" si="510">+BA516/12</f>
        <v>282520.66666666669</v>
      </c>
      <c r="BD516" s="7">
        <f>SUM(O516:Z516)</f>
        <v>3214880</v>
      </c>
      <c r="BE516" s="7">
        <f t="shared" ref="BE516" si="511">+BD516-BA516</f>
        <v>-175368</v>
      </c>
      <c r="BF516" s="8">
        <f t="shared" ref="BF516" si="512">(BD516/BA516)-1</f>
        <v>-5.1727189279368369E-2</v>
      </c>
      <c r="BG516" s="7">
        <f t="shared" ref="BG516" si="513">BD516/12</f>
        <v>267906.66666666669</v>
      </c>
      <c r="BI516" s="12">
        <f>+SUM(AA516:AL516)</f>
        <v>3401125</v>
      </c>
      <c r="BJ516" s="12">
        <f t="shared" ref="BJ516" si="514">+BI516-BD516</f>
        <v>186245</v>
      </c>
      <c r="BK516" s="13">
        <f t="shared" ref="BK516" si="515">(BI516/BD516)-1</f>
        <v>5.7932177872890955E-2</v>
      </c>
      <c r="BL516" s="24">
        <f>SUM(AA516:AH516)/8</f>
        <v>276990.375</v>
      </c>
      <c r="BM516" s="24">
        <f>SUM(AI516:AL516)/4</f>
        <v>296300.5</v>
      </c>
      <c r="BO516" s="17">
        <f>+SUM(AM516:AX516)</f>
        <v>4028536</v>
      </c>
      <c r="BP516" s="17">
        <f t="shared" ref="BP516" si="516">+BO516-BI516</f>
        <v>627411</v>
      </c>
      <c r="BQ516" s="18">
        <f t="shared" ref="BQ516" si="517">(BO516/BI516)-1</f>
        <v>0.18447160865889956</v>
      </c>
      <c r="BR516" s="25">
        <f t="shared" ref="BR516" si="518">BO516/12</f>
        <v>335711.33333333331</v>
      </c>
    </row>
    <row r="517" spans="1:70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BA517" s="21"/>
      <c r="BB517" s="22"/>
      <c r="BD517" s="7"/>
      <c r="BE517" s="7"/>
      <c r="BF517" s="8"/>
      <c r="BG517" s="7"/>
      <c r="BI517" s="12"/>
      <c r="BJ517" s="12"/>
      <c r="BK517" s="13"/>
      <c r="BL517" s="24"/>
      <c r="BM517" s="24"/>
      <c r="BO517" s="17"/>
      <c r="BP517" s="17"/>
      <c r="BQ517" s="18"/>
      <c r="BR517" s="25"/>
    </row>
    <row r="518" spans="1:70">
      <c r="A518" t="s">
        <v>754</v>
      </c>
      <c r="B518">
        <v>420005</v>
      </c>
      <c r="C518" s="1">
        <v>3405</v>
      </c>
      <c r="D518" s="1">
        <v>3405</v>
      </c>
      <c r="E518" s="1">
        <v>6995</v>
      </c>
      <c r="F518" s="1">
        <v>5859</v>
      </c>
      <c r="G518" s="1">
        <v>2902</v>
      </c>
      <c r="H518" s="1">
        <v>-2574</v>
      </c>
      <c r="I518" s="1">
        <v>2911</v>
      </c>
      <c r="J518" s="1">
        <v>2911</v>
      </c>
      <c r="K518" s="1">
        <v>2911</v>
      </c>
      <c r="L518" s="1">
        <v>3217</v>
      </c>
      <c r="M518" s="1">
        <v>3080</v>
      </c>
      <c r="N518" s="1">
        <v>3080</v>
      </c>
      <c r="O518" s="1">
        <v>2732</v>
      </c>
      <c r="P518" s="1">
        <v>2866</v>
      </c>
      <c r="Q518" s="1">
        <v>2866</v>
      </c>
      <c r="R518" s="1">
        <v>5540</v>
      </c>
      <c r="S518" s="1">
        <v>2864</v>
      </c>
      <c r="T518" s="1">
        <v>2747</v>
      </c>
      <c r="U518" s="1">
        <v>2747</v>
      </c>
      <c r="V518" s="1">
        <v>2747</v>
      </c>
      <c r="W518" s="1">
        <v>2747</v>
      </c>
      <c r="X518" s="1">
        <v>2747</v>
      </c>
      <c r="Y518" s="1">
        <v>2747</v>
      </c>
      <c r="Z518" s="1">
        <v>2748</v>
      </c>
      <c r="AA518" s="1">
        <v>2754</v>
      </c>
      <c r="AB518" s="1">
        <v>2754</v>
      </c>
      <c r="AC518" s="1">
        <v>4403</v>
      </c>
      <c r="AD518" s="1">
        <v>-755</v>
      </c>
      <c r="AE518" s="1">
        <v>1358</v>
      </c>
      <c r="AF518" s="1">
        <v>1358</v>
      </c>
      <c r="AG518" s="1">
        <v>1358</v>
      </c>
      <c r="AH518" s="1">
        <v>1358</v>
      </c>
      <c r="AI518" s="1">
        <v>1358</v>
      </c>
      <c r="AJ518" s="1">
        <v>1419</v>
      </c>
      <c r="AK518" s="1">
        <v>1400</v>
      </c>
      <c r="AL518" s="1">
        <v>1404</v>
      </c>
      <c r="AM518" s="1">
        <v>1186</v>
      </c>
      <c r="AN518" s="1">
        <v>1479</v>
      </c>
      <c r="AO518" s="1">
        <v>1310</v>
      </c>
      <c r="AP518" s="1">
        <v>20995</v>
      </c>
      <c r="AQ518" s="1">
        <v>21391</v>
      </c>
      <c r="AR518" s="1">
        <v>21787</v>
      </c>
      <c r="AS518" s="1">
        <v>22183</v>
      </c>
      <c r="AT518" s="1">
        <v>22579</v>
      </c>
      <c r="AU518" s="1">
        <v>22975</v>
      </c>
      <c r="AV518" s="1">
        <v>24428</v>
      </c>
      <c r="AW518" s="1">
        <v>23767</v>
      </c>
      <c r="AX518" s="1">
        <v>1455</v>
      </c>
      <c r="AY518" s="1"/>
      <c r="BA518" s="21">
        <f t="shared" ref="BA518:BA581" si="519">SUM(C518:N518)</f>
        <v>38102</v>
      </c>
      <c r="BB518" s="22">
        <f t="shared" ref="BB518:BB581" si="520">+BA518/12</f>
        <v>3175.1666666666665</v>
      </c>
      <c r="BD518" s="7">
        <f t="shared" ref="BD518:BD581" si="521">SUM(O518:Z518)</f>
        <v>36098</v>
      </c>
      <c r="BE518" s="7">
        <f t="shared" ref="BE518:BE581" si="522">+BD518-BA518</f>
        <v>-2004</v>
      </c>
      <c r="BF518" s="8">
        <f t="shared" ref="BF518:BF581" si="523">(BD518/BA518)-1</f>
        <v>-5.2595664269592168E-2</v>
      </c>
      <c r="BG518" s="7">
        <f t="shared" ref="BG518:BG581" si="524">BD518/12</f>
        <v>3008.1666666666665</v>
      </c>
      <c r="BI518" s="12">
        <f t="shared" ref="BI518:BI581" si="525">+SUM(AA518:AL518)</f>
        <v>20169</v>
      </c>
      <c r="BJ518" s="12">
        <f t="shared" ref="BJ518:BJ581" si="526">+BI518-BD518</f>
        <v>-15929</v>
      </c>
      <c r="BK518" s="13">
        <f t="shared" ref="BK518:BK581" si="527">(BI518/BD518)-1</f>
        <v>-0.44127098454207991</v>
      </c>
      <c r="BL518" s="24">
        <f t="shared" ref="BL518:BL581" si="528">SUM(AA518:AH518)/8</f>
        <v>1823.5</v>
      </c>
      <c r="BM518" s="24">
        <f t="shared" ref="BM518:BM581" si="529">SUM(AI518:AL518)/4</f>
        <v>1395.25</v>
      </c>
      <c r="BO518" s="17">
        <f t="shared" ref="BO518:BO581" si="530">+SUM(AM518:AX518)</f>
        <v>185535</v>
      </c>
      <c r="BP518" s="17">
        <f t="shared" ref="BP518:BP581" si="531">+BO518-BI518</f>
        <v>165366</v>
      </c>
      <c r="BQ518" s="18">
        <f t="shared" ref="BQ518:BQ581" si="532">(BO518/BI518)-1</f>
        <v>8.1990182954038371</v>
      </c>
      <c r="BR518" s="25">
        <f t="shared" ref="BR518:BR581" si="533">BO518/12</f>
        <v>15461.25</v>
      </c>
    </row>
    <row r="519" spans="1:70">
      <c r="A519" t="s">
        <v>755</v>
      </c>
      <c r="B519">
        <v>420010</v>
      </c>
      <c r="C519" s="1">
        <v>46412</v>
      </c>
      <c r="D519" s="1">
        <v>38167</v>
      </c>
      <c r="E519" s="1">
        <v>35447</v>
      </c>
      <c r="F519" s="1">
        <v>31210</v>
      </c>
      <c r="G519" s="1">
        <v>43821</v>
      </c>
      <c r="H519" s="1">
        <v>46011</v>
      </c>
      <c r="I519" s="1">
        <v>33263</v>
      </c>
      <c r="J519" s="1">
        <v>50236</v>
      </c>
      <c r="K519" s="1">
        <v>45993</v>
      </c>
      <c r="L519" s="1">
        <v>51568</v>
      </c>
      <c r="M519" s="1">
        <v>48408</v>
      </c>
      <c r="N519" s="1">
        <v>48372</v>
      </c>
      <c r="O519" s="1">
        <v>60671</v>
      </c>
      <c r="P519" s="1">
        <v>56297</v>
      </c>
      <c r="Q519" s="1">
        <v>49576</v>
      </c>
      <c r="R519" s="1">
        <v>46703</v>
      </c>
      <c r="S519" s="1">
        <v>39843</v>
      </c>
      <c r="T519" s="1">
        <v>54922</v>
      </c>
      <c r="U519" s="1">
        <v>42877</v>
      </c>
      <c r="V519" s="1">
        <v>38274</v>
      </c>
      <c r="W519" s="1">
        <v>46074</v>
      </c>
      <c r="X519" s="1">
        <v>61237</v>
      </c>
      <c r="Y519" s="1">
        <v>36454</v>
      </c>
      <c r="Z519" s="1">
        <v>41846</v>
      </c>
      <c r="AA519" s="1">
        <v>52258</v>
      </c>
      <c r="AB519" s="1">
        <v>48991</v>
      </c>
      <c r="AC519" s="1">
        <v>41683</v>
      </c>
      <c r="AD519" s="1">
        <v>55969</v>
      </c>
      <c r="AE519" s="1">
        <v>48535</v>
      </c>
      <c r="AF519" s="1">
        <v>56322</v>
      </c>
      <c r="AG519" s="1">
        <v>41011</v>
      </c>
      <c r="AH519" s="1">
        <v>55089</v>
      </c>
      <c r="AI519" s="1">
        <v>67562</v>
      </c>
      <c r="AJ519" s="1">
        <v>52700</v>
      </c>
      <c r="AK519" s="1">
        <v>51820</v>
      </c>
      <c r="AL519" s="1">
        <v>51820</v>
      </c>
      <c r="AM519" s="1">
        <v>45016</v>
      </c>
      <c r="AN519" s="1">
        <v>56165</v>
      </c>
      <c r="AO519" s="1">
        <v>49730</v>
      </c>
      <c r="AP519" s="1">
        <v>20995</v>
      </c>
      <c r="AQ519" s="1">
        <v>21391</v>
      </c>
      <c r="AR519" s="1">
        <v>21787</v>
      </c>
      <c r="AS519" s="1">
        <v>22183</v>
      </c>
      <c r="AT519" s="1">
        <v>22579</v>
      </c>
      <c r="AU519" s="1">
        <v>22975</v>
      </c>
      <c r="AV519" s="1">
        <v>24428</v>
      </c>
      <c r="AW519" s="1">
        <v>23767</v>
      </c>
      <c r="AX519" s="1">
        <v>60621</v>
      </c>
      <c r="AY519" s="1"/>
      <c r="BA519" s="21">
        <f t="shared" si="519"/>
        <v>518908</v>
      </c>
      <c r="BB519" s="22">
        <f t="shared" si="520"/>
        <v>43242.333333333336</v>
      </c>
      <c r="BD519" s="7">
        <f t="shared" si="521"/>
        <v>574774</v>
      </c>
      <c r="BE519" s="7">
        <f t="shared" si="522"/>
        <v>55866</v>
      </c>
      <c r="BF519" s="8">
        <f t="shared" si="523"/>
        <v>0.10766070286062268</v>
      </c>
      <c r="BG519" s="7">
        <f t="shared" si="524"/>
        <v>47897.833333333336</v>
      </c>
      <c r="BI519" s="12">
        <f t="shared" si="525"/>
        <v>623760</v>
      </c>
      <c r="BJ519" s="12">
        <f t="shared" si="526"/>
        <v>48986</v>
      </c>
      <c r="BK519" s="13">
        <f t="shared" si="527"/>
        <v>8.5226541214459939E-2</v>
      </c>
      <c r="BL519" s="24">
        <f t="shared" si="528"/>
        <v>49982.25</v>
      </c>
      <c r="BM519" s="24">
        <f t="shared" si="529"/>
        <v>55975.5</v>
      </c>
      <c r="BO519" s="17">
        <f t="shared" si="530"/>
        <v>391637</v>
      </c>
      <c r="BP519" s="17">
        <f t="shared" si="531"/>
        <v>-232123</v>
      </c>
      <c r="BQ519" s="18">
        <f t="shared" si="532"/>
        <v>-0.37213511607028349</v>
      </c>
      <c r="BR519" s="25">
        <f t="shared" si="533"/>
        <v>32636.416666666668</v>
      </c>
    </row>
    <row r="520" spans="1:70">
      <c r="A520" t="s">
        <v>756</v>
      </c>
      <c r="B520">
        <v>420015</v>
      </c>
      <c r="C520" s="1">
        <v>66579</v>
      </c>
      <c r="D520" s="1">
        <v>56357</v>
      </c>
      <c r="E520" s="1">
        <v>56167</v>
      </c>
      <c r="F520" s="1">
        <v>58323</v>
      </c>
      <c r="G520" s="1">
        <v>63234</v>
      </c>
      <c r="H520" s="1">
        <v>64658</v>
      </c>
      <c r="I520" s="1">
        <v>63298</v>
      </c>
      <c r="J520" s="1">
        <v>61344</v>
      </c>
      <c r="K520" s="1">
        <v>38889</v>
      </c>
      <c r="L520" s="1">
        <v>55114</v>
      </c>
      <c r="M520" s="1">
        <v>63707</v>
      </c>
      <c r="N520" s="1">
        <v>56968</v>
      </c>
      <c r="O520" s="1">
        <v>52123</v>
      </c>
      <c r="P520" s="1">
        <v>39111</v>
      </c>
      <c r="Q520" s="1">
        <v>40838</v>
      </c>
      <c r="R520" s="1">
        <v>44450</v>
      </c>
      <c r="S520" s="1">
        <v>64834</v>
      </c>
      <c r="T520" s="1">
        <v>63392</v>
      </c>
      <c r="U520" s="1">
        <v>50847</v>
      </c>
      <c r="V520" s="1">
        <v>50530</v>
      </c>
      <c r="W520" s="1">
        <v>48244</v>
      </c>
      <c r="X520" s="1">
        <v>50908</v>
      </c>
      <c r="Y520" s="1">
        <v>32206</v>
      </c>
      <c r="Z520" s="1">
        <v>38532</v>
      </c>
      <c r="AA520" s="1">
        <v>16434</v>
      </c>
      <c r="AB520" s="1">
        <v>30330</v>
      </c>
      <c r="AC520" s="1">
        <v>27851</v>
      </c>
      <c r="AD520" s="1">
        <v>29199</v>
      </c>
      <c r="AE520" s="1">
        <v>26765</v>
      </c>
      <c r="AF520" s="1">
        <v>28212</v>
      </c>
      <c r="AG520" s="1">
        <v>28391</v>
      </c>
      <c r="AH520" s="1">
        <v>28151</v>
      </c>
      <c r="AI520" s="1">
        <v>26637</v>
      </c>
      <c r="AJ520" s="1">
        <v>17782</v>
      </c>
      <c r="AK520" s="1">
        <v>17485</v>
      </c>
      <c r="AL520" s="1">
        <v>17485</v>
      </c>
      <c r="AM520" s="1">
        <v>12942</v>
      </c>
      <c r="AN520" s="1">
        <v>16147</v>
      </c>
      <c r="AO520" s="1">
        <v>14297</v>
      </c>
      <c r="AP520" s="1">
        <v>20995</v>
      </c>
      <c r="AQ520" s="1">
        <v>21391</v>
      </c>
      <c r="AR520" s="1">
        <v>21787</v>
      </c>
      <c r="AS520" s="1">
        <v>22183</v>
      </c>
      <c r="AT520" s="1">
        <v>22579</v>
      </c>
      <c r="AU520" s="1">
        <v>22975</v>
      </c>
      <c r="AV520" s="1">
        <v>24428</v>
      </c>
      <c r="AW520" s="1">
        <v>23767</v>
      </c>
      <c r="AX520" s="1">
        <v>17428</v>
      </c>
      <c r="AY520" s="1"/>
      <c r="BA520" s="21">
        <f t="shared" si="519"/>
        <v>704638</v>
      </c>
      <c r="BB520" s="22">
        <f t="shared" si="520"/>
        <v>58719.833333333336</v>
      </c>
      <c r="BD520" s="7">
        <f t="shared" si="521"/>
        <v>576015</v>
      </c>
      <c r="BE520" s="7">
        <f t="shared" si="522"/>
        <v>-128623</v>
      </c>
      <c r="BF520" s="8">
        <f t="shared" si="523"/>
        <v>-0.18253770020918547</v>
      </c>
      <c r="BG520" s="7">
        <f t="shared" si="524"/>
        <v>48001.25</v>
      </c>
      <c r="BI520" s="12">
        <f t="shared" si="525"/>
        <v>294722</v>
      </c>
      <c r="BJ520" s="12">
        <f t="shared" si="526"/>
        <v>-281293</v>
      </c>
      <c r="BK520" s="13">
        <f t="shared" si="527"/>
        <v>-0.48834318550732181</v>
      </c>
      <c r="BL520" s="24">
        <f t="shared" si="528"/>
        <v>26916.625</v>
      </c>
      <c r="BM520" s="24">
        <f t="shared" si="529"/>
        <v>19847.25</v>
      </c>
      <c r="BO520" s="17">
        <f t="shared" si="530"/>
        <v>240919</v>
      </c>
      <c r="BP520" s="17">
        <f t="shared" si="531"/>
        <v>-53803</v>
      </c>
      <c r="BQ520" s="18">
        <f t="shared" si="532"/>
        <v>-0.18255508580967827</v>
      </c>
      <c r="BR520" s="25">
        <f t="shared" si="533"/>
        <v>20076.583333333332</v>
      </c>
    </row>
    <row r="521" spans="1:70">
      <c r="A521" t="s">
        <v>757</v>
      </c>
      <c r="B521">
        <v>420020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20995</v>
      </c>
      <c r="AQ521" s="1">
        <v>21391</v>
      </c>
      <c r="AR521" s="1">
        <v>21787</v>
      </c>
      <c r="AS521" s="1">
        <v>22183</v>
      </c>
      <c r="AT521" s="1">
        <v>22579</v>
      </c>
      <c r="AU521" s="1">
        <v>22975</v>
      </c>
      <c r="AV521" s="1">
        <v>24428</v>
      </c>
      <c r="AW521" s="1">
        <v>23767</v>
      </c>
      <c r="AX521" s="1">
        <v>0</v>
      </c>
      <c r="AY521" s="1"/>
      <c r="BA521" s="21">
        <f t="shared" si="519"/>
        <v>0</v>
      </c>
      <c r="BB521" s="22">
        <f t="shared" si="520"/>
        <v>0</v>
      </c>
      <c r="BD521" s="7">
        <f t="shared" si="521"/>
        <v>0</v>
      </c>
      <c r="BE521" s="7">
        <f t="shared" si="522"/>
        <v>0</v>
      </c>
      <c r="BF521" s="8" t="e">
        <f t="shared" si="523"/>
        <v>#DIV/0!</v>
      </c>
      <c r="BG521" s="7">
        <f t="shared" si="524"/>
        <v>0</v>
      </c>
      <c r="BI521" s="12">
        <f t="shared" si="525"/>
        <v>0</v>
      </c>
      <c r="BJ521" s="12">
        <f t="shared" si="526"/>
        <v>0</v>
      </c>
      <c r="BK521" s="13" t="e">
        <f t="shared" si="527"/>
        <v>#DIV/0!</v>
      </c>
      <c r="BL521" s="24">
        <f t="shared" si="528"/>
        <v>0</v>
      </c>
      <c r="BM521" s="24">
        <f t="shared" si="529"/>
        <v>0</v>
      </c>
      <c r="BO521" s="17">
        <f t="shared" si="530"/>
        <v>180105</v>
      </c>
      <c r="BP521" s="17">
        <f t="shared" si="531"/>
        <v>180105</v>
      </c>
      <c r="BQ521" s="18" t="e">
        <f t="shared" si="532"/>
        <v>#DIV/0!</v>
      </c>
      <c r="BR521" s="25">
        <f t="shared" si="533"/>
        <v>15008.75</v>
      </c>
    </row>
    <row r="522" spans="1:70">
      <c r="A522" t="s">
        <v>758</v>
      </c>
      <c r="B522">
        <v>420025</v>
      </c>
      <c r="C522" s="1">
        <v>1238</v>
      </c>
      <c r="D522" s="1">
        <v>2594</v>
      </c>
      <c r="E522" s="1">
        <v>2419</v>
      </c>
      <c r="F522" s="1">
        <v>2185</v>
      </c>
      <c r="G522" s="1">
        <v>1705</v>
      </c>
      <c r="H522" s="1">
        <v>2177</v>
      </c>
      <c r="I522" s="1">
        <v>2527</v>
      </c>
      <c r="J522" s="1">
        <v>1090</v>
      </c>
      <c r="K522" s="1">
        <v>1529</v>
      </c>
      <c r="L522" s="1">
        <v>1847</v>
      </c>
      <c r="M522" s="1">
        <v>1053</v>
      </c>
      <c r="N522" s="1">
        <v>1339</v>
      </c>
      <c r="O522" s="1">
        <v>1511</v>
      </c>
      <c r="P522" s="1">
        <v>572</v>
      </c>
      <c r="Q522" s="1">
        <v>1167</v>
      </c>
      <c r="R522" s="1">
        <v>1156</v>
      </c>
      <c r="S522" s="1">
        <v>1290</v>
      </c>
      <c r="T522" s="1">
        <v>1136</v>
      </c>
      <c r="U522" s="1">
        <v>760</v>
      </c>
      <c r="V522" s="1">
        <v>1326</v>
      </c>
      <c r="W522" s="1">
        <v>1204</v>
      </c>
      <c r="X522" s="1">
        <v>1674</v>
      </c>
      <c r="Y522" s="1">
        <v>994</v>
      </c>
      <c r="Z522" s="1">
        <v>2496</v>
      </c>
      <c r="AA522" s="1">
        <v>394</v>
      </c>
      <c r="AB522" s="1">
        <v>2540</v>
      </c>
      <c r="AC522" s="1">
        <v>2540</v>
      </c>
      <c r="AD522" s="1">
        <v>4238</v>
      </c>
      <c r="AE522" s="1">
        <v>3106</v>
      </c>
      <c r="AF522" s="1">
        <v>1236</v>
      </c>
      <c r="AG522" s="1">
        <v>1676</v>
      </c>
      <c r="AH522" s="1">
        <v>1110</v>
      </c>
      <c r="AI522" s="1">
        <v>0</v>
      </c>
      <c r="AJ522" s="1">
        <v>2034</v>
      </c>
      <c r="AK522" s="1">
        <v>2000</v>
      </c>
      <c r="AL522" s="1">
        <v>2000</v>
      </c>
      <c r="AM522" s="1">
        <v>1480</v>
      </c>
      <c r="AN522" s="1">
        <v>1847</v>
      </c>
      <c r="AO522" s="1">
        <v>1635</v>
      </c>
      <c r="AP522" s="1">
        <v>20995</v>
      </c>
      <c r="AQ522" s="1">
        <v>21391</v>
      </c>
      <c r="AR522" s="1">
        <v>21787</v>
      </c>
      <c r="AS522" s="1">
        <v>22183</v>
      </c>
      <c r="AT522" s="1">
        <v>22579</v>
      </c>
      <c r="AU522" s="1">
        <v>22975</v>
      </c>
      <c r="AV522" s="1">
        <v>24428</v>
      </c>
      <c r="AW522" s="1">
        <v>23767</v>
      </c>
      <c r="AX522" s="1">
        <v>1993</v>
      </c>
      <c r="AY522" s="1"/>
      <c r="BA522" s="21">
        <f t="shared" si="519"/>
        <v>21703</v>
      </c>
      <c r="BB522" s="22">
        <f t="shared" si="520"/>
        <v>1808.5833333333333</v>
      </c>
      <c r="BD522" s="7">
        <f t="shared" si="521"/>
        <v>15286</v>
      </c>
      <c r="BE522" s="7">
        <f t="shared" si="522"/>
        <v>-6417</v>
      </c>
      <c r="BF522" s="8">
        <f t="shared" si="523"/>
        <v>-0.29567340920610052</v>
      </c>
      <c r="BG522" s="7">
        <f t="shared" si="524"/>
        <v>1273.8333333333333</v>
      </c>
      <c r="BI522" s="12">
        <f t="shared" si="525"/>
        <v>22874</v>
      </c>
      <c r="BJ522" s="12">
        <f t="shared" si="526"/>
        <v>7588</v>
      </c>
      <c r="BK522" s="13">
        <f t="shared" si="527"/>
        <v>0.49640193641240349</v>
      </c>
      <c r="BL522" s="24">
        <f t="shared" si="528"/>
        <v>2105</v>
      </c>
      <c r="BM522" s="24">
        <f t="shared" si="529"/>
        <v>1508.5</v>
      </c>
      <c r="BO522" s="17">
        <f t="shared" si="530"/>
        <v>187060</v>
      </c>
      <c r="BP522" s="17">
        <f t="shared" si="531"/>
        <v>164186</v>
      </c>
      <c r="BQ522" s="18">
        <f t="shared" si="532"/>
        <v>7.1778438401678759</v>
      </c>
      <c r="BR522" s="25">
        <f t="shared" si="533"/>
        <v>15588.333333333334</v>
      </c>
    </row>
    <row r="523" spans="1:70">
      <c r="A523" t="s">
        <v>759</v>
      </c>
      <c r="B523">
        <v>420030</v>
      </c>
      <c r="C523" s="1">
        <v>58568</v>
      </c>
      <c r="D523" s="1">
        <v>38008</v>
      </c>
      <c r="E523" s="1">
        <v>59689</v>
      </c>
      <c r="F523" s="1">
        <v>35102</v>
      </c>
      <c r="G523" s="1">
        <v>32803</v>
      </c>
      <c r="H523" s="1">
        <v>63296</v>
      </c>
      <c r="I523" s="1">
        <v>36872</v>
      </c>
      <c r="J523" s="1">
        <v>39283</v>
      </c>
      <c r="K523" s="1">
        <v>61638</v>
      </c>
      <c r="L523" s="1">
        <v>44612</v>
      </c>
      <c r="M523" s="1">
        <v>31329</v>
      </c>
      <c r="N523" s="1">
        <v>64058</v>
      </c>
      <c r="O523" s="1">
        <v>60944</v>
      </c>
      <c r="P523" s="1">
        <v>44124</v>
      </c>
      <c r="Q523" s="1">
        <v>64758</v>
      </c>
      <c r="R523" s="1">
        <v>33989</v>
      </c>
      <c r="S523" s="1">
        <v>31431</v>
      </c>
      <c r="T523" s="1">
        <v>54839</v>
      </c>
      <c r="U523" s="1">
        <v>34973</v>
      </c>
      <c r="V523" s="1">
        <v>37275</v>
      </c>
      <c r="W523" s="1">
        <v>68018</v>
      </c>
      <c r="X523" s="1">
        <v>40969</v>
      </c>
      <c r="Y523" s="1">
        <v>38448</v>
      </c>
      <c r="Z523" s="1">
        <v>68330</v>
      </c>
      <c r="AA523" s="1">
        <v>74951</v>
      </c>
      <c r="AB523" s="1">
        <v>41173</v>
      </c>
      <c r="AC523" s="1">
        <v>62961</v>
      </c>
      <c r="AD523" s="1">
        <v>36207</v>
      </c>
      <c r="AE523" s="1">
        <v>32864</v>
      </c>
      <c r="AF523" s="1">
        <v>77680</v>
      </c>
      <c r="AG523" s="1">
        <v>37569</v>
      </c>
      <c r="AH523" s="1">
        <v>40516</v>
      </c>
      <c r="AI523" s="1">
        <v>73924</v>
      </c>
      <c r="AJ523" s="1">
        <v>37629</v>
      </c>
      <c r="AK523" s="1">
        <v>37000</v>
      </c>
      <c r="AL523" s="1">
        <v>70000</v>
      </c>
      <c r="AM523" s="1">
        <v>28126</v>
      </c>
      <c r="AN523" s="1">
        <v>35092</v>
      </c>
      <c r="AO523" s="1">
        <v>58871</v>
      </c>
      <c r="AP523" s="1">
        <v>20995</v>
      </c>
      <c r="AQ523" s="1">
        <v>21391</v>
      </c>
      <c r="AR523" s="1">
        <v>21787</v>
      </c>
      <c r="AS523" s="1">
        <v>22183</v>
      </c>
      <c r="AT523" s="1">
        <v>22579</v>
      </c>
      <c r="AU523" s="1">
        <v>22975</v>
      </c>
      <c r="AV523" s="1">
        <v>24428</v>
      </c>
      <c r="AW523" s="1">
        <v>23767</v>
      </c>
      <c r="AX523" s="1">
        <v>71765</v>
      </c>
      <c r="AY523" s="1"/>
      <c r="BA523" s="21">
        <f t="shared" si="519"/>
        <v>565258</v>
      </c>
      <c r="BB523" s="22">
        <f t="shared" si="520"/>
        <v>47104.833333333336</v>
      </c>
      <c r="BD523" s="7">
        <f t="shared" si="521"/>
        <v>578098</v>
      </c>
      <c r="BE523" s="7">
        <f t="shared" si="522"/>
        <v>12840</v>
      </c>
      <c r="BF523" s="8">
        <f t="shared" si="523"/>
        <v>2.2715291070626087E-2</v>
      </c>
      <c r="BG523" s="7">
        <f t="shared" si="524"/>
        <v>48174.833333333336</v>
      </c>
      <c r="BI523" s="12">
        <f t="shared" si="525"/>
        <v>622474</v>
      </c>
      <c r="BJ523" s="12">
        <f t="shared" si="526"/>
        <v>44376</v>
      </c>
      <c r="BK523" s="13">
        <f t="shared" si="527"/>
        <v>7.6762071482689764E-2</v>
      </c>
      <c r="BL523" s="24">
        <f t="shared" si="528"/>
        <v>50490.125</v>
      </c>
      <c r="BM523" s="24">
        <f t="shared" si="529"/>
        <v>54638.25</v>
      </c>
      <c r="BO523" s="17">
        <f t="shared" si="530"/>
        <v>373959</v>
      </c>
      <c r="BP523" s="17">
        <f t="shared" si="531"/>
        <v>-248515</v>
      </c>
      <c r="BQ523" s="18">
        <f t="shared" si="532"/>
        <v>-0.39923755851650033</v>
      </c>
      <c r="BR523" s="25">
        <f t="shared" si="533"/>
        <v>31163.25</v>
      </c>
    </row>
    <row r="524" spans="1:70">
      <c r="A524" t="s">
        <v>760</v>
      </c>
      <c r="B524">
        <v>420031</v>
      </c>
      <c r="C524" s="1">
        <v>14317</v>
      </c>
      <c r="D524" s="1">
        <v>14153</v>
      </c>
      <c r="E524" s="1">
        <v>13093</v>
      </c>
      <c r="F524" s="1">
        <v>13003</v>
      </c>
      <c r="G524" s="1">
        <v>12939</v>
      </c>
      <c r="H524" s="1">
        <v>15903</v>
      </c>
      <c r="I524" s="1">
        <v>13902</v>
      </c>
      <c r="J524" s="1">
        <v>15481</v>
      </c>
      <c r="K524" s="1">
        <v>14293</v>
      </c>
      <c r="L524" s="1">
        <v>15884</v>
      </c>
      <c r="M524" s="1">
        <v>13267</v>
      </c>
      <c r="N524" s="1">
        <v>14632</v>
      </c>
      <c r="O524" s="1">
        <v>17931</v>
      </c>
      <c r="P524" s="1">
        <v>14673</v>
      </c>
      <c r="Q524" s="1">
        <v>14421</v>
      </c>
      <c r="R524" s="1">
        <v>14202</v>
      </c>
      <c r="S524" s="1">
        <v>12228</v>
      </c>
      <c r="T524" s="1">
        <v>9143</v>
      </c>
      <c r="U524" s="1">
        <v>13006</v>
      </c>
      <c r="V524" s="1">
        <v>14486</v>
      </c>
      <c r="W524" s="1">
        <v>14146</v>
      </c>
      <c r="X524" s="1">
        <v>16511</v>
      </c>
      <c r="Y524" s="1">
        <v>14244</v>
      </c>
      <c r="Z524" s="1">
        <v>14441</v>
      </c>
      <c r="AA524" s="1">
        <v>18760</v>
      </c>
      <c r="AB524" s="1">
        <v>13936</v>
      </c>
      <c r="AC524" s="1">
        <v>14426</v>
      </c>
      <c r="AD524" s="1">
        <v>14157</v>
      </c>
      <c r="AE524" s="1">
        <v>16890</v>
      </c>
      <c r="AF524" s="1">
        <v>14768</v>
      </c>
      <c r="AG524" s="1">
        <v>17325</v>
      </c>
      <c r="AH524" s="1">
        <v>15282</v>
      </c>
      <c r="AI524" s="1">
        <v>14901</v>
      </c>
      <c r="AJ524" s="1">
        <v>15763</v>
      </c>
      <c r="AK524" s="1">
        <v>15500</v>
      </c>
      <c r="AL524" s="1">
        <v>15500</v>
      </c>
      <c r="AM524" s="1">
        <v>11914</v>
      </c>
      <c r="AN524" s="1">
        <v>14865</v>
      </c>
      <c r="AO524" s="1">
        <v>13162</v>
      </c>
      <c r="AP524" s="1">
        <v>20995</v>
      </c>
      <c r="AQ524" s="1">
        <v>21391</v>
      </c>
      <c r="AR524" s="1">
        <v>21787</v>
      </c>
      <c r="AS524" s="1">
        <v>22183</v>
      </c>
      <c r="AT524" s="1">
        <v>22579</v>
      </c>
      <c r="AU524" s="1">
        <v>22975</v>
      </c>
      <c r="AV524" s="1">
        <v>24428</v>
      </c>
      <c r="AW524" s="1">
        <v>23767</v>
      </c>
      <c r="AX524" s="1">
        <v>16051</v>
      </c>
      <c r="AY524" s="1"/>
      <c r="BA524" s="21">
        <f t="shared" si="519"/>
        <v>170867</v>
      </c>
      <c r="BB524" s="22">
        <f t="shared" si="520"/>
        <v>14238.916666666666</v>
      </c>
      <c r="BD524" s="7">
        <f t="shared" si="521"/>
        <v>169432</v>
      </c>
      <c r="BE524" s="7">
        <f t="shared" si="522"/>
        <v>-1435</v>
      </c>
      <c r="BF524" s="8">
        <f t="shared" si="523"/>
        <v>-8.398344911539346E-3</v>
      </c>
      <c r="BG524" s="7">
        <f t="shared" si="524"/>
        <v>14119.333333333334</v>
      </c>
      <c r="BI524" s="12">
        <f t="shared" si="525"/>
        <v>187208</v>
      </c>
      <c r="BJ524" s="12">
        <f t="shared" si="526"/>
        <v>17776</v>
      </c>
      <c r="BK524" s="13">
        <f t="shared" si="527"/>
        <v>0.10491524623447757</v>
      </c>
      <c r="BL524" s="24">
        <f t="shared" si="528"/>
        <v>15693</v>
      </c>
      <c r="BM524" s="24">
        <f t="shared" si="529"/>
        <v>15416</v>
      </c>
      <c r="BO524" s="17">
        <f t="shared" si="530"/>
        <v>236097</v>
      </c>
      <c r="BP524" s="17">
        <f t="shared" si="531"/>
        <v>48889</v>
      </c>
      <c r="BQ524" s="18">
        <f t="shared" si="532"/>
        <v>0.26114802786205726</v>
      </c>
      <c r="BR524" s="25">
        <f t="shared" si="533"/>
        <v>19674.75</v>
      </c>
    </row>
    <row r="525" spans="1:70">
      <c r="A525" t="s">
        <v>761</v>
      </c>
      <c r="B525">
        <v>420032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20995</v>
      </c>
      <c r="AQ525" s="1">
        <v>21391</v>
      </c>
      <c r="AR525" s="1">
        <v>21787</v>
      </c>
      <c r="AS525" s="1">
        <v>22183</v>
      </c>
      <c r="AT525" s="1">
        <v>22579</v>
      </c>
      <c r="AU525" s="1">
        <v>22975</v>
      </c>
      <c r="AV525" s="1">
        <v>24428</v>
      </c>
      <c r="AW525" s="1">
        <v>23767</v>
      </c>
      <c r="AX525" s="1">
        <v>0</v>
      </c>
      <c r="AY525" s="1"/>
      <c r="BA525" s="21">
        <f t="shared" si="519"/>
        <v>0</v>
      </c>
      <c r="BB525" s="22">
        <f t="shared" si="520"/>
        <v>0</v>
      </c>
      <c r="BD525" s="7">
        <f t="shared" si="521"/>
        <v>0</v>
      </c>
      <c r="BE525" s="7">
        <f t="shared" si="522"/>
        <v>0</v>
      </c>
      <c r="BF525" s="8" t="e">
        <f t="shared" si="523"/>
        <v>#DIV/0!</v>
      </c>
      <c r="BG525" s="7">
        <f t="shared" si="524"/>
        <v>0</v>
      </c>
      <c r="BI525" s="12">
        <f t="shared" si="525"/>
        <v>0</v>
      </c>
      <c r="BJ525" s="12">
        <f t="shared" si="526"/>
        <v>0</v>
      </c>
      <c r="BK525" s="13" t="e">
        <f t="shared" si="527"/>
        <v>#DIV/0!</v>
      </c>
      <c r="BL525" s="24">
        <f t="shared" si="528"/>
        <v>0</v>
      </c>
      <c r="BM525" s="24">
        <f t="shared" si="529"/>
        <v>0</v>
      </c>
      <c r="BO525" s="17">
        <f t="shared" si="530"/>
        <v>180105</v>
      </c>
      <c r="BP525" s="17">
        <f t="shared" si="531"/>
        <v>180105</v>
      </c>
      <c r="BQ525" s="18" t="e">
        <f t="shared" si="532"/>
        <v>#DIV/0!</v>
      </c>
      <c r="BR525" s="25">
        <f t="shared" si="533"/>
        <v>15008.75</v>
      </c>
    </row>
    <row r="526" spans="1:70">
      <c r="A526" t="s">
        <v>762</v>
      </c>
      <c r="B526">
        <v>420033</v>
      </c>
      <c r="C526" s="1">
        <v>6447</v>
      </c>
      <c r="D526" s="1">
        <v>6595</v>
      </c>
      <c r="E526" s="1">
        <v>6872</v>
      </c>
      <c r="F526" s="1">
        <v>6814</v>
      </c>
      <c r="G526" s="1">
        <v>6752</v>
      </c>
      <c r="H526" s="1">
        <v>6822</v>
      </c>
      <c r="I526" s="1">
        <v>6832</v>
      </c>
      <c r="J526" s="1">
        <v>7132</v>
      </c>
      <c r="K526" s="1">
        <v>7244</v>
      </c>
      <c r="L526" s="1">
        <v>7226</v>
      </c>
      <c r="M526" s="1">
        <v>6974</v>
      </c>
      <c r="N526" s="1">
        <v>6853</v>
      </c>
      <c r="O526" s="1">
        <v>6709</v>
      </c>
      <c r="P526" s="1">
        <v>6881</v>
      </c>
      <c r="Q526" s="1">
        <v>6742</v>
      </c>
      <c r="R526" s="1">
        <v>6647</v>
      </c>
      <c r="S526" s="1">
        <v>6538</v>
      </c>
      <c r="T526" s="1">
        <v>6457</v>
      </c>
      <c r="U526" s="1">
        <v>6442</v>
      </c>
      <c r="V526" s="1">
        <v>7291</v>
      </c>
      <c r="W526" s="1">
        <v>6784</v>
      </c>
      <c r="X526" s="1">
        <v>7057</v>
      </c>
      <c r="Y526" s="1">
        <v>6847</v>
      </c>
      <c r="Z526" s="1">
        <v>6764</v>
      </c>
      <c r="AA526" s="1">
        <v>6773</v>
      </c>
      <c r="AB526" s="1">
        <v>6818</v>
      </c>
      <c r="AC526" s="1">
        <v>7211</v>
      </c>
      <c r="AD526" s="1">
        <v>7270</v>
      </c>
      <c r="AE526" s="1">
        <v>7269</v>
      </c>
      <c r="AF526" s="1">
        <v>7131</v>
      </c>
      <c r="AG526" s="1">
        <v>7136</v>
      </c>
      <c r="AH526" s="1">
        <v>7486</v>
      </c>
      <c r="AI526" s="1">
        <v>7450</v>
      </c>
      <c r="AJ526" s="1">
        <v>7613</v>
      </c>
      <c r="AK526" s="1">
        <v>7486</v>
      </c>
      <c r="AL526" s="1">
        <v>7486</v>
      </c>
      <c r="AM526" s="1">
        <v>5541</v>
      </c>
      <c r="AN526" s="1">
        <v>6913</v>
      </c>
      <c r="AO526" s="1">
        <v>6121</v>
      </c>
      <c r="AP526" s="1">
        <v>20995</v>
      </c>
      <c r="AQ526" s="1">
        <v>21391</v>
      </c>
      <c r="AR526" s="1">
        <v>21787</v>
      </c>
      <c r="AS526" s="1">
        <v>22183</v>
      </c>
      <c r="AT526" s="1">
        <v>22579</v>
      </c>
      <c r="AU526" s="1">
        <v>22975</v>
      </c>
      <c r="AV526" s="1">
        <v>24428</v>
      </c>
      <c r="AW526" s="1">
        <v>23767</v>
      </c>
      <c r="AX526" s="1">
        <v>7462</v>
      </c>
      <c r="AY526" s="1"/>
      <c r="BA526" s="21">
        <f t="shared" si="519"/>
        <v>82563</v>
      </c>
      <c r="BB526" s="22">
        <f t="shared" si="520"/>
        <v>6880.25</v>
      </c>
      <c r="BD526" s="7">
        <f t="shared" si="521"/>
        <v>81159</v>
      </c>
      <c r="BE526" s="7">
        <f t="shared" si="522"/>
        <v>-1404</v>
      </c>
      <c r="BF526" s="8">
        <f t="shared" si="523"/>
        <v>-1.7005196032120917E-2</v>
      </c>
      <c r="BG526" s="7">
        <f t="shared" si="524"/>
        <v>6763.25</v>
      </c>
      <c r="BI526" s="12">
        <f t="shared" si="525"/>
        <v>87129</v>
      </c>
      <c r="BJ526" s="12">
        <f t="shared" si="526"/>
        <v>5970</v>
      </c>
      <c r="BK526" s="13">
        <f t="shared" si="527"/>
        <v>7.355930950356715E-2</v>
      </c>
      <c r="BL526" s="24">
        <f t="shared" si="528"/>
        <v>7136.75</v>
      </c>
      <c r="BM526" s="24">
        <f t="shared" si="529"/>
        <v>7508.75</v>
      </c>
      <c r="BO526" s="17">
        <f t="shared" si="530"/>
        <v>206142</v>
      </c>
      <c r="BP526" s="17">
        <f t="shared" si="531"/>
        <v>119013</v>
      </c>
      <c r="BQ526" s="18">
        <f t="shared" si="532"/>
        <v>1.3659401576972074</v>
      </c>
      <c r="BR526" s="25">
        <f t="shared" si="533"/>
        <v>17178.5</v>
      </c>
    </row>
    <row r="527" spans="1:70">
      <c r="A527" t="s">
        <v>763</v>
      </c>
      <c r="B527">
        <v>420034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20995</v>
      </c>
      <c r="AQ527" s="1">
        <v>21391</v>
      </c>
      <c r="AR527" s="1">
        <v>21787</v>
      </c>
      <c r="AS527" s="1">
        <v>22183</v>
      </c>
      <c r="AT527" s="1">
        <v>22579</v>
      </c>
      <c r="AU527" s="1">
        <v>22975</v>
      </c>
      <c r="AV527" s="1">
        <v>24428</v>
      </c>
      <c r="AW527" s="1">
        <v>23767</v>
      </c>
      <c r="AX527" s="1">
        <v>0</v>
      </c>
      <c r="AY527" s="1"/>
      <c r="BA527" s="21">
        <f t="shared" si="519"/>
        <v>0</v>
      </c>
      <c r="BB527" s="22">
        <f t="shared" si="520"/>
        <v>0</v>
      </c>
      <c r="BD527" s="7">
        <f t="shared" si="521"/>
        <v>0</v>
      </c>
      <c r="BE527" s="7">
        <f t="shared" si="522"/>
        <v>0</v>
      </c>
      <c r="BF527" s="8" t="e">
        <f t="shared" si="523"/>
        <v>#DIV/0!</v>
      </c>
      <c r="BG527" s="7">
        <f t="shared" si="524"/>
        <v>0</v>
      </c>
      <c r="BI527" s="12">
        <f t="shared" si="525"/>
        <v>0</v>
      </c>
      <c r="BJ527" s="12">
        <f t="shared" si="526"/>
        <v>0</v>
      </c>
      <c r="BK527" s="13" t="e">
        <f t="shared" si="527"/>
        <v>#DIV/0!</v>
      </c>
      <c r="BL527" s="24">
        <f t="shared" si="528"/>
        <v>0</v>
      </c>
      <c r="BM527" s="24">
        <f t="shared" si="529"/>
        <v>0</v>
      </c>
      <c r="BO527" s="17">
        <f t="shared" si="530"/>
        <v>180105</v>
      </c>
      <c r="BP527" s="17">
        <f t="shared" si="531"/>
        <v>180105</v>
      </c>
      <c r="BQ527" s="18" t="e">
        <f t="shared" si="532"/>
        <v>#DIV/0!</v>
      </c>
      <c r="BR527" s="25">
        <f t="shared" si="533"/>
        <v>15008.75</v>
      </c>
    </row>
    <row r="528" spans="1:70">
      <c r="A528" t="s">
        <v>764</v>
      </c>
      <c r="B528">
        <v>420035</v>
      </c>
      <c r="C528" s="1">
        <v>901</v>
      </c>
      <c r="D528" s="1">
        <v>0</v>
      </c>
      <c r="E528" s="1">
        <v>1802</v>
      </c>
      <c r="F528" s="1">
        <v>901</v>
      </c>
      <c r="G528" s="1">
        <v>901</v>
      </c>
      <c r="H528" s="1">
        <v>901</v>
      </c>
      <c r="I528" s="1">
        <v>901</v>
      </c>
      <c r="J528" s="1">
        <v>901</v>
      </c>
      <c r="K528" s="1">
        <v>901</v>
      </c>
      <c r="L528" s="1">
        <v>901</v>
      </c>
      <c r="M528" s="1">
        <v>901</v>
      </c>
      <c r="N528" s="1">
        <v>901</v>
      </c>
      <c r="O528" s="1">
        <v>901</v>
      </c>
      <c r="P528" s="1">
        <v>901</v>
      </c>
      <c r="Q528" s="1">
        <v>901</v>
      </c>
      <c r="R528" s="1">
        <v>901</v>
      </c>
      <c r="S528" s="1">
        <v>901</v>
      </c>
      <c r="T528" s="1">
        <v>901</v>
      </c>
      <c r="U528" s="1">
        <v>901</v>
      </c>
      <c r="V528" s="1">
        <v>901</v>
      </c>
      <c r="W528" s="1">
        <v>901</v>
      </c>
      <c r="X528" s="1">
        <v>901</v>
      </c>
      <c r="Y528" s="1">
        <v>901</v>
      </c>
      <c r="Z528" s="1">
        <v>901</v>
      </c>
      <c r="AA528" s="1">
        <v>901</v>
      </c>
      <c r="AB528" s="1">
        <v>901</v>
      </c>
      <c r="AC528" s="1">
        <v>901</v>
      </c>
      <c r="AD528" s="1">
        <v>901</v>
      </c>
      <c r="AE528" s="1">
        <v>881</v>
      </c>
      <c r="AF528" s="1">
        <v>921</v>
      </c>
      <c r="AG528" s="1">
        <v>825</v>
      </c>
      <c r="AH528" s="1">
        <v>977</v>
      </c>
      <c r="AI528" s="1">
        <v>901</v>
      </c>
      <c r="AJ528" s="1">
        <v>915</v>
      </c>
      <c r="AK528" s="1">
        <v>900</v>
      </c>
      <c r="AL528" s="1">
        <v>900</v>
      </c>
      <c r="AM528" s="1">
        <v>666</v>
      </c>
      <c r="AN528" s="1">
        <v>831</v>
      </c>
      <c r="AO528" s="1">
        <v>736</v>
      </c>
      <c r="AP528" s="1">
        <v>20995</v>
      </c>
      <c r="AQ528" s="1">
        <v>21391</v>
      </c>
      <c r="AR528" s="1">
        <v>21787</v>
      </c>
      <c r="AS528" s="1">
        <v>22183</v>
      </c>
      <c r="AT528" s="1">
        <v>22579</v>
      </c>
      <c r="AU528" s="1">
        <v>22975</v>
      </c>
      <c r="AV528" s="1">
        <v>24428</v>
      </c>
      <c r="AW528" s="1">
        <v>23767</v>
      </c>
      <c r="AX528" s="1">
        <v>897</v>
      </c>
      <c r="AY528" s="1"/>
      <c r="BA528" s="21">
        <f t="shared" si="519"/>
        <v>10812</v>
      </c>
      <c r="BB528" s="22">
        <f t="shared" si="520"/>
        <v>901</v>
      </c>
      <c r="BD528" s="7">
        <f t="shared" si="521"/>
        <v>10812</v>
      </c>
      <c r="BE528" s="7">
        <f t="shared" si="522"/>
        <v>0</v>
      </c>
      <c r="BF528" s="8">
        <f t="shared" si="523"/>
        <v>0</v>
      </c>
      <c r="BG528" s="7">
        <f t="shared" si="524"/>
        <v>901</v>
      </c>
      <c r="BI528" s="12">
        <f t="shared" si="525"/>
        <v>10824</v>
      </c>
      <c r="BJ528" s="12">
        <f t="shared" si="526"/>
        <v>12</v>
      </c>
      <c r="BK528" s="13">
        <f t="shared" si="527"/>
        <v>1.1098779134295356E-3</v>
      </c>
      <c r="BL528" s="24">
        <f t="shared" si="528"/>
        <v>901</v>
      </c>
      <c r="BM528" s="24">
        <f t="shared" si="529"/>
        <v>904</v>
      </c>
      <c r="BO528" s="17">
        <f t="shared" si="530"/>
        <v>183235</v>
      </c>
      <c r="BP528" s="17">
        <f t="shared" si="531"/>
        <v>172411</v>
      </c>
      <c r="BQ528" s="18">
        <f t="shared" si="532"/>
        <v>15.928584626755359</v>
      </c>
      <c r="BR528" s="25">
        <f t="shared" si="533"/>
        <v>15269.583333333334</v>
      </c>
    </row>
    <row r="529" spans="1:70">
      <c r="A529" t="s">
        <v>765</v>
      </c>
      <c r="B529">
        <v>420040</v>
      </c>
      <c r="C529" s="1">
        <v>4867</v>
      </c>
      <c r="D529" s="1">
        <v>7460</v>
      </c>
      <c r="E529" s="1">
        <v>5911</v>
      </c>
      <c r="F529" s="1">
        <v>5597</v>
      </c>
      <c r="G529" s="1">
        <v>6422</v>
      </c>
      <c r="H529" s="1">
        <v>4988</v>
      </c>
      <c r="I529" s="1">
        <v>7635</v>
      </c>
      <c r="J529" s="1">
        <v>7788</v>
      </c>
      <c r="K529" s="1">
        <v>2996</v>
      </c>
      <c r="L529" s="1">
        <v>4533</v>
      </c>
      <c r="M529" s="1">
        <v>4848</v>
      </c>
      <c r="N529" s="1">
        <v>4732</v>
      </c>
      <c r="O529" s="1">
        <v>4557</v>
      </c>
      <c r="P529" s="1">
        <v>4785</v>
      </c>
      <c r="Q529" s="1">
        <v>5158</v>
      </c>
      <c r="R529" s="1">
        <v>5770</v>
      </c>
      <c r="S529" s="1">
        <v>6450</v>
      </c>
      <c r="T529" s="1">
        <v>3173</v>
      </c>
      <c r="U529" s="1">
        <v>9694</v>
      </c>
      <c r="V529" s="1">
        <v>4549</v>
      </c>
      <c r="W529" s="1">
        <v>5757</v>
      </c>
      <c r="X529" s="1">
        <v>6535</v>
      </c>
      <c r="Y529" s="1">
        <v>5127</v>
      </c>
      <c r="Z529" s="1">
        <v>18869</v>
      </c>
      <c r="AA529" s="1">
        <v>7534</v>
      </c>
      <c r="AB529" s="1">
        <v>6178</v>
      </c>
      <c r="AC529" s="1">
        <v>6930</v>
      </c>
      <c r="AD529" s="1">
        <v>7284</v>
      </c>
      <c r="AE529" s="1">
        <v>5936</v>
      </c>
      <c r="AF529" s="1">
        <v>5703</v>
      </c>
      <c r="AG529" s="1">
        <v>18910</v>
      </c>
      <c r="AH529" s="1">
        <v>6263</v>
      </c>
      <c r="AI529" s="1">
        <v>6835</v>
      </c>
      <c r="AJ529" s="1">
        <v>10799</v>
      </c>
      <c r="AK529" s="1">
        <v>10644</v>
      </c>
      <c r="AL529" s="1">
        <v>10618</v>
      </c>
      <c r="AM529" s="1">
        <v>8946</v>
      </c>
      <c r="AN529" s="1">
        <v>11162</v>
      </c>
      <c r="AO529" s="1">
        <v>9903</v>
      </c>
      <c r="AP529" s="1">
        <v>20995</v>
      </c>
      <c r="AQ529" s="1">
        <v>21391</v>
      </c>
      <c r="AR529" s="1">
        <v>21787</v>
      </c>
      <c r="AS529" s="1">
        <v>22183</v>
      </c>
      <c r="AT529" s="1">
        <v>22579</v>
      </c>
      <c r="AU529" s="1">
        <v>22975</v>
      </c>
      <c r="AV529" s="1">
        <v>24428</v>
      </c>
      <c r="AW529" s="1">
        <v>23767</v>
      </c>
      <c r="AX529" s="1">
        <v>12311</v>
      </c>
      <c r="AY529" s="1"/>
      <c r="BA529" s="21">
        <f t="shared" si="519"/>
        <v>67777</v>
      </c>
      <c r="BB529" s="22">
        <f t="shared" si="520"/>
        <v>5648.083333333333</v>
      </c>
      <c r="BD529" s="7">
        <f t="shared" si="521"/>
        <v>80424</v>
      </c>
      <c r="BE529" s="7">
        <f t="shared" si="522"/>
        <v>12647</v>
      </c>
      <c r="BF529" s="8">
        <f t="shared" si="523"/>
        <v>0.18659722324682404</v>
      </c>
      <c r="BG529" s="7">
        <f t="shared" si="524"/>
        <v>6702</v>
      </c>
      <c r="BI529" s="12">
        <f t="shared" si="525"/>
        <v>103634</v>
      </c>
      <c r="BJ529" s="12">
        <f t="shared" si="526"/>
        <v>23210</v>
      </c>
      <c r="BK529" s="13">
        <f t="shared" si="527"/>
        <v>0.28859544414602611</v>
      </c>
      <c r="BL529" s="24">
        <f t="shared" si="528"/>
        <v>8092.25</v>
      </c>
      <c r="BM529" s="24">
        <f t="shared" si="529"/>
        <v>9724</v>
      </c>
      <c r="BO529" s="17">
        <f t="shared" si="530"/>
        <v>222427</v>
      </c>
      <c r="BP529" s="17">
        <f t="shared" si="531"/>
        <v>118793</v>
      </c>
      <c r="BQ529" s="18">
        <f t="shared" si="532"/>
        <v>1.1462743887141285</v>
      </c>
      <c r="BR529" s="25">
        <f t="shared" si="533"/>
        <v>18535.583333333332</v>
      </c>
    </row>
    <row r="530" spans="1:70">
      <c r="A530" t="s">
        <v>766</v>
      </c>
      <c r="B530">
        <v>420045</v>
      </c>
      <c r="C530" s="1">
        <v>461</v>
      </c>
      <c r="D530" s="1">
        <v>755</v>
      </c>
      <c r="E530" s="1">
        <v>1220</v>
      </c>
      <c r="F530" s="1">
        <v>1220</v>
      </c>
      <c r="G530" s="1">
        <v>920</v>
      </c>
      <c r="H530" s="1">
        <v>1300</v>
      </c>
      <c r="I530" s="1">
        <v>1131</v>
      </c>
      <c r="J530" s="1">
        <v>3228</v>
      </c>
      <c r="K530" s="1">
        <v>1046</v>
      </c>
      <c r="L530" s="1">
        <v>1025</v>
      </c>
      <c r="M530" s="1">
        <v>1012</v>
      </c>
      <c r="N530" s="1">
        <v>1438</v>
      </c>
      <c r="O530" s="1">
        <v>1204</v>
      </c>
      <c r="P530" s="1">
        <v>1439</v>
      </c>
      <c r="Q530" s="1">
        <v>1546</v>
      </c>
      <c r="R530" s="1">
        <v>1663</v>
      </c>
      <c r="S530" s="1">
        <v>1558</v>
      </c>
      <c r="T530" s="1">
        <v>1074</v>
      </c>
      <c r="U530" s="1">
        <v>848</v>
      </c>
      <c r="V530" s="1">
        <v>1445</v>
      </c>
      <c r="W530" s="1">
        <v>1336</v>
      </c>
      <c r="X530" s="1">
        <v>1433</v>
      </c>
      <c r="Y530" s="1">
        <v>1289</v>
      </c>
      <c r="Z530" s="1">
        <v>1489</v>
      </c>
      <c r="AA530" s="1">
        <v>1060</v>
      </c>
      <c r="AB530" s="1">
        <v>1257</v>
      </c>
      <c r="AC530" s="1">
        <v>1030</v>
      </c>
      <c r="AD530" s="1">
        <v>1980</v>
      </c>
      <c r="AE530" s="1">
        <v>1559</v>
      </c>
      <c r="AF530" s="1">
        <v>1620</v>
      </c>
      <c r="AG530" s="1">
        <v>1528</v>
      </c>
      <c r="AH530" s="1">
        <v>1719</v>
      </c>
      <c r="AI530" s="1">
        <v>1523</v>
      </c>
      <c r="AJ530" s="1">
        <v>1699</v>
      </c>
      <c r="AK530" s="1">
        <v>1671</v>
      </c>
      <c r="AL530" s="1">
        <v>1671</v>
      </c>
      <c r="AM530" s="1">
        <v>1069</v>
      </c>
      <c r="AN530" s="1">
        <v>1333</v>
      </c>
      <c r="AO530" s="1">
        <v>1181</v>
      </c>
      <c r="AP530" s="1">
        <v>20995</v>
      </c>
      <c r="AQ530" s="1">
        <v>21391</v>
      </c>
      <c r="AR530" s="1">
        <v>21787</v>
      </c>
      <c r="AS530" s="1">
        <v>22183</v>
      </c>
      <c r="AT530" s="1">
        <v>22579</v>
      </c>
      <c r="AU530" s="1">
        <v>22975</v>
      </c>
      <c r="AV530" s="1">
        <v>24428</v>
      </c>
      <c r="AW530" s="1">
        <v>23767</v>
      </c>
      <c r="AX530" s="1">
        <v>1448</v>
      </c>
      <c r="AY530" s="1"/>
      <c r="BA530" s="21">
        <f t="shared" si="519"/>
        <v>14756</v>
      </c>
      <c r="BB530" s="22">
        <f t="shared" si="520"/>
        <v>1229.6666666666667</v>
      </c>
      <c r="BD530" s="7">
        <f t="shared" si="521"/>
        <v>16324</v>
      </c>
      <c r="BE530" s="7">
        <f t="shared" si="522"/>
        <v>1568</v>
      </c>
      <c r="BF530" s="8">
        <f t="shared" si="523"/>
        <v>0.10626185958254264</v>
      </c>
      <c r="BG530" s="7">
        <f t="shared" si="524"/>
        <v>1360.3333333333333</v>
      </c>
      <c r="BI530" s="12">
        <f t="shared" si="525"/>
        <v>18317</v>
      </c>
      <c r="BJ530" s="12">
        <f t="shared" si="526"/>
        <v>1993</v>
      </c>
      <c r="BK530" s="13">
        <f t="shared" si="527"/>
        <v>0.12209017397696642</v>
      </c>
      <c r="BL530" s="24">
        <f t="shared" si="528"/>
        <v>1469.125</v>
      </c>
      <c r="BM530" s="24">
        <f t="shared" si="529"/>
        <v>1641</v>
      </c>
      <c r="BO530" s="17">
        <f t="shared" si="530"/>
        <v>185136</v>
      </c>
      <c r="BP530" s="17">
        <f t="shared" si="531"/>
        <v>166819</v>
      </c>
      <c r="BQ530" s="18">
        <f t="shared" si="532"/>
        <v>9.107331986679041</v>
      </c>
      <c r="BR530" s="25">
        <f t="shared" si="533"/>
        <v>15428</v>
      </c>
    </row>
    <row r="531" spans="1:70">
      <c r="A531" t="s">
        <v>767</v>
      </c>
      <c r="B531">
        <v>420050</v>
      </c>
      <c r="C531" s="1">
        <v>10010</v>
      </c>
      <c r="D531" s="1">
        <v>8254</v>
      </c>
      <c r="E531" s="1">
        <v>8891</v>
      </c>
      <c r="F531" s="1">
        <v>4631</v>
      </c>
      <c r="G531" s="1">
        <v>8737</v>
      </c>
      <c r="H531" s="1">
        <v>10696</v>
      </c>
      <c r="I531" s="1">
        <v>7126</v>
      </c>
      <c r="J531" s="1">
        <v>7874</v>
      </c>
      <c r="K531" s="1">
        <v>7409</v>
      </c>
      <c r="L531" s="1">
        <v>7984</v>
      </c>
      <c r="M531" s="1">
        <v>11193</v>
      </c>
      <c r="N531" s="1">
        <v>11216</v>
      </c>
      <c r="O531" s="1">
        <v>11239</v>
      </c>
      <c r="P531" s="1">
        <v>12787</v>
      </c>
      <c r="Q531" s="1">
        <v>12687</v>
      </c>
      <c r="R531" s="1">
        <v>13965</v>
      </c>
      <c r="S531" s="1">
        <v>11925</v>
      </c>
      <c r="T531" s="1">
        <v>18374</v>
      </c>
      <c r="U531" s="1">
        <v>13537</v>
      </c>
      <c r="V531" s="1">
        <v>13537</v>
      </c>
      <c r="W531" s="1">
        <v>13548</v>
      </c>
      <c r="X531" s="1">
        <v>13267</v>
      </c>
      <c r="Y531" s="1">
        <v>13945</v>
      </c>
      <c r="Z531" s="1">
        <v>7829</v>
      </c>
      <c r="AA531" s="1">
        <v>6585</v>
      </c>
      <c r="AB531" s="1">
        <v>6592</v>
      </c>
      <c r="AC531" s="1">
        <v>6026</v>
      </c>
      <c r="AD531" s="1">
        <v>7176</v>
      </c>
      <c r="AE531" s="1">
        <v>7176</v>
      </c>
      <c r="AF531" s="1">
        <v>7176</v>
      </c>
      <c r="AG531" s="1">
        <v>7176</v>
      </c>
      <c r="AH531" s="1">
        <v>7176</v>
      </c>
      <c r="AI531" s="1">
        <v>7183</v>
      </c>
      <c r="AJ531" s="1">
        <v>7654</v>
      </c>
      <c r="AK531" s="1">
        <v>7526</v>
      </c>
      <c r="AL531" s="1">
        <v>7526</v>
      </c>
      <c r="AM531" s="1">
        <v>9874</v>
      </c>
      <c r="AN531" s="1">
        <v>12320</v>
      </c>
      <c r="AO531" s="1">
        <v>10908</v>
      </c>
      <c r="AP531" s="1">
        <v>20995</v>
      </c>
      <c r="AQ531" s="1">
        <v>21391</v>
      </c>
      <c r="AR531" s="1">
        <v>21787</v>
      </c>
      <c r="AS531" s="1">
        <v>22183</v>
      </c>
      <c r="AT531" s="1">
        <v>22579</v>
      </c>
      <c r="AU531" s="1">
        <v>22975</v>
      </c>
      <c r="AV531" s="1">
        <v>24428</v>
      </c>
      <c r="AW531" s="1">
        <v>23767</v>
      </c>
      <c r="AX531" s="1">
        <v>13324</v>
      </c>
      <c r="AY531" s="1"/>
      <c r="BA531" s="21">
        <f t="shared" si="519"/>
        <v>104021</v>
      </c>
      <c r="BB531" s="22">
        <f t="shared" si="520"/>
        <v>8668.4166666666661</v>
      </c>
      <c r="BD531" s="7">
        <f t="shared" si="521"/>
        <v>156640</v>
      </c>
      <c r="BE531" s="7">
        <f t="shared" si="522"/>
        <v>52619</v>
      </c>
      <c r="BF531" s="8">
        <f t="shared" si="523"/>
        <v>0.50584978033281747</v>
      </c>
      <c r="BG531" s="7">
        <f t="shared" si="524"/>
        <v>13053.333333333334</v>
      </c>
      <c r="BI531" s="12">
        <f t="shared" si="525"/>
        <v>84972</v>
      </c>
      <c r="BJ531" s="12">
        <f t="shared" si="526"/>
        <v>-71668</v>
      </c>
      <c r="BK531" s="13">
        <f t="shared" si="527"/>
        <v>-0.45753319713993867</v>
      </c>
      <c r="BL531" s="24">
        <f t="shared" si="528"/>
        <v>6885.375</v>
      </c>
      <c r="BM531" s="24">
        <f t="shared" si="529"/>
        <v>7472.25</v>
      </c>
      <c r="BO531" s="17">
        <f t="shared" si="530"/>
        <v>226531</v>
      </c>
      <c r="BP531" s="17">
        <f t="shared" si="531"/>
        <v>141559</v>
      </c>
      <c r="BQ531" s="18">
        <f t="shared" si="532"/>
        <v>1.66594878312856</v>
      </c>
      <c r="BR531" s="25">
        <f t="shared" si="533"/>
        <v>18877.583333333332</v>
      </c>
    </row>
    <row r="532" spans="1:70">
      <c r="A532" t="s">
        <v>768</v>
      </c>
      <c r="B532">
        <v>420055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20995</v>
      </c>
      <c r="AQ532" s="1">
        <v>21391</v>
      </c>
      <c r="AR532" s="1">
        <v>21787</v>
      </c>
      <c r="AS532" s="1">
        <v>22183</v>
      </c>
      <c r="AT532" s="1">
        <v>22579</v>
      </c>
      <c r="AU532" s="1">
        <v>22975</v>
      </c>
      <c r="AV532" s="1">
        <v>24428</v>
      </c>
      <c r="AW532" s="1">
        <v>23767</v>
      </c>
      <c r="AX532" s="1">
        <v>0</v>
      </c>
      <c r="AY532" s="1"/>
      <c r="BA532" s="21">
        <f t="shared" si="519"/>
        <v>0</v>
      </c>
      <c r="BB532" s="22">
        <f t="shared" si="520"/>
        <v>0</v>
      </c>
      <c r="BD532" s="7">
        <f t="shared" si="521"/>
        <v>0</v>
      </c>
      <c r="BE532" s="7">
        <f t="shared" si="522"/>
        <v>0</v>
      </c>
      <c r="BF532" s="8" t="e">
        <f t="shared" si="523"/>
        <v>#DIV/0!</v>
      </c>
      <c r="BG532" s="7">
        <f t="shared" si="524"/>
        <v>0</v>
      </c>
      <c r="BI532" s="12">
        <f t="shared" si="525"/>
        <v>0</v>
      </c>
      <c r="BJ532" s="12">
        <f t="shared" si="526"/>
        <v>0</v>
      </c>
      <c r="BK532" s="13" t="e">
        <f t="shared" si="527"/>
        <v>#DIV/0!</v>
      </c>
      <c r="BL532" s="24">
        <f t="shared" si="528"/>
        <v>0</v>
      </c>
      <c r="BM532" s="24">
        <f t="shared" si="529"/>
        <v>0</v>
      </c>
      <c r="BO532" s="17">
        <f t="shared" si="530"/>
        <v>180105</v>
      </c>
      <c r="BP532" s="17">
        <f t="shared" si="531"/>
        <v>180105</v>
      </c>
      <c r="BQ532" s="18" t="e">
        <f t="shared" si="532"/>
        <v>#DIV/0!</v>
      </c>
      <c r="BR532" s="25">
        <f t="shared" si="533"/>
        <v>15008.75</v>
      </c>
    </row>
    <row r="533" spans="1:70">
      <c r="A533" t="s">
        <v>769</v>
      </c>
      <c r="B533">
        <v>420060</v>
      </c>
      <c r="C533" s="1">
        <v>31082</v>
      </c>
      <c r="D533" s="1">
        <v>32635</v>
      </c>
      <c r="E533" s="1">
        <v>26521</v>
      </c>
      <c r="F533" s="1">
        <v>36114</v>
      </c>
      <c r="G533" s="1">
        <v>37815</v>
      </c>
      <c r="H533" s="1">
        <v>33884</v>
      </c>
      <c r="I533" s="1">
        <v>34303</v>
      </c>
      <c r="J533" s="1">
        <v>57087</v>
      </c>
      <c r="K533" s="1">
        <v>31965</v>
      </c>
      <c r="L533" s="1">
        <v>35277</v>
      </c>
      <c r="M533" s="1">
        <v>47030</v>
      </c>
      <c r="N533" s="1">
        <v>41043</v>
      </c>
      <c r="O533" s="1">
        <v>52165</v>
      </c>
      <c r="P533" s="1">
        <v>31929</v>
      </c>
      <c r="Q533" s="1">
        <v>37988</v>
      </c>
      <c r="R533" s="1">
        <v>33581</v>
      </c>
      <c r="S533" s="1">
        <v>30945</v>
      </c>
      <c r="T533" s="1">
        <v>32072</v>
      </c>
      <c r="U533" s="1">
        <v>36502</v>
      </c>
      <c r="V533" s="1">
        <v>36730</v>
      </c>
      <c r="W533" s="1">
        <v>33067</v>
      </c>
      <c r="X533" s="1">
        <v>39185</v>
      </c>
      <c r="Y533" s="1">
        <v>25340</v>
      </c>
      <c r="Z533" s="1">
        <v>34305</v>
      </c>
      <c r="AA533" s="1">
        <v>27764</v>
      </c>
      <c r="AB533" s="1">
        <v>31374</v>
      </c>
      <c r="AC533" s="1">
        <v>43607</v>
      </c>
      <c r="AD533" s="1">
        <v>36939</v>
      </c>
      <c r="AE533" s="1">
        <v>41007</v>
      </c>
      <c r="AF533" s="1">
        <v>45404</v>
      </c>
      <c r="AG533" s="1">
        <v>39022</v>
      </c>
      <c r="AH533" s="1">
        <v>37249</v>
      </c>
      <c r="AI533" s="1">
        <v>15681</v>
      </c>
      <c r="AJ533" s="1">
        <v>39102</v>
      </c>
      <c r="AK533" s="1">
        <v>38449</v>
      </c>
      <c r="AL533" s="1">
        <v>38449</v>
      </c>
      <c r="AM533" s="1">
        <v>55875</v>
      </c>
      <c r="AN533" s="1">
        <v>64160</v>
      </c>
      <c r="AO533" s="1">
        <v>61726</v>
      </c>
      <c r="AP533" s="1">
        <v>20995</v>
      </c>
      <c r="AQ533" s="1">
        <v>21391</v>
      </c>
      <c r="AR533" s="1">
        <v>21787</v>
      </c>
      <c r="AS533" s="1">
        <v>22183</v>
      </c>
      <c r="AT533" s="1">
        <v>22579</v>
      </c>
      <c r="AU533" s="1">
        <v>22975</v>
      </c>
      <c r="AV533" s="1">
        <v>24428</v>
      </c>
      <c r="AW533" s="1">
        <v>23767</v>
      </c>
      <c r="AX533" s="1">
        <v>69262</v>
      </c>
      <c r="AY533" s="1"/>
      <c r="BA533" s="21">
        <f t="shared" si="519"/>
        <v>444756</v>
      </c>
      <c r="BB533" s="22">
        <f t="shared" si="520"/>
        <v>37063</v>
      </c>
      <c r="BD533" s="7">
        <f t="shared" si="521"/>
        <v>423809</v>
      </c>
      <c r="BE533" s="7">
        <f t="shared" si="522"/>
        <v>-20947</v>
      </c>
      <c r="BF533" s="8">
        <f t="shared" si="523"/>
        <v>-4.7097734488123821E-2</v>
      </c>
      <c r="BG533" s="7">
        <f t="shared" si="524"/>
        <v>35317.416666666664</v>
      </c>
      <c r="BI533" s="12">
        <f t="shared" si="525"/>
        <v>434047</v>
      </c>
      <c r="BJ533" s="12">
        <f t="shared" si="526"/>
        <v>10238</v>
      </c>
      <c r="BK533" s="13">
        <f t="shared" si="527"/>
        <v>2.4157108508785718E-2</v>
      </c>
      <c r="BL533" s="24">
        <f t="shared" si="528"/>
        <v>37795.75</v>
      </c>
      <c r="BM533" s="24">
        <f t="shared" si="529"/>
        <v>32920.25</v>
      </c>
      <c r="BO533" s="17">
        <f t="shared" si="530"/>
        <v>431128</v>
      </c>
      <c r="BP533" s="17">
        <f t="shared" si="531"/>
        <v>-2919</v>
      </c>
      <c r="BQ533" s="18">
        <f t="shared" si="532"/>
        <v>-6.7250781597384401E-3</v>
      </c>
      <c r="BR533" s="25">
        <f t="shared" si="533"/>
        <v>35927.333333333336</v>
      </c>
    </row>
    <row r="534" spans="1:70">
      <c r="A534" t="s">
        <v>770</v>
      </c>
      <c r="B534">
        <v>420061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1609</v>
      </c>
      <c r="P534" s="1">
        <v>3319</v>
      </c>
      <c r="Q534" s="1">
        <v>9332</v>
      </c>
      <c r="R534" s="1">
        <v>3665</v>
      </c>
      <c r="S534" s="1">
        <v>8436</v>
      </c>
      <c r="T534" s="1">
        <v>2052</v>
      </c>
      <c r="U534" s="1">
        <v>767</v>
      </c>
      <c r="V534" s="1">
        <v>5130</v>
      </c>
      <c r="W534" s="1">
        <v>2563</v>
      </c>
      <c r="X534" s="1">
        <v>2656</v>
      </c>
      <c r="Y534" s="1">
        <v>2710</v>
      </c>
      <c r="Z534" s="1">
        <v>2788</v>
      </c>
      <c r="AA534" s="1">
        <v>7378</v>
      </c>
      <c r="AB534" s="1">
        <v>4116</v>
      </c>
      <c r="AC534" s="1">
        <v>1375</v>
      </c>
      <c r="AD534" s="1">
        <v>498</v>
      </c>
      <c r="AE534" s="1">
        <v>3758</v>
      </c>
      <c r="AF534" s="1">
        <v>5215</v>
      </c>
      <c r="AG534" s="1">
        <v>8062</v>
      </c>
      <c r="AH534" s="1">
        <v>5050</v>
      </c>
      <c r="AI534" s="1">
        <v>10067</v>
      </c>
      <c r="AJ534" s="1">
        <v>5136</v>
      </c>
      <c r="AK534" s="1">
        <v>5050</v>
      </c>
      <c r="AL534" s="1">
        <v>5050</v>
      </c>
      <c r="AM534" s="1">
        <v>3659</v>
      </c>
      <c r="AN534" s="1">
        <v>4566</v>
      </c>
      <c r="AO534" s="1">
        <v>4043</v>
      </c>
      <c r="AP534" s="1">
        <v>20995</v>
      </c>
      <c r="AQ534" s="1">
        <v>21391</v>
      </c>
      <c r="AR534" s="1">
        <v>21787</v>
      </c>
      <c r="AS534" s="1">
        <v>22183</v>
      </c>
      <c r="AT534" s="1">
        <v>22579</v>
      </c>
      <c r="AU534" s="1">
        <v>22975</v>
      </c>
      <c r="AV534" s="1">
        <v>24428</v>
      </c>
      <c r="AW534" s="1">
        <v>23767</v>
      </c>
      <c r="AX534" s="1">
        <v>4938</v>
      </c>
      <c r="AY534" s="1"/>
      <c r="BA534" s="21">
        <f t="shared" si="519"/>
        <v>0</v>
      </c>
      <c r="BB534" s="22">
        <f t="shared" si="520"/>
        <v>0</v>
      </c>
      <c r="BD534" s="7">
        <f t="shared" si="521"/>
        <v>45027</v>
      </c>
      <c r="BE534" s="7">
        <f t="shared" si="522"/>
        <v>45027</v>
      </c>
      <c r="BF534" s="8" t="e">
        <f t="shared" si="523"/>
        <v>#DIV/0!</v>
      </c>
      <c r="BG534" s="7">
        <f t="shared" si="524"/>
        <v>3752.25</v>
      </c>
      <c r="BI534" s="12">
        <f t="shared" si="525"/>
        <v>60755</v>
      </c>
      <c r="BJ534" s="12">
        <f t="shared" si="526"/>
        <v>15728</v>
      </c>
      <c r="BK534" s="13">
        <f t="shared" si="527"/>
        <v>0.34930153019299537</v>
      </c>
      <c r="BL534" s="24">
        <f t="shared" si="528"/>
        <v>4431.5</v>
      </c>
      <c r="BM534" s="24">
        <f t="shared" si="529"/>
        <v>6325.75</v>
      </c>
      <c r="BO534" s="17">
        <f t="shared" si="530"/>
        <v>197311</v>
      </c>
      <c r="BP534" s="17">
        <f t="shared" si="531"/>
        <v>136556</v>
      </c>
      <c r="BQ534" s="18">
        <f t="shared" si="532"/>
        <v>2.2476503991441033</v>
      </c>
      <c r="BR534" s="25">
        <f t="shared" si="533"/>
        <v>16442.583333333332</v>
      </c>
    </row>
    <row r="535" spans="1:70">
      <c r="A535" t="s">
        <v>771</v>
      </c>
      <c r="B535">
        <v>420062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20995</v>
      </c>
      <c r="AQ535" s="1">
        <v>21391</v>
      </c>
      <c r="AR535" s="1">
        <v>21787</v>
      </c>
      <c r="AS535" s="1">
        <v>22183</v>
      </c>
      <c r="AT535" s="1">
        <v>22579</v>
      </c>
      <c r="AU535" s="1">
        <v>22975</v>
      </c>
      <c r="AV535" s="1">
        <v>24428</v>
      </c>
      <c r="AW535" s="1">
        <v>23767</v>
      </c>
      <c r="AX535" s="1">
        <v>0</v>
      </c>
      <c r="AY535" s="1"/>
      <c r="BA535" s="21">
        <f t="shared" si="519"/>
        <v>0</v>
      </c>
      <c r="BB535" s="22">
        <f t="shared" si="520"/>
        <v>0</v>
      </c>
      <c r="BD535" s="7">
        <f t="shared" si="521"/>
        <v>0</v>
      </c>
      <c r="BE535" s="7">
        <f t="shared" si="522"/>
        <v>0</v>
      </c>
      <c r="BF535" s="8" t="e">
        <f t="shared" si="523"/>
        <v>#DIV/0!</v>
      </c>
      <c r="BG535" s="7">
        <f t="shared" si="524"/>
        <v>0</v>
      </c>
      <c r="BI535" s="12">
        <f t="shared" si="525"/>
        <v>0</v>
      </c>
      <c r="BJ535" s="12">
        <f t="shared" si="526"/>
        <v>0</v>
      </c>
      <c r="BK535" s="13" t="e">
        <f t="shared" si="527"/>
        <v>#DIV/0!</v>
      </c>
      <c r="BL535" s="24">
        <f t="shared" si="528"/>
        <v>0</v>
      </c>
      <c r="BM535" s="24">
        <f t="shared" si="529"/>
        <v>0</v>
      </c>
      <c r="BO535" s="17">
        <f t="shared" si="530"/>
        <v>180105</v>
      </c>
      <c r="BP535" s="17">
        <f t="shared" si="531"/>
        <v>180105</v>
      </c>
      <c r="BQ535" s="18" t="e">
        <f t="shared" si="532"/>
        <v>#DIV/0!</v>
      </c>
      <c r="BR535" s="25">
        <f t="shared" si="533"/>
        <v>15008.75</v>
      </c>
    </row>
    <row r="536" spans="1:70">
      <c r="A536" t="s">
        <v>772</v>
      </c>
      <c r="B536">
        <v>420065</v>
      </c>
      <c r="C536" s="1">
        <v>6825</v>
      </c>
      <c r="D536" s="1">
        <v>4480</v>
      </c>
      <c r="E536" s="1">
        <v>5653</v>
      </c>
      <c r="F536" s="1">
        <v>5653</v>
      </c>
      <c r="G536" s="1">
        <v>5653</v>
      </c>
      <c r="H536" s="1">
        <v>5145</v>
      </c>
      <c r="I536" s="1">
        <v>5145</v>
      </c>
      <c r="J536" s="1">
        <v>5145</v>
      </c>
      <c r="K536" s="1">
        <v>5145</v>
      </c>
      <c r="L536" s="1">
        <v>5145</v>
      </c>
      <c r="M536" s="1">
        <v>3328</v>
      </c>
      <c r="N536" s="1">
        <v>3328</v>
      </c>
      <c r="O536" s="1">
        <v>3328</v>
      </c>
      <c r="P536" s="1">
        <v>3328</v>
      </c>
      <c r="Q536" s="1">
        <v>-3328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158</v>
      </c>
      <c r="Z536" s="1">
        <v>1370</v>
      </c>
      <c r="AA536" s="1">
        <v>0</v>
      </c>
      <c r="AB536" s="1">
        <v>0</v>
      </c>
      <c r="AC536" s="1">
        <v>128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5288</v>
      </c>
      <c r="AK536" s="1">
        <v>5200</v>
      </c>
      <c r="AL536" s="1">
        <v>5200</v>
      </c>
      <c r="AM536" s="1">
        <v>4145</v>
      </c>
      <c r="AN536" s="1">
        <v>5171</v>
      </c>
      <c r="AO536" s="1">
        <v>4579</v>
      </c>
      <c r="AP536" s="1">
        <v>20995</v>
      </c>
      <c r="AQ536" s="1">
        <v>21391</v>
      </c>
      <c r="AR536" s="1">
        <v>21787</v>
      </c>
      <c r="AS536" s="1">
        <v>22183</v>
      </c>
      <c r="AT536" s="1">
        <v>22579</v>
      </c>
      <c r="AU536" s="1">
        <v>22975</v>
      </c>
      <c r="AV536" s="1">
        <v>24428</v>
      </c>
      <c r="AW536" s="1">
        <v>23767</v>
      </c>
      <c r="AX536" s="1">
        <v>5582</v>
      </c>
      <c r="AY536" s="1"/>
      <c r="BA536" s="21">
        <f t="shared" si="519"/>
        <v>60645</v>
      </c>
      <c r="BB536" s="22">
        <f t="shared" si="520"/>
        <v>5053.75</v>
      </c>
      <c r="BD536" s="7">
        <f t="shared" si="521"/>
        <v>4856</v>
      </c>
      <c r="BE536" s="7">
        <f t="shared" si="522"/>
        <v>-55789</v>
      </c>
      <c r="BF536" s="8">
        <f t="shared" si="523"/>
        <v>-0.91992744661554948</v>
      </c>
      <c r="BG536" s="7">
        <f t="shared" si="524"/>
        <v>404.66666666666669</v>
      </c>
      <c r="BI536" s="12">
        <f t="shared" si="525"/>
        <v>15816</v>
      </c>
      <c r="BJ536" s="12">
        <f t="shared" si="526"/>
        <v>10960</v>
      </c>
      <c r="BK536" s="13">
        <f t="shared" si="527"/>
        <v>2.257001647446458</v>
      </c>
      <c r="BL536" s="24">
        <f t="shared" si="528"/>
        <v>16</v>
      </c>
      <c r="BM536" s="24">
        <f t="shared" si="529"/>
        <v>3922</v>
      </c>
      <c r="BO536" s="17">
        <f t="shared" si="530"/>
        <v>199582</v>
      </c>
      <c r="BP536" s="17">
        <f t="shared" si="531"/>
        <v>183766</v>
      </c>
      <c r="BQ536" s="18">
        <f t="shared" si="532"/>
        <v>11.618993424380374</v>
      </c>
      <c r="BR536" s="25">
        <f t="shared" si="533"/>
        <v>16631.833333333332</v>
      </c>
    </row>
    <row r="537" spans="1:70">
      <c r="A537" t="s">
        <v>773</v>
      </c>
      <c r="B537">
        <v>420507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20995</v>
      </c>
      <c r="AQ537" s="1">
        <v>21391</v>
      </c>
      <c r="AR537" s="1">
        <v>21787</v>
      </c>
      <c r="AS537" s="1">
        <v>22183</v>
      </c>
      <c r="AT537" s="1">
        <v>22579</v>
      </c>
      <c r="AU537" s="1">
        <v>22975</v>
      </c>
      <c r="AV537" s="1">
        <v>24428</v>
      </c>
      <c r="AW537" s="1">
        <v>23767</v>
      </c>
      <c r="AX537" s="1">
        <v>0</v>
      </c>
      <c r="AY537" s="1"/>
      <c r="BA537" s="21">
        <f t="shared" si="519"/>
        <v>0</v>
      </c>
      <c r="BB537" s="22">
        <f t="shared" si="520"/>
        <v>0</v>
      </c>
      <c r="BD537" s="7">
        <f t="shared" si="521"/>
        <v>0</v>
      </c>
      <c r="BE537" s="7">
        <f t="shared" si="522"/>
        <v>0</v>
      </c>
      <c r="BF537" s="8" t="e">
        <f t="shared" si="523"/>
        <v>#DIV/0!</v>
      </c>
      <c r="BG537" s="7">
        <f t="shared" si="524"/>
        <v>0</v>
      </c>
      <c r="BI537" s="12">
        <f t="shared" si="525"/>
        <v>0</v>
      </c>
      <c r="BJ537" s="12">
        <f t="shared" si="526"/>
        <v>0</v>
      </c>
      <c r="BK537" s="13" t="e">
        <f t="shared" si="527"/>
        <v>#DIV/0!</v>
      </c>
      <c r="BL537" s="24">
        <f t="shared" si="528"/>
        <v>0</v>
      </c>
      <c r="BM537" s="24">
        <f t="shared" si="529"/>
        <v>0</v>
      </c>
      <c r="BO537" s="17">
        <f t="shared" si="530"/>
        <v>180105</v>
      </c>
      <c r="BP537" s="17">
        <f t="shared" si="531"/>
        <v>180105</v>
      </c>
      <c r="BQ537" s="18" t="e">
        <f t="shared" si="532"/>
        <v>#DIV/0!</v>
      </c>
      <c r="BR537" s="25">
        <f t="shared" si="533"/>
        <v>15008.75</v>
      </c>
    </row>
    <row r="538" spans="1:70">
      <c r="A538" t="s">
        <v>774</v>
      </c>
      <c r="B538">
        <v>420070</v>
      </c>
      <c r="C538" s="1">
        <v>383289</v>
      </c>
      <c r="D538" s="1">
        <v>524707</v>
      </c>
      <c r="E538" s="1">
        <v>437595</v>
      </c>
      <c r="F538" s="1">
        <v>403089</v>
      </c>
      <c r="G538" s="1">
        <v>510019</v>
      </c>
      <c r="H538" s="1">
        <v>627081</v>
      </c>
      <c r="I538" s="1">
        <v>633302</v>
      </c>
      <c r="J538" s="1">
        <v>678255</v>
      </c>
      <c r="K538" s="1">
        <v>618888</v>
      </c>
      <c r="L538" s="1">
        <v>607913</v>
      </c>
      <c r="M538" s="1">
        <v>583155</v>
      </c>
      <c r="N538" s="1">
        <v>640377</v>
      </c>
      <c r="O538" s="1">
        <v>475183</v>
      </c>
      <c r="P538" s="1">
        <v>546747</v>
      </c>
      <c r="Q538" s="1">
        <v>468854</v>
      </c>
      <c r="R538" s="1">
        <v>509884</v>
      </c>
      <c r="S538" s="1">
        <v>537479</v>
      </c>
      <c r="T538" s="1">
        <v>551508</v>
      </c>
      <c r="U538" s="1">
        <v>513933</v>
      </c>
      <c r="V538" s="1">
        <v>386455</v>
      </c>
      <c r="W538" s="1">
        <v>475948</v>
      </c>
      <c r="X538" s="1">
        <v>437429</v>
      </c>
      <c r="Y538" s="1">
        <v>509994</v>
      </c>
      <c r="Z538" s="1">
        <v>618904</v>
      </c>
      <c r="AA538" s="1">
        <v>400047</v>
      </c>
      <c r="AB538" s="1">
        <v>513618</v>
      </c>
      <c r="AC538" s="1">
        <v>524278</v>
      </c>
      <c r="AD538" s="1">
        <v>592249</v>
      </c>
      <c r="AE538" s="1">
        <v>662670</v>
      </c>
      <c r="AF538" s="1">
        <v>615710</v>
      </c>
      <c r="AG538" s="1">
        <v>635319</v>
      </c>
      <c r="AH538" s="1">
        <v>617039</v>
      </c>
      <c r="AI538" s="1">
        <v>621686</v>
      </c>
      <c r="AJ538" s="1">
        <v>414810</v>
      </c>
      <c r="AK538" s="1">
        <v>391895</v>
      </c>
      <c r="AL538" s="1">
        <v>397279</v>
      </c>
      <c r="AM538" s="1">
        <v>715288</v>
      </c>
      <c r="AN538" s="1">
        <v>565238</v>
      </c>
      <c r="AO538" s="1">
        <v>606158</v>
      </c>
      <c r="AP538" s="1">
        <v>20995</v>
      </c>
      <c r="AQ538" s="1">
        <v>21391</v>
      </c>
      <c r="AR538" s="1">
        <v>21787</v>
      </c>
      <c r="AS538" s="1">
        <v>22183</v>
      </c>
      <c r="AT538" s="1">
        <v>22579</v>
      </c>
      <c r="AU538" s="1">
        <v>22975</v>
      </c>
      <c r="AV538" s="1">
        <v>24428</v>
      </c>
      <c r="AW538" s="1">
        <v>23767</v>
      </c>
      <c r="AX538" s="1">
        <v>650305</v>
      </c>
      <c r="AY538" s="1"/>
      <c r="BA538" s="21">
        <f t="shared" si="519"/>
        <v>6647670</v>
      </c>
      <c r="BB538" s="22">
        <f t="shared" si="520"/>
        <v>553972.5</v>
      </c>
      <c r="BD538" s="7">
        <f t="shared" si="521"/>
        <v>6032318</v>
      </c>
      <c r="BE538" s="7">
        <f t="shared" si="522"/>
        <v>-615352</v>
      </c>
      <c r="BF538" s="8">
        <f t="shared" si="523"/>
        <v>-9.2566568436760588E-2</v>
      </c>
      <c r="BG538" s="7">
        <f t="shared" si="524"/>
        <v>502693.16666666669</v>
      </c>
      <c r="BI538" s="12">
        <f t="shared" si="525"/>
        <v>6386600</v>
      </c>
      <c r="BJ538" s="12">
        <f t="shared" si="526"/>
        <v>354282</v>
      </c>
      <c r="BK538" s="13">
        <f t="shared" si="527"/>
        <v>5.8730657103952311E-2</v>
      </c>
      <c r="BL538" s="24">
        <f t="shared" si="528"/>
        <v>570116.25</v>
      </c>
      <c r="BM538" s="24">
        <f t="shared" si="529"/>
        <v>456417.5</v>
      </c>
      <c r="BO538" s="17">
        <f t="shared" si="530"/>
        <v>2717094</v>
      </c>
      <c r="BP538" s="17">
        <f t="shared" si="531"/>
        <v>-3669506</v>
      </c>
      <c r="BQ538" s="18">
        <f t="shared" si="532"/>
        <v>-0.57456330441862646</v>
      </c>
      <c r="BR538" s="25">
        <f t="shared" si="533"/>
        <v>226424.5</v>
      </c>
    </row>
    <row r="539" spans="1:70">
      <c r="A539" t="s">
        <v>775</v>
      </c>
      <c r="B539">
        <v>420071</v>
      </c>
      <c r="C539" s="1">
        <v>27074</v>
      </c>
      <c r="D539" s="1">
        <v>27653</v>
      </c>
      <c r="E539" s="1">
        <v>28309</v>
      </c>
      <c r="F539" s="1">
        <v>34954</v>
      </c>
      <c r="G539" s="1">
        <v>3514</v>
      </c>
      <c r="H539" s="1">
        <v>29219</v>
      </c>
      <c r="I539" s="1">
        <v>26003</v>
      </c>
      <c r="J539" s="1">
        <v>28186</v>
      </c>
      <c r="K539" s="1">
        <v>26332</v>
      </c>
      <c r="L539" s="1">
        <v>28736</v>
      </c>
      <c r="M539" s="1">
        <v>27809</v>
      </c>
      <c r="N539" s="1">
        <v>17656</v>
      </c>
      <c r="O539" s="1">
        <v>27964</v>
      </c>
      <c r="P539" s="1">
        <v>26831</v>
      </c>
      <c r="Q539" s="1">
        <v>28086</v>
      </c>
      <c r="R539" s="1">
        <v>23088</v>
      </c>
      <c r="S539" s="1">
        <v>27148</v>
      </c>
      <c r="T539" s="1">
        <v>19229</v>
      </c>
      <c r="U539" s="1">
        <v>33807</v>
      </c>
      <c r="V539" s="1">
        <v>34051</v>
      </c>
      <c r="W539" s="1">
        <v>26302</v>
      </c>
      <c r="X539" s="1">
        <v>26755</v>
      </c>
      <c r="Y539" s="1">
        <v>17619</v>
      </c>
      <c r="Z539" s="1">
        <v>28440</v>
      </c>
      <c r="AA539" s="1">
        <v>29227</v>
      </c>
      <c r="AB539" s="1">
        <v>30408</v>
      </c>
      <c r="AC539" s="1">
        <v>30835</v>
      </c>
      <c r="AD539" s="1">
        <v>33500</v>
      </c>
      <c r="AE539" s="1">
        <v>32518</v>
      </c>
      <c r="AF539" s="1">
        <v>31803</v>
      </c>
      <c r="AG539" s="1">
        <v>30812</v>
      </c>
      <c r="AH539" s="1">
        <v>31492</v>
      </c>
      <c r="AI539" s="1">
        <v>36981</v>
      </c>
      <c r="AJ539" s="1">
        <v>3000</v>
      </c>
      <c r="AK539" s="1">
        <v>2950</v>
      </c>
      <c r="AL539" s="1">
        <v>2950</v>
      </c>
      <c r="AM539" s="1">
        <v>2183</v>
      </c>
      <c r="AN539" s="1">
        <v>2724</v>
      </c>
      <c r="AO539" s="1">
        <v>2412</v>
      </c>
      <c r="AP539" s="1">
        <v>20995</v>
      </c>
      <c r="AQ539" s="1">
        <v>21391</v>
      </c>
      <c r="AR539" s="1">
        <v>21787</v>
      </c>
      <c r="AS539" s="1">
        <v>22183</v>
      </c>
      <c r="AT539" s="1">
        <v>22579</v>
      </c>
      <c r="AU539" s="1">
        <v>22975</v>
      </c>
      <c r="AV539" s="1">
        <v>24428</v>
      </c>
      <c r="AW539" s="1">
        <v>23767</v>
      </c>
      <c r="AX539" s="1">
        <v>2940</v>
      </c>
      <c r="AY539" s="1"/>
      <c r="BA539" s="21">
        <f t="shared" si="519"/>
        <v>305445</v>
      </c>
      <c r="BB539" s="22">
        <f t="shared" si="520"/>
        <v>25453.75</v>
      </c>
      <c r="BD539" s="7">
        <f t="shared" si="521"/>
        <v>319320</v>
      </c>
      <c r="BE539" s="7">
        <f t="shared" si="522"/>
        <v>13875</v>
      </c>
      <c r="BF539" s="8">
        <f t="shared" si="523"/>
        <v>4.542552669056632E-2</v>
      </c>
      <c r="BG539" s="7">
        <f t="shared" si="524"/>
        <v>26610</v>
      </c>
      <c r="BI539" s="12">
        <f t="shared" si="525"/>
        <v>296476</v>
      </c>
      <c r="BJ539" s="12">
        <f t="shared" si="526"/>
        <v>-22844</v>
      </c>
      <c r="BK539" s="13">
        <f t="shared" si="527"/>
        <v>-7.153952148315168E-2</v>
      </c>
      <c r="BL539" s="24">
        <f t="shared" si="528"/>
        <v>31324.375</v>
      </c>
      <c r="BM539" s="24">
        <f t="shared" si="529"/>
        <v>11470.25</v>
      </c>
      <c r="BO539" s="17">
        <f t="shared" si="530"/>
        <v>190364</v>
      </c>
      <c r="BP539" s="17">
        <f t="shared" si="531"/>
        <v>-106112</v>
      </c>
      <c r="BQ539" s="18">
        <f t="shared" si="532"/>
        <v>-0.35791092702276073</v>
      </c>
      <c r="BR539" s="25">
        <f t="shared" si="533"/>
        <v>15863.666666666666</v>
      </c>
    </row>
    <row r="540" spans="1:70">
      <c r="A540" t="s">
        <v>776</v>
      </c>
      <c r="B540">
        <v>420075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20995</v>
      </c>
      <c r="AQ540" s="1">
        <v>21391</v>
      </c>
      <c r="AR540" s="1">
        <v>21787</v>
      </c>
      <c r="AS540" s="1">
        <v>22183</v>
      </c>
      <c r="AT540" s="1">
        <v>22579</v>
      </c>
      <c r="AU540" s="1">
        <v>22975</v>
      </c>
      <c r="AV540" s="1">
        <v>24428</v>
      </c>
      <c r="AW540" s="1">
        <v>23767</v>
      </c>
      <c r="AX540" s="1">
        <v>0</v>
      </c>
      <c r="AY540" s="1"/>
      <c r="BA540" s="21">
        <f t="shared" si="519"/>
        <v>0</v>
      </c>
      <c r="BB540" s="22">
        <f t="shared" si="520"/>
        <v>0</v>
      </c>
      <c r="BD540" s="7">
        <f t="shared" si="521"/>
        <v>0</v>
      </c>
      <c r="BE540" s="7">
        <f t="shared" si="522"/>
        <v>0</v>
      </c>
      <c r="BF540" s="8" t="e">
        <f t="shared" si="523"/>
        <v>#DIV/0!</v>
      </c>
      <c r="BG540" s="7">
        <f t="shared" si="524"/>
        <v>0</v>
      </c>
      <c r="BI540" s="12">
        <f t="shared" si="525"/>
        <v>0</v>
      </c>
      <c r="BJ540" s="12">
        <f t="shared" si="526"/>
        <v>0</v>
      </c>
      <c r="BK540" s="13" t="e">
        <f t="shared" si="527"/>
        <v>#DIV/0!</v>
      </c>
      <c r="BL540" s="24">
        <f t="shared" si="528"/>
        <v>0</v>
      </c>
      <c r="BM540" s="24">
        <f t="shared" si="529"/>
        <v>0</v>
      </c>
      <c r="BO540" s="17">
        <f t="shared" si="530"/>
        <v>180105</v>
      </c>
      <c r="BP540" s="17">
        <f t="shared" si="531"/>
        <v>180105</v>
      </c>
      <c r="BQ540" s="18" t="e">
        <f t="shared" si="532"/>
        <v>#DIV/0!</v>
      </c>
      <c r="BR540" s="25">
        <f t="shared" si="533"/>
        <v>15008.75</v>
      </c>
    </row>
    <row r="541" spans="1:70">
      <c r="A541" t="s">
        <v>777</v>
      </c>
      <c r="B541">
        <v>420080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20995</v>
      </c>
      <c r="AQ541" s="1">
        <v>21391</v>
      </c>
      <c r="AR541" s="1">
        <v>21787</v>
      </c>
      <c r="AS541" s="1">
        <v>22183</v>
      </c>
      <c r="AT541" s="1">
        <v>22579</v>
      </c>
      <c r="AU541" s="1">
        <v>22975</v>
      </c>
      <c r="AV541" s="1">
        <v>24428</v>
      </c>
      <c r="AW541" s="1">
        <v>23767</v>
      </c>
      <c r="AX541" s="1">
        <v>0</v>
      </c>
      <c r="AY541" s="1"/>
      <c r="BA541" s="21">
        <f t="shared" si="519"/>
        <v>0</v>
      </c>
      <c r="BB541" s="22">
        <f t="shared" si="520"/>
        <v>0</v>
      </c>
      <c r="BD541" s="7">
        <f t="shared" si="521"/>
        <v>0</v>
      </c>
      <c r="BE541" s="7">
        <f t="shared" si="522"/>
        <v>0</v>
      </c>
      <c r="BF541" s="8" t="e">
        <f t="shared" si="523"/>
        <v>#DIV/0!</v>
      </c>
      <c r="BG541" s="7">
        <f t="shared" si="524"/>
        <v>0</v>
      </c>
      <c r="BI541" s="12">
        <f t="shared" si="525"/>
        <v>0</v>
      </c>
      <c r="BJ541" s="12">
        <f t="shared" si="526"/>
        <v>0</v>
      </c>
      <c r="BK541" s="13" t="e">
        <f t="shared" si="527"/>
        <v>#DIV/0!</v>
      </c>
      <c r="BL541" s="24">
        <f t="shared" si="528"/>
        <v>0</v>
      </c>
      <c r="BM541" s="24">
        <f t="shared" si="529"/>
        <v>0</v>
      </c>
      <c r="BO541" s="17">
        <f t="shared" si="530"/>
        <v>180105</v>
      </c>
      <c r="BP541" s="17">
        <f t="shared" si="531"/>
        <v>180105</v>
      </c>
      <c r="BQ541" s="18" t="e">
        <f t="shared" si="532"/>
        <v>#DIV/0!</v>
      </c>
      <c r="BR541" s="25">
        <f t="shared" si="533"/>
        <v>15008.75</v>
      </c>
    </row>
    <row r="542" spans="1:70">
      <c r="A542" t="s">
        <v>778</v>
      </c>
      <c r="B542">
        <v>420081</v>
      </c>
      <c r="C542" s="1">
        <v>0</v>
      </c>
      <c r="D542" s="1">
        <v>3130</v>
      </c>
      <c r="E542" s="1">
        <v>1565</v>
      </c>
      <c r="F542" s="1">
        <v>1565</v>
      </c>
      <c r="G542" s="1">
        <v>1565</v>
      </c>
      <c r="H542" s="1">
        <v>1565</v>
      </c>
      <c r="I542" s="1">
        <v>3083</v>
      </c>
      <c r="J542" s="1">
        <v>1565</v>
      </c>
      <c r="K542" s="1">
        <v>1565</v>
      </c>
      <c r="L542" s="1">
        <v>1565</v>
      </c>
      <c r="M542" s="1">
        <v>1565</v>
      </c>
      <c r="N542" s="1">
        <v>1565</v>
      </c>
      <c r="O542" s="1">
        <v>1534</v>
      </c>
      <c r="P542" s="1">
        <v>1534</v>
      </c>
      <c r="Q542" s="1">
        <v>1534</v>
      </c>
      <c r="R542" s="1">
        <v>1534</v>
      </c>
      <c r="S542" s="1">
        <v>1534</v>
      </c>
      <c r="T542" s="1">
        <v>1534</v>
      </c>
      <c r="U542" s="1">
        <v>2733</v>
      </c>
      <c r="V542" s="1">
        <v>1534</v>
      </c>
      <c r="W542" s="1">
        <v>1534</v>
      </c>
      <c r="X542" s="1">
        <v>1534</v>
      </c>
      <c r="Y542" s="1">
        <v>1534</v>
      </c>
      <c r="Z542" s="1">
        <v>1534</v>
      </c>
      <c r="AA542" s="1">
        <v>1540</v>
      </c>
      <c r="AB542" s="1">
        <v>140</v>
      </c>
      <c r="AC542" s="1">
        <v>1680</v>
      </c>
      <c r="AD542" s="1">
        <v>1680</v>
      </c>
      <c r="AE542" s="1">
        <v>1680</v>
      </c>
      <c r="AF542" s="1">
        <v>1680</v>
      </c>
      <c r="AG542" s="1">
        <v>1680</v>
      </c>
      <c r="AH542" s="1">
        <v>1680</v>
      </c>
      <c r="AI542" s="1">
        <v>1680</v>
      </c>
      <c r="AJ542" s="1">
        <v>1709</v>
      </c>
      <c r="AK542" s="1">
        <v>1680</v>
      </c>
      <c r="AL542" s="1">
        <v>1680</v>
      </c>
      <c r="AM542" s="1">
        <v>1243</v>
      </c>
      <c r="AN542" s="1">
        <v>1551</v>
      </c>
      <c r="AO542" s="1">
        <v>1374</v>
      </c>
      <c r="AP542" s="1">
        <v>20995</v>
      </c>
      <c r="AQ542" s="1">
        <v>21391</v>
      </c>
      <c r="AR542" s="1">
        <v>21787</v>
      </c>
      <c r="AS542" s="1">
        <v>22183</v>
      </c>
      <c r="AT542" s="1">
        <v>22579</v>
      </c>
      <c r="AU542" s="1">
        <v>22975</v>
      </c>
      <c r="AV542" s="1">
        <v>24428</v>
      </c>
      <c r="AW542" s="1">
        <v>23767</v>
      </c>
      <c r="AX542" s="1">
        <v>1675</v>
      </c>
      <c r="AY542" s="1"/>
      <c r="BA542" s="21">
        <f t="shared" si="519"/>
        <v>20298</v>
      </c>
      <c r="BB542" s="22">
        <f t="shared" si="520"/>
        <v>1691.5</v>
      </c>
      <c r="BD542" s="7">
        <f t="shared" si="521"/>
        <v>19607</v>
      </c>
      <c r="BE542" s="7">
        <f t="shared" si="522"/>
        <v>-691</v>
      </c>
      <c r="BF542" s="8">
        <f t="shared" si="523"/>
        <v>-3.4042762833776719E-2</v>
      </c>
      <c r="BG542" s="7">
        <f t="shared" si="524"/>
        <v>1633.9166666666667</v>
      </c>
      <c r="BI542" s="12">
        <f t="shared" si="525"/>
        <v>18509</v>
      </c>
      <c r="BJ542" s="12">
        <f t="shared" si="526"/>
        <v>-1098</v>
      </c>
      <c r="BK542" s="13">
        <f t="shared" si="527"/>
        <v>-5.60004080175448E-2</v>
      </c>
      <c r="BL542" s="24">
        <f t="shared" si="528"/>
        <v>1470</v>
      </c>
      <c r="BM542" s="24">
        <f t="shared" si="529"/>
        <v>1687.25</v>
      </c>
      <c r="BO542" s="17">
        <f t="shared" si="530"/>
        <v>185948</v>
      </c>
      <c r="BP542" s="17">
        <f t="shared" si="531"/>
        <v>167439</v>
      </c>
      <c r="BQ542" s="18">
        <f t="shared" si="532"/>
        <v>9.0463558268950237</v>
      </c>
      <c r="BR542" s="25">
        <f t="shared" si="533"/>
        <v>15495.666666666666</v>
      </c>
    </row>
    <row r="543" spans="1:70">
      <c r="A543" t="s">
        <v>779</v>
      </c>
      <c r="B543">
        <v>420085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20995</v>
      </c>
      <c r="AQ543" s="1">
        <v>21391</v>
      </c>
      <c r="AR543" s="1">
        <v>21787</v>
      </c>
      <c r="AS543" s="1">
        <v>22183</v>
      </c>
      <c r="AT543" s="1">
        <v>22579</v>
      </c>
      <c r="AU543" s="1">
        <v>22975</v>
      </c>
      <c r="AV543" s="1">
        <v>24428</v>
      </c>
      <c r="AW543" s="1">
        <v>23767</v>
      </c>
      <c r="AX543" s="1">
        <v>0</v>
      </c>
      <c r="AY543" s="1"/>
      <c r="BA543" s="21">
        <f t="shared" si="519"/>
        <v>0</v>
      </c>
      <c r="BB543" s="22">
        <f t="shared" si="520"/>
        <v>0</v>
      </c>
      <c r="BD543" s="7">
        <f t="shared" si="521"/>
        <v>0</v>
      </c>
      <c r="BE543" s="7">
        <f t="shared" si="522"/>
        <v>0</v>
      </c>
      <c r="BF543" s="8" t="e">
        <f t="shared" si="523"/>
        <v>#DIV/0!</v>
      </c>
      <c r="BG543" s="7">
        <f t="shared" si="524"/>
        <v>0</v>
      </c>
      <c r="BI543" s="12">
        <f t="shared" si="525"/>
        <v>0</v>
      </c>
      <c r="BJ543" s="12">
        <f t="shared" si="526"/>
        <v>0</v>
      </c>
      <c r="BK543" s="13" t="e">
        <f t="shared" si="527"/>
        <v>#DIV/0!</v>
      </c>
      <c r="BL543" s="24">
        <f t="shared" si="528"/>
        <v>0</v>
      </c>
      <c r="BM543" s="24">
        <f t="shared" si="529"/>
        <v>0</v>
      </c>
      <c r="BO543" s="17">
        <f t="shared" si="530"/>
        <v>180105</v>
      </c>
      <c r="BP543" s="17">
        <f t="shared" si="531"/>
        <v>180105</v>
      </c>
      <c r="BQ543" s="18" t="e">
        <f t="shared" si="532"/>
        <v>#DIV/0!</v>
      </c>
      <c r="BR543" s="25">
        <f t="shared" si="533"/>
        <v>15008.75</v>
      </c>
    </row>
    <row r="544" spans="1:70">
      <c r="A544" t="s">
        <v>780</v>
      </c>
      <c r="B544">
        <v>420090</v>
      </c>
      <c r="C544" s="1">
        <v>178504</v>
      </c>
      <c r="D544" s="1">
        <v>167394</v>
      </c>
      <c r="E544" s="1">
        <v>177225</v>
      </c>
      <c r="F544" s="1">
        <v>168095</v>
      </c>
      <c r="G544" s="1">
        <v>157586</v>
      </c>
      <c r="H544" s="1">
        <v>205821</v>
      </c>
      <c r="I544" s="1">
        <v>180699</v>
      </c>
      <c r="J544" s="1">
        <v>182569</v>
      </c>
      <c r="K544" s="1">
        <v>234428</v>
      </c>
      <c r="L544" s="1">
        <v>175687</v>
      </c>
      <c r="M544" s="1">
        <v>177913</v>
      </c>
      <c r="N544" s="1">
        <v>191004</v>
      </c>
      <c r="O544" s="1">
        <v>186611</v>
      </c>
      <c r="P544" s="1">
        <v>189086</v>
      </c>
      <c r="Q544" s="1">
        <v>197980</v>
      </c>
      <c r="R544" s="1">
        <v>191206</v>
      </c>
      <c r="S544" s="1">
        <v>206969</v>
      </c>
      <c r="T544" s="1">
        <v>197707</v>
      </c>
      <c r="U544" s="1">
        <v>199470</v>
      </c>
      <c r="V544" s="1">
        <v>204823</v>
      </c>
      <c r="W544" s="1">
        <v>203268</v>
      </c>
      <c r="X544" s="1">
        <v>203575</v>
      </c>
      <c r="Y544" s="1">
        <v>213304</v>
      </c>
      <c r="Z544" s="1">
        <v>203358</v>
      </c>
      <c r="AA544" s="1">
        <v>205947</v>
      </c>
      <c r="AB544" s="1">
        <v>230636</v>
      </c>
      <c r="AC544" s="1">
        <v>227925</v>
      </c>
      <c r="AD544" s="1">
        <v>215342</v>
      </c>
      <c r="AE544" s="1">
        <v>216145</v>
      </c>
      <c r="AF544" s="1">
        <v>232317</v>
      </c>
      <c r="AG544" s="1">
        <v>243682</v>
      </c>
      <c r="AH544" s="1">
        <v>223922</v>
      </c>
      <c r="AI544" s="1">
        <v>248203</v>
      </c>
      <c r="AJ544" s="1">
        <v>260357</v>
      </c>
      <c r="AK544" s="1">
        <v>257300</v>
      </c>
      <c r="AL544" s="1">
        <v>258592</v>
      </c>
      <c r="AM544" s="1">
        <v>201502</v>
      </c>
      <c r="AN544" s="1">
        <v>253435</v>
      </c>
      <c r="AO544" s="1">
        <v>226606</v>
      </c>
      <c r="AP544" s="1">
        <v>20995</v>
      </c>
      <c r="AQ544" s="1">
        <v>21391</v>
      </c>
      <c r="AR544" s="1">
        <v>21787</v>
      </c>
      <c r="AS544" s="1">
        <v>22183</v>
      </c>
      <c r="AT544" s="1">
        <v>22579</v>
      </c>
      <c r="AU544" s="1">
        <v>22975</v>
      </c>
      <c r="AV544" s="1">
        <v>24428</v>
      </c>
      <c r="AW544" s="1">
        <v>23767</v>
      </c>
      <c r="AX544" s="1">
        <v>300612</v>
      </c>
      <c r="AY544" s="1"/>
      <c r="BA544" s="21">
        <f t="shared" si="519"/>
        <v>2196925</v>
      </c>
      <c r="BB544" s="22">
        <f t="shared" si="520"/>
        <v>183077.08333333334</v>
      </c>
      <c r="BD544" s="7">
        <f t="shared" si="521"/>
        <v>2397357</v>
      </c>
      <c r="BE544" s="7">
        <f t="shared" si="522"/>
        <v>200432</v>
      </c>
      <c r="BF544" s="8">
        <f t="shared" si="523"/>
        <v>9.1232973360492409E-2</v>
      </c>
      <c r="BG544" s="7">
        <f t="shared" si="524"/>
        <v>199779.75</v>
      </c>
      <c r="BI544" s="12">
        <f t="shared" si="525"/>
        <v>2820368</v>
      </c>
      <c r="BJ544" s="12">
        <f t="shared" si="526"/>
        <v>423011</v>
      </c>
      <c r="BK544" s="13">
        <f t="shared" si="527"/>
        <v>0.17644889768190564</v>
      </c>
      <c r="BL544" s="24">
        <f t="shared" si="528"/>
        <v>224489.5</v>
      </c>
      <c r="BM544" s="24">
        <f t="shared" si="529"/>
        <v>256113</v>
      </c>
      <c r="BO544" s="17">
        <f t="shared" si="530"/>
        <v>1162260</v>
      </c>
      <c r="BP544" s="17">
        <f t="shared" si="531"/>
        <v>-1658108</v>
      </c>
      <c r="BQ544" s="18">
        <f t="shared" si="532"/>
        <v>-0.58790484078673422</v>
      </c>
      <c r="BR544" s="25">
        <f t="shared" si="533"/>
        <v>96855</v>
      </c>
    </row>
    <row r="545" spans="1:70">
      <c r="A545" t="s">
        <v>781</v>
      </c>
      <c r="B545">
        <v>420095</v>
      </c>
      <c r="C545" s="1">
        <v>14968</v>
      </c>
      <c r="D545" s="1">
        <v>17036</v>
      </c>
      <c r="E545" s="1">
        <v>12860</v>
      </c>
      <c r="F545" s="1">
        <v>11798</v>
      </c>
      <c r="G545" s="1">
        <v>20457</v>
      </c>
      <c r="H545" s="1">
        <v>19170</v>
      </c>
      <c r="I545" s="1">
        <v>14190</v>
      </c>
      <c r="J545" s="1">
        <v>13215</v>
      </c>
      <c r="K545" s="1">
        <v>14690</v>
      </c>
      <c r="L545" s="1">
        <v>26730</v>
      </c>
      <c r="M545" s="1">
        <v>18157</v>
      </c>
      <c r="N545" s="1">
        <v>22718</v>
      </c>
      <c r="O545" s="1">
        <v>12912</v>
      </c>
      <c r="P545" s="1">
        <v>20041</v>
      </c>
      <c r="Q545" s="1">
        <v>17551</v>
      </c>
      <c r="R545" s="1">
        <v>19442</v>
      </c>
      <c r="S545" s="1">
        <v>16324</v>
      </c>
      <c r="T545" s="1">
        <v>15376</v>
      </c>
      <c r="U545" s="1">
        <v>15408</v>
      </c>
      <c r="V545" s="1">
        <v>18822</v>
      </c>
      <c r="W545" s="1">
        <v>-854</v>
      </c>
      <c r="X545" s="1">
        <v>20569</v>
      </c>
      <c r="Y545" s="1">
        <v>22288</v>
      </c>
      <c r="Z545" s="1">
        <v>7910</v>
      </c>
      <c r="AA545" s="1">
        <v>30500</v>
      </c>
      <c r="AB545" s="1">
        <v>34417</v>
      </c>
      <c r="AC545" s="1">
        <v>22222</v>
      </c>
      <c r="AD545" s="1">
        <v>18735</v>
      </c>
      <c r="AE545" s="1">
        <v>31343</v>
      </c>
      <c r="AF545" s="1">
        <v>14396</v>
      </c>
      <c r="AG545" s="1">
        <v>16887</v>
      </c>
      <c r="AH545" s="1">
        <v>16071</v>
      </c>
      <c r="AI545" s="1">
        <v>18498</v>
      </c>
      <c r="AJ545" s="1">
        <v>14927</v>
      </c>
      <c r="AK545" s="1">
        <v>15794</v>
      </c>
      <c r="AL545" s="1">
        <v>15795</v>
      </c>
      <c r="AM545" s="1">
        <v>17873</v>
      </c>
      <c r="AN545" s="1">
        <v>22280</v>
      </c>
      <c r="AO545" s="1">
        <v>20517</v>
      </c>
      <c r="AP545" s="1">
        <v>20995</v>
      </c>
      <c r="AQ545" s="1">
        <v>21391</v>
      </c>
      <c r="AR545" s="1">
        <v>21787</v>
      </c>
      <c r="AS545" s="1">
        <v>22183</v>
      </c>
      <c r="AT545" s="1">
        <v>22579</v>
      </c>
      <c r="AU545" s="1">
        <v>22975</v>
      </c>
      <c r="AV545" s="1">
        <v>24428</v>
      </c>
      <c r="AW545" s="1">
        <v>23767</v>
      </c>
      <c r="AX545" s="1">
        <v>24108</v>
      </c>
      <c r="AY545" s="1"/>
      <c r="BA545" s="21">
        <f t="shared" si="519"/>
        <v>205989</v>
      </c>
      <c r="BB545" s="22">
        <f t="shared" si="520"/>
        <v>17165.75</v>
      </c>
      <c r="BD545" s="7">
        <f t="shared" si="521"/>
        <v>185789</v>
      </c>
      <c r="BE545" s="7">
        <f t="shared" si="522"/>
        <v>-20200</v>
      </c>
      <c r="BF545" s="8">
        <f t="shared" si="523"/>
        <v>-9.8063488827073275E-2</v>
      </c>
      <c r="BG545" s="7">
        <f t="shared" si="524"/>
        <v>15482.416666666666</v>
      </c>
      <c r="BI545" s="12">
        <f t="shared" si="525"/>
        <v>249585</v>
      </c>
      <c r="BJ545" s="12">
        <f t="shared" si="526"/>
        <v>63796</v>
      </c>
      <c r="BK545" s="13">
        <f t="shared" si="527"/>
        <v>0.34337877915269477</v>
      </c>
      <c r="BL545" s="24">
        <f t="shared" si="528"/>
        <v>23071.375</v>
      </c>
      <c r="BM545" s="24">
        <f t="shared" si="529"/>
        <v>16253.5</v>
      </c>
      <c r="BO545" s="17">
        <f t="shared" si="530"/>
        <v>264883</v>
      </c>
      <c r="BP545" s="17">
        <f t="shared" si="531"/>
        <v>15298</v>
      </c>
      <c r="BQ545" s="18">
        <f t="shared" si="532"/>
        <v>6.1293747621050887E-2</v>
      </c>
      <c r="BR545" s="25">
        <f t="shared" si="533"/>
        <v>22073.583333333332</v>
      </c>
    </row>
    <row r="546" spans="1:70">
      <c r="A546" t="s">
        <v>782</v>
      </c>
      <c r="B546">
        <v>420100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20995</v>
      </c>
      <c r="AQ546" s="1">
        <v>21391</v>
      </c>
      <c r="AR546" s="1">
        <v>21787</v>
      </c>
      <c r="AS546" s="1">
        <v>22183</v>
      </c>
      <c r="AT546" s="1">
        <v>22579</v>
      </c>
      <c r="AU546" s="1">
        <v>22975</v>
      </c>
      <c r="AV546" s="1">
        <v>24428</v>
      </c>
      <c r="AW546" s="1">
        <v>23767</v>
      </c>
      <c r="AX546" s="1">
        <v>0</v>
      </c>
      <c r="AY546" s="1"/>
      <c r="BA546" s="21">
        <f t="shared" si="519"/>
        <v>0</v>
      </c>
      <c r="BB546" s="22">
        <f t="shared" si="520"/>
        <v>0</v>
      </c>
      <c r="BD546" s="7">
        <f t="shared" si="521"/>
        <v>0</v>
      </c>
      <c r="BE546" s="7">
        <f t="shared" si="522"/>
        <v>0</v>
      </c>
      <c r="BF546" s="8" t="e">
        <f t="shared" si="523"/>
        <v>#DIV/0!</v>
      </c>
      <c r="BG546" s="7">
        <f t="shared" si="524"/>
        <v>0</v>
      </c>
      <c r="BI546" s="12">
        <f t="shared" si="525"/>
        <v>0</v>
      </c>
      <c r="BJ546" s="12">
        <f t="shared" si="526"/>
        <v>0</v>
      </c>
      <c r="BK546" s="13" t="e">
        <f t="shared" si="527"/>
        <v>#DIV/0!</v>
      </c>
      <c r="BL546" s="24">
        <f t="shared" si="528"/>
        <v>0</v>
      </c>
      <c r="BM546" s="24">
        <f t="shared" si="529"/>
        <v>0</v>
      </c>
      <c r="BO546" s="17">
        <f t="shared" si="530"/>
        <v>180105</v>
      </c>
      <c r="BP546" s="17">
        <f t="shared" si="531"/>
        <v>180105</v>
      </c>
      <c r="BQ546" s="18" t="e">
        <f t="shared" si="532"/>
        <v>#DIV/0!</v>
      </c>
      <c r="BR546" s="25">
        <f t="shared" si="533"/>
        <v>15008.75</v>
      </c>
    </row>
    <row r="547" spans="1:70">
      <c r="A547" t="s">
        <v>783</v>
      </c>
      <c r="B547">
        <v>420105</v>
      </c>
      <c r="C547" s="1">
        <v>14156</v>
      </c>
      <c r="D547" s="1">
        <v>11685</v>
      </c>
      <c r="E547" s="1">
        <v>15671</v>
      </c>
      <c r="F547" s="1">
        <v>10762</v>
      </c>
      <c r="G547" s="1">
        <v>12996</v>
      </c>
      <c r="H547" s="1">
        <v>10311</v>
      </c>
      <c r="I547" s="1">
        <v>13323</v>
      </c>
      <c r="J547" s="1">
        <v>9683</v>
      </c>
      <c r="K547" s="1">
        <v>8417</v>
      </c>
      <c r="L547" s="1">
        <v>9249</v>
      </c>
      <c r="M547" s="1">
        <v>12851</v>
      </c>
      <c r="N547" s="1">
        <v>13394</v>
      </c>
      <c r="O547" s="1">
        <v>12133</v>
      </c>
      <c r="P547" s="1">
        <v>20140</v>
      </c>
      <c r="Q547" s="1">
        <v>12743</v>
      </c>
      <c r="R547" s="1">
        <v>11061</v>
      </c>
      <c r="S547" s="1">
        <v>12980</v>
      </c>
      <c r="T547" s="1">
        <v>13934</v>
      </c>
      <c r="U547" s="1">
        <v>11711</v>
      </c>
      <c r="V547" s="1">
        <v>10682</v>
      </c>
      <c r="W547" s="1">
        <v>9922</v>
      </c>
      <c r="X547" s="1">
        <v>13828</v>
      </c>
      <c r="Y547" s="1">
        <v>16128</v>
      </c>
      <c r="Z547" s="1">
        <v>23257</v>
      </c>
      <c r="AA547" s="1">
        <v>23486</v>
      </c>
      <c r="AB547" s="1">
        <v>17977</v>
      </c>
      <c r="AC547" s="1">
        <v>18028</v>
      </c>
      <c r="AD547" s="1">
        <v>16596</v>
      </c>
      <c r="AE547" s="1">
        <v>20045</v>
      </c>
      <c r="AF547" s="1">
        <v>22049</v>
      </c>
      <c r="AG547" s="1">
        <v>26481</v>
      </c>
      <c r="AH547" s="1">
        <v>12189</v>
      </c>
      <c r="AI547" s="1">
        <v>14558</v>
      </c>
      <c r="AJ547" s="1">
        <v>33314</v>
      </c>
      <c r="AK547" s="1">
        <v>15912</v>
      </c>
      <c r="AL547" s="1">
        <v>15335</v>
      </c>
      <c r="AM547" s="1">
        <v>21319</v>
      </c>
      <c r="AN547" s="1">
        <v>21412</v>
      </c>
      <c r="AO547" s="1">
        <v>38256</v>
      </c>
      <c r="AP547" s="1">
        <v>20995</v>
      </c>
      <c r="AQ547" s="1">
        <v>21391</v>
      </c>
      <c r="AR547" s="1">
        <v>21787</v>
      </c>
      <c r="AS547" s="1">
        <v>22183</v>
      </c>
      <c r="AT547" s="1">
        <v>22579</v>
      </c>
      <c r="AU547" s="1">
        <v>22975</v>
      </c>
      <c r="AV547" s="1">
        <v>24428</v>
      </c>
      <c r="AW547" s="1">
        <v>23767</v>
      </c>
      <c r="AX547" s="1">
        <v>23856</v>
      </c>
      <c r="AY547" s="1"/>
      <c r="BA547" s="21">
        <f t="shared" si="519"/>
        <v>142498</v>
      </c>
      <c r="BB547" s="22">
        <f t="shared" si="520"/>
        <v>11874.833333333334</v>
      </c>
      <c r="BD547" s="7">
        <f t="shared" si="521"/>
        <v>168519</v>
      </c>
      <c r="BE547" s="7">
        <f t="shared" si="522"/>
        <v>26021</v>
      </c>
      <c r="BF547" s="8">
        <f t="shared" si="523"/>
        <v>0.18260607166416376</v>
      </c>
      <c r="BG547" s="7">
        <f t="shared" si="524"/>
        <v>14043.25</v>
      </c>
      <c r="BI547" s="12">
        <f t="shared" si="525"/>
        <v>235970</v>
      </c>
      <c r="BJ547" s="12">
        <f t="shared" si="526"/>
        <v>67451</v>
      </c>
      <c r="BK547" s="13">
        <f t="shared" si="527"/>
        <v>0.40025753772571648</v>
      </c>
      <c r="BL547" s="24">
        <f t="shared" si="528"/>
        <v>19606.375</v>
      </c>
      <c r="BM547" s="24">
        <f t="shared" si="529"/>
        <v>19779.75</v>
      </c>
      <c r="BO547" s="17">
        <f t="shared" si="530"/>
        <v>284948</v>
      </c>
      <c r="BP547" s="17">
        <f t="shared" si="531"/>
        <v>48978</v>
      </c>
      <c r="BQ547" s="18">
        <f t="shared" si="532"/>
        <v>0.20756028308683305</v>
      </c>
      <c r="BR547" s="25">
        <f t="shared" si="533"/>
        <v>23745.666666666668</v>
      </c>
    </row>
    <row r="548" spans="1:70">
      <c r="A548" t="s">
        <v>784</v>
      </c>
      <c r="B548">
        <v>420109</v>
      </c>
      <c r="C548" s="1">
        <v>2377</v>
      </c>
      <c r="D548" s="1">
        <v>2609</v>
      </c>
      <c r="E548" s="1">
        <v>2781</v>
      </c>
      <c r="F548" s="1">
        <v>2799</v>
      </c>
      <c r="G548" s="1">
        <v>2740</v>
      </c>
      <c r="H548" s="1">
        <v>2567</v>
      </c>
      <c r="I548" s="1">
        <v>2742</v>
      </c>
      <c r="J548" s="1">
        <v>1802</v>
      </c>
      <c r="K548" s="1">
        <v>2987</v>
      </c>
      <c r="L548" s="1">
        <v>2862</v>
      </c>
      <c r="M548" s="1">
        <v>2592</v>
      </c>
      <c r="N548" s="1">
        <v>2339</v>
      </c>
      <c r="O548" s="1">
        <v>2429</v>
      </c>
      <c r="P548" s="1">
        <v>2089</v>
      </c>
      <c r="Q548" s="1">
        <v>2191</v>
      </c>
      <c r="R548" s="1">
        <v>2645</v>
      </c>
      <c r="S548" s="1">
        <v>1991</v>
      </c>
      <c r="T548" s="1">
        <v>1869</v>
      </c>
      <c r="U548" s="1">
        <v>1808</v>
      </c>
      <c r="V548" s="1">
        <v>1553</v>
      </c>
      <c r="W548" s="1">
        <v>1675</v>
      </c>
      <c r="X548" s="1">
        <v>817</v>
      </c>
      <c r="Y548" s="1">
        <v>196</v>
      </c>
      <c r="Z548" s="1">
        <v>71</v>
      </c>
      <c r="AA548" s="1">
        <v>-74</v>
      </c>
      <c r="AB548" s="1">
        <v>-957</v>
      </c>
      <c r="AC548" s="1">
        <v>-152</v>
      </c>
      <c r="AD548" s="1">
        <v>-309</v>
      </c>
      <c r="AE548" s="1">
        <v>-313</v>
      </c>
      <c r="AF548" s="1">
        <v>-305</v>
      </c>
      <c r="AG548" s="1">
        <v>-302</v>
      </c>
      <c r="AH548" s="1">
        <v>-301</v>
      </c>
      <c r="AI548" s="1">
        <v>-123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20995</v>
      </c>
      <c r="AQ548" s="1">
        <v>21391</v>
      </c>
      <c r="AR548" s="1">
        <v>21787</v>
      </c>
      <c r="AS548" s="1">
        <v>22183</v>
      </c>
      <c r="AT548" s="1">
        <v>22579</v>
      </c>
      <c r="AU548" s="1">
        <v>22975</v>
      </c>
      <c r="AV548" s="1">
        <v>24428</v>
      </c>
      <c r="AW548" s="1">
        <v>23767</v>
      </c>
      <c r="AX548" s="1">
        <v>0</v>
      </c>
      <c r="AY548" s="1"/>
      <c r="BA548" s="21">
        <f t="shared" si="519"/>
        <v>31197</v>
      </c>
      <c r="BB548" s="22">
        <f t="shared" si="520"/>
        <v>2599.75</v>
      </c>
      <c r="BD548" s="7">
        <f t="shared" si="521"/>
        <v>19334</v>
      </c>
      <c r="BE548" s="7">
        <f t="shared" si="522"/>
        <v>-11863</v>
      </c>
      <c r="BF548" s="8">
        <f t="shared" si="523"/>
        <v>-0.38026092252460175</v>
      </c>
      <c r="BG548" s="7">
        <f t="shared" si="524"/>
        <v>1611.1666666666667</v>
      </c>
      <c r="BI548" s="12">
        <f t="shared" si="525"/>
        <v>-2836</v>
      </c>
      <c r="BJ548" s="12">
        <f t="shared" si="526"/>
        <v>-22170</v>
      </c>
      <c r="BK548" s="13">
        <f t="shared" si="527"/>
        <v>-1.1466845970828592</v>
      </c>
      <c r="BL548" s="24">
        <f t="shared" si="528"/>
        <v>-339.125</v>
      </c>
      <c r="BM548" s="24">
        <f t="shared" si="529"/>
        <v>-30.75</v>
      </c>
      <c r="BO548" s="17">
        <f t="shared" si="530"/>
        <v>180105</v>
      </c>
      <c r="BP548" s="17">
        <f t="shared" si="531"/>
        <v>182941</v>
      </c>
      <c r="BQ548" s="18">
        <f t="shared" si="532"/>
        <v>-64.506699576868826</v>
      </c>
      <c r="BR548" s="25">
        <f t="shared" si="533"/>
        <v>15008.75</v>
      </c>
    </row>
    <row r="549" spans="1:70">
      <c r="A549" t="s">
        <v>785</v>
      </c>
      <c r="B549">
        <v>420110</v>
      </c>
      <c r="C549" s="1">
        <v>215659</v>
      </c>
      <c r="D549" s="1">
        <v>267662</v>
      </c>
      <c r="E549" s="1">
        <v>228945</v>
      </c>
      <c r="F549" s="1">
        <v>302083</v>
      </c>
      <c r="G549" s="1">
        <v>238410</v>
      </c>
      <c r="H549" s="1">
        <v>268670</v>
      </c>
      <c r="I549" s="1">
        <v>307476</v>
      </c>
      <c r="J549" s="1">
        <v>312039</v>
      </c>
      <c r="K549" s="1">
        <v>326669</v>
      </c>
      <c r="L549" s="1">
        <v>360459</v>
      </c>
      <c r="M549" s="1">
        <v>295665</v>
      </c>
      <c r="N549" s="1">
        <v>357850</v>
      </c>
      <c r="O549" s="1">
        <v>316784</v>
      </c>
      <c r="P549" s="1">
        <v>284606</v>
      </c>
      <c r="Q549" s="1">
        <v>288535</v>
      </c>
      <c r="R549" s="1">
        <v>311726</v>
      </c>
      <c r="S549" s="1">
        <v>297953</v>
      </c>
      <c r="T549" s="1">
        <v>274950</v>
      </c>
      <c r="U549" s="1">
        <v>285565</v>
      </c>
      <c r="V549" s="1">
        <v>270081</v>
      </c>
      <c r="W549" s="1">
        <v>302579</v>
      </c>
      <c r="X549" s="1">
        <v>284390</v>
      </c>
      <c r="Y549" s="1">
        <v>267808</v>
      </c>
      <c r="Z549" s="1">
        <v>285389</v>
      </c>
      <c r="AA549" s="1">
        <v>271084</v>
      </c>
      <c r="AB549" s="1">
        <v>267915</v>
      </c>
      <c r="AC549" s="1">
        <v>241122</v>
      </c>
      <c r="AD549" s="1">
        <v>257490</v>
      </c>
      <c r="AE549" s="1">
        <v>249967</v>
      </c>
      <c r="AF549" s="1">
        <v>259429</v>
      </c>
      <c r="AG549" s="1">
        <v>260710</v>
      </c>
      <c r="AH549" s="1">
        <v>233284</v>
      </c>
      <c r="AI549" s="1">
        <v>264159</v>
      </c>
      <c r="AJ549" s="1">
        <v>315247</v>
      </c>
      <c r="AK549" s="1">
        <v>309981</v>
      </c>
      <c r="AL549" s="1">
        <v>309981</v>
      </c>
      <c r="AM549" s="1">
        <v>196418</v>
      </c>
      <c r="AN549" s="1">
        <v>245065</v>
      </c>
      <c r="AO549" s="1">
        <v>216986</v>
      </c>
      <c r="AP549" s="1">
        <v>20995</v>
      </c>
      <c r="AQ549" s="1">
        <v>21391</v>
      </c>
      <c r="AR549" s="1">
        <v>21787</v>
      </c>
      <c r="AS549" s="1">
        <v>22183</v>
      </c>
      <c r="AT549" s="1">
        <v>22579</v>
      </c>
      <c r="AU549" s="1">
        <v>22975</v>
      </c>
      <c r="AV549" s="1">
        <v>24428</v>
      </c>
      <c r="AW549" s="1">
        <v>23767</v>
      </c>
      <c r="AX549" s="1">
        <v>264504</v>
      </c>
      <c r="AY549" s="1"/>
      <c r="BA549" s="21">
        <f t="shared" si="519"/>
        <v>3481587</v>
      </c>
      <c r="BB549" s="22">
        <f t="shared" si="520"/>
        <v>290132.25</v>
      </c>
      <c r="BD549" s="7">
        <f t="shared" si="521"/>
        <v>3470366</v>
      </c>
      <c r="BE549" s="7">
        <f t="shared" si="522"/>
        <v>-11221</v>
      </c>
      <c r="BF549" s="8">
        <f t="shared" si="523"/>
        <v>-3.2229555085080408E-3</v>
      </c>
      <c r="BG549" s="7">
        <f t="shared" si="524"/>
        <v>289197.16666666669</v>
      </c>
      <c r="BI549" s="12">
        <f t="shared" si="525"/>
        <v>3240369</v>
      </c>
      <c r="BJ549" s="12">
        <f t="shared" si="526"/>
        <v>-229997</v>
      </c>
      <c r="BK549" s="13">
        <f t="shared" si="527"/>
        <v>-6.62745658527083E-2</v>
      </c>
      <c r="BL549" s="24">
        <f t="shared" si="528"/>
        <v>255125.125</v>
      </c>
      <c r="BM549" s="24">
        <f t="shared" si="529"/>
        <v>299842</v>
      </c>
      <c r="BO549" s="17">
        <f t="shared" si="530"/>
        <v>1103078</v>
      </c>
      <c r="BP549" s="17">
        <f t="shared" si="531"/>
        <v>-2137291</v>
      </c>
      <c r="BQ549" s="18">
        <f t="shared" si="532"/>
        <v>-0.65958259692028909</v>
      </c>
      <c r="BR549" s="25">
        <f t="shared" si="533"/>
        <v>91923.166666666672</v>
      </c>
    </row>
    <row r="550" spans="1:70">
      <c r="A550" t="s">
        <v>786</v>
      </c>
      <c r="B550">
        <v>420111</v>
      </c>
      <c r="C550" s="1">
        <v>4211</v>
      </c>
      <c r="D550" s="1">
        <v>5098</v>
      </c>
      <c r="E550" s="1">
        <v>5652</v>
      </c>
      <c r="F550" s="1">
        <v>5353</v>
      </c>
      <c r="G550" s="1">
        <v>5734</v>
      </c>
      <c r="H550" s="1">
        <v>5587</v>
      </c>
      <c r="I550" s="1">
        <v>6190</v>
      </c>
      <c r="J550" s="1">
        <v>4529</v>
      </c>
      <c r="K550" s="1">
        <v>6699</v>
      </c>
      <c r="L550" s="1">
        <v>6201</v>
      </c>
      <c r="M550" s="1">
        <v>5396</v>
      </c>
      <c r="N550" s="1">
        <v>6103</v>
      </c>
      <c r="O550" s="1">
        <v>6121</v>
      </c>
      <c r="P550" s="1">
        <v>5275</v>
      </c>
      <c r="Q550" s="1">
        <v>5581</v>
      </c>
      <c r="R550" s="1">
        <v>6333</v>
      </c>
      <c r="S550" s="1">
        <v>5848</v>
      </c>
      <c r="T550" s="1">
        <v>6192</v>
      </c>
      <c r="U550" s="1">
        <v>6456</v>
      </c>
      <c r="V550" s="1">
        <v>5878</v>
      </c>
      <c r="W550" s="1">
        <v>6677</v>
      </c>
      <c r="X550" s="1">
        <v>6644</v>
      </c>
      <c r="Y550" s="1">
        <v>5622</v>
      </c>
      <c r="Z550" s="1">
        <v>6401</v>
      </c>
      <c r="AA550" s="1">
        <v>5898</v>
      </c>
      <c r="AB550" s="1">
        <v>5910</v>
      </c>
      <c r="AC550" s="1">
        <v>5805</v>
      </c>
      <c r="AD550" s="1">
        <v>6442</v>
      </c>
      <c r="AE550" s="1">
        <v>6368</v>
      </c>
      <c r="AF550" s="1">
        <v>6605</v>
      </c>
      <c r="AG550" s="1">
        <v>7254</v>
      </c>
      <c r="AH550" s="1">
        <v>7035</v>
      </c>
      <c r="AI550" s="1">
        <v>7452</v>
      </c>
      <c r="AJ550" s="1">
        <v>6916</v>
      </c>
      <c r="AK550" s="1">
        <v>6800</v>
      </c>
      <c r="AL550" s="1">
        <v>6800</v>
      </c>
      <c r="AM550" s="1">
        <v>5181</v>
      </c>
      <c r="AN550" s="1">
        <v>6464</v>
      </c>
      <c r="AO550" s="1">
        <v>9812</v>
      </c>
      <c r="AP550" s="1">
        <v>20995</v>
      </c>
      <c r="AQ550" s="1">
        <v>21391</v>
      </c>
      <c r="AR550" s="1">
        <v>21787</v>
      </c>
      <c r="AS550" s="1">
        <v>22183</v>
      </c>
      <c r="AT550" s="1">
        <v>22579</v>
      </c>
      <c r="AU550" s="1">
        <v>22975</v>
      </c>
      <c r="AV550" s="1">
        <v>24428</v>
      </c>
      <c r="AW550" s="1">
        <v>23767</v>
      </c>
      <c r="AX550" s="1">
        <v>6977</v>
      </c>
      <c r="AY550" s="1"/>
      <c r="BA550" s="21">
        <f t="shared" si="519"/>
        <v>66753</v>
      </c>
      <c r="BB550" s="22">
        <f t="shared" si="520"/>
        <v>5562.75</v>
      </c>
      <c r="BD550" s="7">
        <f t="shared" si="521"/>
        <v>73028</v>
      </c>
      <c r="BE550" s="7">
        <f t="shared" si="522"/>
        <v>6275</v>
      </c>
      <c r="BF550" s="8">
        <f t="shared" si="523"/>
        <v>9.4003265770826738E-2</v>
      </c>
      <c r="BG550" s="7">
        <f t="shared" si="524"/>
        <v>6085.666666666667</v>
      </c>
      <c r="BI550" s="12">
        <f t="shared" si="525"/>
        <v>79285</v>
      </c>
      <c r="BJ550" s="12">
        <f t="shared" si="526"/>
        <v>6257</v>
      </c>
      <c r="BK550" s="13">
        <f t="shared" si="527"/>
        <v>8.5679465410527511E-2</v>
      </c>
      <c r="BL550" s="24">
        <f t="shared" si="528"/>
        <v>6414.625</v>
      </c>
      <c r="BM550" s="24">
        <f t="shared" si="529"/>
        <v>6992</v>
      </c>
      <c r="BO550" s="17">
        <f t="shared" si="530"/>
        <v>208539</v>
      </c>
      <c r="BP550" s="17">
        <f t="shared" si="531"/>
        <v>129254</v>
      </c>
      <c r="BQ550" s="18">
        <f t="shared" si="532"/>
        <v>1.6302453175253833</v>
      </c>
      <c r="BR550" s="25">
        <f t="shared" si="533"/>
        <v>17378.25</v>
      </c>
    </row>
    <row r="551" spans="1:70">
      <c r="A551" t="s">
        <v>787</v>
      </c>
      <c r="B551">
        <v>420115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20995</v>
      </c>
      <c r="AQ551" s="1">
        <v>21391</v>
      </c>
      <c r="AR551" s="1">
        <v>21787</v>
      </c>
      <c r="AS551" s="1">
        <v>22183</v>
      </c>
      <c r="AT551" s="1">
        <v>22579</v>
      </c>
      <c r="AU551" s="1">
        <v>22975</v>
      </c>
      <c r="AV551" s="1">
        <v>24428</v>
      </c>
      <c r="AW551" s="1">
        <v>23767</v>
      </c>
      <c r="AX551" s="1">
        <v>0</v>
      </c>
      <c r="AY551" s="1"/>
      <c r="BA551" s="21">
        <f t="shared" si="519"/>
        <v>0</v>
      </c>
      <c r="BB551" s="22">
        <f t="shared" si="520"/>
        <v>0</v>
      </c>
      <c r="BD551" s="7">
        <f t="shared" si="521"/>
        <v>0</v>
      </c>
      <c r="BE551" s="7">
        <f t="shared" si="522"/>
        <v>0</v>
      </c>
      <c r="BF551" s="8" t="e">
        <f t="shared" si="523"/>
        <v>#DIV/0!</v>
      </c>
      <c r="BG551" s="7">
        <f t="shared" si="524"/>
        <v>0</v>
      </c>
      <c r="BI551" s="12">
        <f t="shared" si="525"/>
        <v>0</v>
      </c>
      <c r="BJ551" s="12">
        <f t="shared" si="526"/>
        <v>0</v>
      </c>
      <c r="BK551" s="13" t="e">
        <f t="shared" si="527"/>
        <v>#DIV/0!</v>
      </c>
      <c r="BL551" s="24">
        <f t="shared" si="528"/>
        <v>0</v>
      </c>
      <c r="BM551" s="24">
        <f t="shared" si="529"/>
        <v>0</v>
      </c>
      <c r="BO551" s="17">
        <f t="shared" si="530"/>
        <v>180105</v>
      </c>
      <c r="BP551" s="17">
        <f t="shared" si="531"/>
        <v>180105</v>
      </c>
      <c r="BQ551" s="18" t="e">
        <f t="shared" si="532"/>
        <v>#DIV/0!</v>
      </c>
      <c r="BR551" s="25">
        <f t="shared" si="533"/>
        <v>15008.75</v>
      </c>
    </row>
    <row r="552" spans="1:70">
      <c r="A552" t="s">
        <v>788</v>
      </c>
      <c r="B552">
        <v>420115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20995</v>
      </c>
      <c r="AQ552" s="1">
        <v>21391</v>
      </c>
      <c r="AR552" s="1">
        <v>21787</v>
      </c>
      <c r="AS552" s="1">
        <v>22183</v>
      </c>
      <c r="AT552" s="1">
        <v>22579</v>
      </c>
      <c r="AU552" s="1">
        <v>22975</v>
      </c>
      <c r="AV552" s="1">
        <v>24428</v>
      </c>
      <c r="AW552" s="1">
        <v>23767</v>
      </c>
      <c r="AX552" s="1">
        <v>0</v>
      </c>
      <c r="AY552" s="1"/>
      <c r="BA552" s="21">
        <f t="shared" si="519"/>
        <v>0</v>
      </c>
      <c r="BB552" s="22">
        <f t="shared" si="520"/>
        <v>0</v>
      </c>
      <c r="BD552" s="7">
        <f t="shared" si="521"/>
        <v>0</v>
      </c>
      <c r="BE552" s="7">
        <f t="shared" si="522"/>
        <v>0</v>
      </c>
      <c r="BF552" s="8" t="e">
        <f t="shared" si="523"/>
        <v>#DIV/0!</v>
      </c>
      <c r="BG552" s="7">
        <f t="shared" si="524"/>
        <v>0</v>
      </c>
      <c r="BI552" s="12">
        <f t="shared" si="525"/>
        <v>0</v>
      </c>
      <c r="BJ552" s="12">
        <f t="shared" si="526"/>
        <v>0</v>
      </c>
      <c r="BK552" s="13" t="e">
        <f t="shared" si="527"/>
        <v>#DIV/0!</v>
      </c>
      <c r="BL552" s="24">
        <f t="shared" si="528"/>
        <v>0</v>
      </c>
      <c r="BM552" s="24">
        <f t="shared" si="529"/>
        <v>0</v>
      </c>
      <c r="BO552" s="17">
        <f t="shared" si="530"/>
        <v>180105</v>
      </c>
      <c r="BP552" s="17">
        <f t="shared" si="531"/>
        <v>180105</v>
      </c>
      <c r="BQ552" s="18" t="e">
        <f t="shared" si="532"/>
        <v>#DIV/0!</v>
      </c>
      <c r="BR552" s="25">
        <f t="shared" si="533"/>
        <v>15008.75</v>
      </c>
    </row>
    <row r="553" spans="1:70">
      <c r="A553" t="s">
        <v>789</v>
      </c>
      <c r="B553">
        <v>420120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20995</v>
      </c>
      <c r="AQ553" s="1">
        <v>21391</v>
      </c>
      <c r="AR553" s="1">
        <v>21787</v>
      </c>
      <c r="AS553" s="1">
        <v>22183</v>
      </c>
      <c r="AT553" s="1">
        <v>22579</v>
      </c>
      <c r="AU553" s="1">
        <v>22975</v>
      </c>
      <c r="AV553" s="1">
        <v>24428</v>
      </c>
      <c r="AW553" s="1">
        <v>23767</v>
      </c>
      <c r="AX553" s="1">
        <v>0</v>
      </c>
      <c r="AY553" s="1"/>
      <c r="BA553" s="21">
        <f t="shared" si="519"/>
        <v>0</v>
      </c>
      <c r="BB553" s="22">
        <f t="shared" si="520"/>
        <v>0</v>
      </c>
      <c r="BD553" s="7">
        <f t="shared" si="521"/>
        <v>0</v>
      </c>
      <c r="BE553" s="7">
        <f t="shared" si="522"/>
        <v>0</v>
      </c>
      <c r="BF553" s="8" t="e">
        <f t="shared" si="523"/>
        <v>#DIV/0!</v>
      </c>
      <c r="BG553" s="7">
        <f t="shared" si="524"/>
        <v>0</v>
      </c>
      <c r="BI553" s="12">
        <f t="shared" si="525"/>
        <v>0</v>
      </c>
      <c r="BJ553" s="12">
        <f t="shared" si="526"/>
        <v>0</v>
      </c>
      <c r="BK553" s="13" t="e">
        <f t="shared" si="527"/>
        <v>#DIV/0!</v>
      </c>
      <c r="BL553" s="24">
        <f t="shared" si="528"/>
        <v>0</v>
      </c>
      <c r="BM553" s="24">
        <f t="shared" si="529"/>
        <v>0</v>
      </c>
      <c r="BO553" s="17">
        <f t="shared" si="530"/>
        <v>180105</v>
      </c>
      <c r="BP553" s="17">
        <f t="shared" si="531"/>
        <v>180105</v>
      </c>
      <c r="BQ553" s="18" t="e">
        <f t="shared" si="532"/>
        <v>#DIV/0!</v>
      </c>
      <c r="BR553" s="25">
        <f t="shared" si="533"/>
        <v>15008.75</v>
      </c>
    </row>
    <row r="554" spans="1:70">
      <c r="A554" t="s">
        <v>790</v>
      </c>
      <c r="B554">
        <v>420125</v>
      </c>
      <c r="C554" s="1">
        <v>200</v>
      </c>
      <c r="D554" s="1">
        <v>200</v>
      </c>
      <c r="E554" s="1">
        <v>200</v>
      </c>
      <c r="F554" s="1">
        <v>200</v>
      </c>
      <c r="G554" s="1">
        <v>200</v>
      </c>
      <c r="H554" s="1">
        <v>200</v>
      </c>
      <c r="I554" s="1">
        <v>200</v>
      </c>
      <c r="J554" s="1">
        <v>200</v>
      </c>
      <c r="K554" s="1">
        <v>200</v>
      </c>
      <c r="L554" s="1">
        <v>200</v>
      </c>
      <c r="M554" s="1">
        <v>200</v>
      </c>
      <c r="N554" s="1">
        <v>200</v>
      </c>
      <c r="O554" s="1">
        <v>200</v>
      </c>
      <c r="P554" s="1">
        <v>200</v>
      </c>
      <c r="Q554" s="1">
        <v>200</v>
      </c>
      <c r="R554" s="1">
        <v>200</v>
      </c>
      <c r="S554" s="1">
        <v>200</v>
      </c>
      <c r="T554" s="1">
        <v>200</v>
      </c>
      <c r="U554" s="1">
        <v>200</v>
      </c>
      <c r="V554" s="1">
        <v>200</v>
      </c>
      <c r="W554" s="1">
        <v>200</v>
      </c>
      <c r="X554" s="1">
        <v>200</v>
      </c>
      <c r="Y554" s="1">
        <v>200</v>
      </c>
      <c r="Z554" s="1">
        <v>250</v>
      </c>
      <c r="AA554" s="1">
        <v>267</v>
      </c>
      <c r="AB554" s="1">
        <v>200</v>
      </c>
      <c r="AC554" s="1">
        <v>200</v>
      </c>
      <c r="AD554" s="1">
        <v>183</v>
      </c>
      <c r="AE554" s="1">
        <v>200</v>
      </c>
      <c r="AF554" s="1">
        <v>200</v>
      </c>
      <c r="AG554" s="1">
        <v>200</v>
      </c>
      <c r="AH554" s="1">
        <v>200</v>
      </c>
      <c r="AI554" s="1">
        <v>200</v>
      </c>
      <c r="AJ554" s="1">
        <v>203</v>
      </c>
      <c r="AK554" s="1">
        <v>200</v>
      </c>
      <c r="AL554" s="1">
        <v>200</v>
      </c>
      <c r="AM554" s="1">
        <v>148</v>
      </c>
      <c r="AN554" s="1">
        <v>185</v>
      </c>
      <c r="AO554" s="1">
        <v>164</v>
      </c>
      <c r="AP554" s="1">
        <v>20995</v>
      </c>
      <c r="AQ554" s="1">
        <v>21391</v>
      </c>
      <c r="AR554" s="1">
        <v>21787</v>
      </c>
      <c r="AS554" s="1">
        <v>22183</v>
      </c>
      <c r="AT554" s="1">
        <v>22579</v>
      </c>
      <c r="AU554" s="1">
        <v>22975</v>
      </c>
      <c r="AV554" s="1">
        <v>24428</v>
      </c>
      <c r="AW554" s="1">
        <v>23767</v>
      </c>
      <c r="AX554" s="1">
        <v>199</v>
      </c>
      <c r="AY554" s="1"/>
      <c r="BA554" s="21">
        <f t="shared" si="519"/>
        <v>2400</v>
      </c>
      <c r="BB554" s="22">
        <f t="shared" si="520"/>
        <v>200</v>
      </c>
      <c r="BD554" s="7">
        <f t="shared" si="521"/>
        <v>2450</v>
      </c>
      <c r="BE554" s="7">
        <f t="shared" si="522"/>
        <v>50</v>
      </c>
      <c r="BF554" s="8">
        <f t="shared" si="523"/>
        <v>2.0833333333333259E-2</v>
      </c>
      <c r="BG554" s="7">
        <f t="shared" si="524"/>
        <v>204.16666666666666</v>
      </c>
      <c r="BI554" s="12">
        <f t="shared" si="525"/>
        <v>2453</v>
      </c>
      <c r="BJ554" s="12">
        <f t="shared" si="526"/>
        <v>3</v>
      </c>
      <c r="BK554" s="13">
        <f t="shared" si="527"/>
        <v>1.224489795918382E-3</v>
      </c>
      <c r="BL554" s="24">
        <f t="shared" si="528"/>
        <v>206.25</v>
      </c>
      <c r="BM554" s="24">
        <f t="shared" si="529"/>
        <v>200.75</v>
      </c>
      <c r="BO554" s="17">
        <f t="shared" si="530"/>
        <v>180801</v>
      </c>
      <c r="BP554" s="17">
        <f t="shared" si="531"/>
        <v>178348</v>
      </c>
      <c r="BQ554" s="18">
        <f t="shared" si="532"/>
        <v>72.706074194863433</v>
      </c>
      <c r="BR554" s="25">
        <f t="shared" si="533"/>
        <v>15066.75</v>
      </c>
    </row>
    <row r="555" spans="1:70">
      <c r="A555" t="s">
        <v>791</v>
      </c>
      <c r="B555">
        <v>420130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20995</v>
      </c>
      <c r="AQ555" s="1">
        <v>21391</v>
      </c>
      <c r="AR555" s="1">
        <v>21787</v>
      </c>
      <c r="AS555" s="1">
        <v>22183</v>
      </c>
      <c r="AT555" s="1">
        <v>22579</v>
      </c>
      <c r="AU555" s="1">
        <v>22975</v>
      </c>
      <c r="AV555" s="1">
        <v>24428</v>
      </c>
      <c r="AW555" s="1">
        <v>23767</v>
      </c>
      <c r="AX555" s="1">
        <v>0</v>
      </c>
      <c r="AY555" s="1"/>
      <c r="BA555" s="21">
        <f t="shared" si="519"/>
        <v>0</v>
      </c>
      <c r="BB555" s="22">
        <f t="shared" si="520"/>
        <v>0</v>
      </c>
      <c r="BD555" s="7">
        <f t="shared" si="521"/>
        <v>0</v>
      </c>
      <c r="BE555" s="7">
        <f t="shared" si="522"/>
        <v>0</v>
      </c>
      <c r="BF555" s="8" t="e">
        <f t="shared" si="523"/>
        <v>#DIV/0!</v>
      </c>
      <c r="BG555" s="7">
        <f t="shared" si="524"/>
        <v>0</v>
      </c>
      <c r="BI555" s="12">
        <f t="shared" si="525"/>
        <v>0</v>
      </c>
      <c r="BJ555" s="12">
        <f t="shared" si="526"/>
        <v>0</v>
      </c>
      <c r="BK555" s="13" t="e">
        <f t="shared" si="527"/>
        <v>#DIV/0!</v>
      </c>
      <c r="BL555" s="24">
        <f t="shared" si="528"/>
        <v>0</v>
      </c>
      <c r="BM555" s="24">
        <f t="shared" si="529"/>
        <v>0</v>
      </c>
      <c r="BO555" s="17">
        <f t="shared" si="530"/>
        <v>180105</v>
      </c>
      <c r="BP555" s="17">
        <f t="shared" si="531"/>
        <v>180105</v>
      </c>
      <c r="BQ555" s="18" t="e">
        <f t="shared" si="532"/>
        <v>#DIV/0!</v>
      </c>
      <c r="BR555" s="25">
        <f t="shared" si="533"/>
        <v>15008.75</v>
      </c>
    </row>
    <row r="556" spans="1:70">
      <c r="A556" t="s">
        <v>792</v>
      </c>
      <c r="B556">
        <v>420135</v>
      </c>
      <c r="C556" s="1">
        <v>2102</v>
      </c>
      <c r="D556" s="1">
        <v>4919</v>
      </c>
      <c r="E556" s="1">
        <v>2565</v>
      </c>
      <c r="F556" s="1">
        <v>2536</v>
      </c>
      <c r="G556" s="1">
        <v>2377</v>
      </c>
      <c r="H556" s="1">
        <v>2599</v>
      </c>
      <c r="I556" s="1">
        <v>2575</v>
      </c>
      <c r="J556" s="1">
        <v>2556</v>
      </c>
      <c r="K556" s="1">
        <v>2518</v>
      </c>
      <c r="L556" s="1">
        <v>2432</v>
      </c>
      <c r="M556" s="1">
        <v>2330</v>
      </c>
      <c r="N556" s="1">
        <v>2202</v>
      </c>
      <c r="O556" s="1">
        <v>3766</v>
      </c>
      <c r="P556" s="1">
        <v>4385</v>
      </c>
      <c r="Q556" s="1">
        <v>3049</v>
      </c>
      <c r="R556" s="1">
        <v>1937</v>
      </c>
      <c r="S556" s="1">
        <v>2155</v>
      </c>
      <c r="T556" s="1">
        <v>2644</v>
      </c>
      <c r="U556" s="1">
        <v>2589</v>
      </c>
      <c r="V556" s="1">
        <v>2642</v>
      </c>
      <c r="W556" s="1">
        <v>2786</v>
      </c>
      <c r="X556" s="1">
        <v>2128</v>
      </c>
      <c r="Y556" s="1">
        <v>2605</v>
      </c>
      <c r="Z556" s="1">
        <v>2457</v>
      </c>
      <c r="AA556" s="1">
        <v>2593</v>
      </c>
      <c r="AB556" s="1">
        <v>5761</v>
      </c>
      <c r="AC556" s="1">
        <v>1924</v>
      </c>
      <c r="AD556" s="1">
        <v>2543</v>
      </c>
      <c r="AE556" s="1">
        <v>2855</v>
      </c>
      <c r="AF556" s="1">
        <v>2812</v>
      </c>
      <c r="AG556" s="1">
        <v>2715</v>
      </c>
      <c r="AH556" s="1">
        <v>3018</v>
      </c>
      <c r="AI556" s="1">
        <v>5036</v>
      </c>
      <c r="AJ556" s="1">
        <v>2848</v>
      </c>
      <c r="AK556" s="1">
        <v>2800</v>
      </c>
      <c r="AL556" s="1">
        <v>2800</v>
      </c>
      <c r="AM556" s="1">
        <v>2072</v>
      </c>
      <c r="AN556" s="1">
        <v>2586</v>
      </c>
      <c r="AO556" s="1">
        <v>2289</v>
      </c>
      <c r="AP556" s="1">
        <v>20995</v>
      </c>
      <c r="AQ556" s="1">
        <v>21391</v>
      </c>
      <c r="AR556" s="1">
        <v>21787</v>
      </c>
      <c r="AS556" s="1">
        <v>22183</v>
      </c>
      <c r="AT556" s="1">
        <v>22579</v>
      </c>
      <c r="AU556" s="1">
        <v>22975</v>
      </c>
      <c r="AV556" s="1">
        <v>24428</v>
      </c>
      <c r="AW556" s="1">
        <v>23767</v>
      </c>
      <c r="AX556" s="1">
        <v>2791</v>
      </c>
      <c r="AY556" s="1"/>
      <c r="BA556" s="21">
        <f t="shared" si="519"/>
        <v>31711</v>
      </c>
      <c r="BB556" s="22">
        <f t="shared" si="520"/>
        <v>2642.5833333333335</v>
      </c>
      <c r="BD556" s="7">
        <f t="shared" si="521"/>
        <v>33143</v>
      </c>
      <c r="BE556" s="7">
        <f t="shared" si="522"/>
        <v>1432</v>
      </c>
      <c r="BF556" s="8">
        <f t="shared" si="523"/>
        <v>4.5157831667244741E-2</v>
      </c>
      <c r="BG556" s="7">
        <f t="shared" si="524"/>
        <v>2761.9166666666665</v>
      </c>
      <c r="BI556" s="12">
        <f t="shared" si="525"/>
        <v>37705</v>
      </c>
      <c r="BJ556" s="12">
        <f t="shared" si="526"/>
        <v>4562</v>
      </c>
      <c r="BK556" s="13">
        <f t="shared" si="527"/>
        <v>0.13764595842259308</v>
      </c>
      <c r="BL556" s="24">
        <f t="shared" si="528"/>
        <v>3027.625</v>
      </c>
      <c r="BM556" s="24">
        <f t="shared" si="529"/>
        <v>3371</v>
      </c>
      <c r="BO556" s="17">
        <f t="shared" si="530"/>
        <v>189843</v>
      </c>
      <c r="BP556" s="17">
        <f t="shared" si="531"/>
        <v>152138</v>
      </c>
      <c r="BQ556" s="18">
        <f t="shared" si="532"/>
        <v>4.0349555761835303</v>
      </c>
      <c r="BR556" s="25">
        <f t="shared" si="533"/>
        <v>15820.25</v>
      </c>
    </row>
    <row r="557" spans="1:70">
      <c r="A557" t="s">
        <v>793</v>
      </c>
      <c r="B557">
        <v>420140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20995</v>
      </c>
      <c r="AQ557" s="1">
        <v>21391</v>
      </c>
      <c r="AR557" s="1">
        <v>21787</v>
      </c>
      <c r="AS557" s="1">
        <v>22183</v>
      </c>
      <c r="AT557" s="1">
        <v>22579</v>
      </c>
      <c r="AU557" s="1">
        <v>22975</v>
      </c>
      <c r="AV557" s="1">
        <v>24428</v>
      </c>
      <c r="AW557" s="1">
        <v>23767</v>
      </c>
      <c r="AX557" s="1">
        <v>0</v>
      </c>
      <c r="AY557" s="1"/>
      <c r="BA557" s="21">
        <f t="shared" si="519"/>
        <v>0</v>
      </c>
      <c r="BB557" s="22">
        <f t="shared" si="520"/>
        <v>0</v>
      </c>
      <c r="BD557" s="7">
        <f t="shared" si="521"/>
        <v>0</v>
      </c>
      <c r="BE557" s="7">
        <f t="shared" si="522"/>
        <v>0</v>
      </c>
      <c r="BF557" s="8" t="e">
        <f t="shared" si="523"/>
        <v>#DIV/0!</v>
      </c>
      <c r="BG557" s="7">
        <f t="shared" si="524"/>
        <v>0</v>
      </c>
      <c r="BI557" s="12">
        <f t="shared" si="525"/>
        <v>0</v>
      </c>
      <c r="BJ557" s="12">
        <f t="shared" si="526"/>
        <v>0</v>
      </c>
      <c r="BK557" s="13" t="e">
        <f t="shared" si="527"/>
        <v>#DIV/0!</v>
      </c>
      <c r="BL557" s="24">
        <f t="shared" si="528"/>
        <v>0</v>
      </c>
      <c r="BM557" s="24">
        <f t="shared" si="529"/>
        <v>0</v>
      </c>
      <c r="BO557" s="17">
        <f t="shared" si="530"/>
        <v>180105</v>
      </c>
      <c r="BP557" s="17">
        <f t="shared" si="531"/>
        <v>180105</v>
      </c>
      <c r="BQ557" s="18" t="e">
        <f t="shared" si="532"/>
        <v>#DIV/0!</v>
      </c>
      <c r="BR557" s="25">
        <f t="shared" si="533"/>
        <v>15008.75</v>
      </c>
    </row>
    <row r="558" spans="1:70">
      <c r="A558" t="s">
        <v>794</v>
      </c>
      <c r="B558">
        <v>420145</v>
      </c>
      <c r="C558" s="1">
        <v>6232</v>
      </c>
      <c r="D558" s="1">
        <v>5983</v>
      </c>
      <c r="E558" s="1">
        <v>5676</v>
      </c>
      <c r="F558" s="1">
        <v>5704</v>
      </c>
      <c r="G558" s="1">
        <v>5759</v>
      </c>
      <c r="H558" s="1">
        <v>5953</v>
      </c>
      <c r="I558" s="1">
        <v>5938</v>
      </c>
      <c r="J558" s="1">
        <v>6006</v>
      </c>
      <c r="K558" s="1">
        <v>5567</v>
      </c>
      <c r="L558" s="1">
        <v>5287</v>
      </c>
      <c r="M558" s="1">
        <v>3993</v>
      </c>
      <c r="N558" s="1">
        <v>4693</v>
      </c>
      <c r="O558" s="1">
        <v>4980</v>
      </c>
      <c r="P558" s="1">
        <v>4755</v>
      </c>
      <c r="Q558" s="1">
        <v>8797</v>
      </c>
      <c r="R558" s="1">
        <v>4311</v>
      </c>
      <c r="S558" s="1">
        <v>4286</v>
      </c>
      <c r="T558" s="1">
        <v>4463</v>
      </c>
      <c r="U558" s="1">
        <v>4957</v>
      </c>
      <c r="V558" s="1">
        <v>5004</v>
      </c>
      <c r="W558" s="1">
        <v>4955</v>
      </c>
      <c r="X558" s="1">
        <v>4689</v>
      </c>
      <c r="Y558" s="1">
        <v>5160</v>
      </c>
      <c r="Z558" s="1">
        <v>4694</v>
      </c>
      <c r="AA558" s="1">
        <v>8378</v>
      </c>
      <c r="AB558" s="1">
        <v>4443</v>
      </c>
      <c r="AC558" s="1">
        <v>4534</v>
      </c>
      <c r="AD558" s="1">
        <v>4893</v>
      </c>
      <c r="AE558" s="1">
        <v>3478</v>
      </c>
      <c r="AF558" s="1">
        <v>4070</v>
      </c>
      <c r="AG558" s="1">
        <v>3282</v>
      </c>
      <c r="AH558" s="1">
        <v>3896</v>
      </c>
      <c r="AI558" s="1">
        <v>3246</v>
      </c>
      <c r="AJ558" s="1">
        <v>1729</v>
      </c>
      <c r="AK558" s="1">
        <v>1700</v>
      </c>
      <c r="AL558" s="1">
        <v>1700</v>
      </c>
      <c r="AM558" s="1">
        <v>14581</v>
      </c>
      <c r="AN558" s="1">
        <v>18192</v>
      </c>
      <c r="AO558" s="1">
        <v>17743</v>
      </c>
      <c r="AP558" s="1">
        <v>20995</v>
      </c>
      <c r="AQ558" s="1">
        <v>21391</v>
      </c>
      <c r="AR558" s="1">
        <v>21787</v>
      </c>
      <c r="AS558" s="1">
        <v>22183</v>
      </c>
      <c r="AT558" s="1">
        <v>22579</v>
      </c>
      <c r="AU558" s="1">
        <v>22975</v>
      </c>
      <c r="AV558" s="1">
        <v>24428</v>
      </c>
      <c r="AW558" s="1">
        <v>23767</v>
      </c>
      <c r="AX558" s="1">
        <v>25616</v>
      </c>
      <c r="AY558" s="1"/>
      <c r="BA558" s="21">
        <f t="shared" si="519"/>
        <v>66791</v>
      </c>
      <c r="BB558" s="22">
        <f t="shared" si="520"/>
        <v>5565.916666666667</v>
      </c>
      <c r="BD558" s="7">
        <f t="shared" si="521"/>
        <v>61051</v>
      </c>
      <c r="BE558" s="7">
        <f t="shared" si="522"/>
        <v>-5740</v>
      </c>
      <c r="BF558" s="8">
        <f t="shared" si="523"/>
        <v>-8.5939722417690989E-2</v>
      </c>
      <c r="BG558" s="7">
        <f t="shared" si="524"/>
        <v>5087.583333333333</v>
      </c>
      <c r="BI558" s="12">
        <f t="shared" si="525"/>
        <v>45349</v>
      </c>
      <c r="BJ558" s="12">
        <f t="shared" si="526"/>
        <v>-15702</v>
      </c>
      <c r="BK558" s="13">
        <f t="shared" si="527"/>
        <v>-0.25719480434390918</v>
      </c>
      <c r="BL558" s="24">
        <f t="shared" si="528"/>
        <v>4621.75</v>
      </c>
      <c r="BM558" s="24">
        <f t="shared" si="529"/>
        <v>2093.75</v>
      </c>
      <c r="BO558" s="17">
        <f t="shared" si="530"/>
        <v>256237</v>
      </c>
      <c r="BP558" s="17">
        <f t="shared" si="531"/>
        <v>210888</v>
      </c>
      <c r="BQ558" s="18">
        <f t="shared" si="532"/>
        <v>4.6503340757238307</v>
      </c>
      <c r="BR558" s="25">
        <f t="shared" si="533"/>
        <v>21353.083333333332</v>
      </c>
    </row>
    <row r="559" spans="1:70">
      <c r="A559" t="s">
        <v>795</v>
      </c>
      <c r="B559">
        <v>420150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20995</v>
      </c>
      <c r="AQ559" s="1">
        <v>21391</v>
      </c>
      <c r="AR559" s="1">
        <v>21787</v>
      </c>
      <c r="AS559" s="1">
        <v>22183</v>
      </c>
      <c r="AT559" s="1">
        <v>22579</v>
      </c>
      <c r="AU559" s="1">
        <v>22975</v>
      </c>
      <c r="AV559" s="1">
        <v>24428</v>
      </c>
      <c r="AW559" s="1">
        <v>23767</v>
      </c>
      <c r="AX559" s="1">
        <v>0</v>
      </c>
      <c r="AY559" s="1"/>
      <c r="BA559" s="21">
        <f t="shared" si="519"/>
        <v>0</v>
      </c>
      <c r="BB559" s="22">
        <f t="shared" si="520"/>
        <v>0</v>
      </c>
      <c r="BD559" s="7">
        <f t="shared" si="521"/>
        <v>0</v>
      </c>
      <c r="BE559" s="7">
        <f t="shared" si="522"/>
        <v>0</v>
      </c>
      <c r="BF559" s="8" t="e">
        <f t="shared" si="523"/>
        <v>#DIV/0!</v>
      </c>
      <c r="BG559" s="7">
        <f t="shared" si="524"/>
        <v>0</v>
      </c>
      <c r="BI559" s="12">
        <f t="shared" si="525"/>
        <v>0</v>
      </c>
      <c r="BJ559" s="12">
        <f t="shared" si="526"/>
        <v>0</v>
      </c>
      <c r="BK559" s="13" t="e">
        <f t="shared" si="527"/>
        <v>#DIV/0!</v>
      </c>
      <c r="BL559" s="24">
        <f t="shared" si="528"/>
        <v>0</v>
      </c>
      <c r="BM559" s="24">
        <f t="shared" si="529"/>
        <v>0</v>
      </c>
      <c r="BO559" s="17">
        <f t="shared" si="530"/>
        <v>180105</v>
      </c>
      <c r="BP559" s="17">
        <f t="shared" si="531"/>
        <v>180105</v>
      </c>
      <c r="BQ559" s="18" t="e">
        <f t="shared" si="532"/>
        <v>#DIV/0!</v>
      </c>
      <c r="BR559" s="25">
        <f t="shared" si="533"/>
        <v>15008.75</v>
      </c>
    </row>
    <row r="560" spans="1:70">
      <c r="A560" t="s">
        <v>796</v>
      </c>
      <c r="B560">
        <v>420155</v>
      </c>
      <c r="C560" s="1">
        <v>23885</v>
      </c>
      <c r="D560" s="1">
        <v>29769</v>
      </c>
      <c r="E560" s="1">
        <v>23885</v>
      </c>
      <c r="F560" s="1">
        <v>23885</v>
      </c>
      <c r="G560" s="1">
        <v>23885</v>
      </c>
      <c r="H560" s="1">
        <v>23885</v>
      </c>
      <c r="I560" s="1">
        <v>4971</v>
      </c>
      <c r="J560" s="1">
        <v>10631</v>
      </c>
      <c r="K560" s="1">
        <v>17661</v>
      </c>
      <c r="L560" s="1">
        <v>25629</v>
      </c>
      <c r="M560" s="1">
        <v>25629</v>
      </c>
      <c r="N560" s="1">
        <v>26679</v>
      </c>
      <c r="O560" s="1">
        <v>26679</v>
      </c>
      <c r="P560" s="1">
        <v>26679</v>
      </c>
      <c r="Q560" s="1">
        <v>27689</v>
      </c>
      <c r="R560" s="1">
        <v>26679</v>
      </c>
      <c r="S560" s="1">
        <v>25669</v>
      </c>
      <c r="T560" s="1">
        <v>26679</v>
      </c>
      <c r="U560" s="1">
        <v>25188</v>
      </c>
      <c r="V560" s="1">
        <v>45138</v>
      </c>
      <c r="W560" s="1">
        <v>37426</v>
      </c>
      <c r="X560" s="1">
        <v>29458</v>
      </c>
      <c r="Y560" s="1">
        <v>28824</v>
      </c>
      <c r="Z560" s="1">
        <v>29458</v>
      </c>
      <c r="AA560" s="1">
        <v>29458</v>
      </c>
      <c r="AB560" s="1">
        <v>29458</v>
      </c>
      <c r="AC560" s="1">
        <v>29458</v>
      </c>
      <c r="AD560" s="1">
        <v>29524</v>
      </c>
      <c r="AE560" s="1">
        <v>29458</v>
      </c>
      <c r="AF560" s="1">
        <v>37742</v>
      </c>
      <c r="AG560" s="1">
        <v>37742</v>
      </c>
      <c r="AH560" s="1">
        <v>8376</v>
      </c>
      <c r="AI560" s="1">
        <v>57680</v>
      </c>
      <c r="AJ560" s="1">
        <v>30510</v>
      </c>
      <c r="AK560" s="1">
        <v>30000</v>
      </c>
      <c r="AL560" s="1">
        <v>30000</v>
      </c>
      <c r="AM560" s="1">
        <v>22205</v>
      </c>
      <c r="AN560" s="1">
        <v>27704</v>
      </c>
      <c r="AO560" s="1">
        <v>24530</v>
      </c>
      <c r="AP560" s="1">
        <v>20995</v>
      </c>
      <c r="AQ560" s="1">
        <v>21391</v>
      </c>
      <c r="AR560" s="1">
        <v>21787</v>
      </c>
      <c r="AS560" s="1">
        <v>22183</v>
      </c>
      <c r="AT560" s="1">
        <v>22579</v>
      </c>
      <c r="AU560" s="1">
        <v>22975</v>
      </c>
      <c r="AV560" s="1">
        <v>24428</v>
      </c>
      <c r="AW560" s="1">
        <v>23767</v>
      </c>
      <c r="AX560" s="1">
        <v>29902</v>
      </c>
      <c r="AY560" s="1"/>
      <c r="BA560" s="21">
        <f t="shared" si="519"/>
        <v>260394</v>
      </c>
      <c r="BB560" s="22">
        <f t="shared" si="520"/>
        <v>21699.5</v>
      </c>
      <c r="BD560" s="7">
        <f t="shared" si="521"/>
        <v>355566</v>
      </c>
      <c r="BE560" s="7">
        <f t="shared" si="522"/>
        <v>95172</v>
      </c>
      <c r="BF560" s="8">
        <f t="shared" si="523"/>
        <v>0.36549229244913484</v>
      </c>
      <c r="BG560" s="7">
        <f t="shared" si="524"/>
        <v>29630.5</v>
      </c>
      <c r="BI560" s="12">
        <f t="shared" si="525"/>
        <v>379406</v>
      </c>
      <c r="BJ560" s="12">
        <f t="shared" si="526"/>
        <v>23840</v>
      </c>
      <c r="BK560" s="13">
        <f t="shared" si="527"/>
        <v>6.7048030464105013E-2</v>
      </c>
      <c r="BL560" s="24">
        <f t="shared" si="528"/>
        <v>28902</v>
      </c>
      <c r="BM560" s="24">
        <f t="shared" si="529"/>
        <v>37047.5</v>
      </c>
      <c r="BO560" s="17">
        <f t="shared" si="530"/>
        <v>284446</v>
      </c>
      <c r="BP560" s="17">
        <f t="shared" si="531"/>
        <v>-94960</v>
      </c>
      <c r="BQ560" s="18">
        <f t="shared" si="532"/>
        <v>-0.25028597333726932</v>
      </c>
      <c r="BR560" s="25">
        <f t="shared" si="533"/>
        <v>23703.833333333332</v>
      </c>
    </row>
    <row r="561" spans="1:70">
      <c r="A561" t="s">
        <v>797</v>
      </c>
      <c r="B561">
        <v>420160</v>
      </c>
      <c r="C561" s="1">
        <v>0</v>
      </c>
      <c r="D561" s="1">
        <v>0</v>
      </c>
      <c r="E561" s="1">
        <v>0</v>
      </c>
      <c r="F561" s="1">
        <v>638</v>
      </c>
      <c r="G561" s="1">
        <v>0</v>
      </c>
      <c r="H561" s="1">
        <v>0</v>
      </c>
      <c r="I561" s="1">
        <v>133</v>
      </c>
      <c r="J561" s="1">
        <v>75</v>
      </c>
      <c r="K561" s="1">
        <v>437</v>
      </c>
      <c r="L561" s="1">
        <v>387</v>
      </c>
      <c r="M561" s="1">
        <v>4943</v>
      </c>
      <c r="N561" s="1">
        <v>751</v>
      </c>
      <c r="O561" s="1">
        <v>0</v>
      </c>
      <c r="P561" s="1">
        <v>0</v>
      </c>
      <c r="Q561" s="1">
        <v>883</v>
      </c>
      <c r="R561" s="1">
        <v>66</v>
      </c>
      <c r="S561" s="1">
        <v>3058</v>
      </c>
      <c r="T561" s="1">
        <v>3019</v>
      </c>
      <c r="U561" s="1">
        <v>3201</v>
      </c>
      <c r="V561" s="1">
        <v>2974</v>
      </c>
      <c r="W561" s="1">
        <v>3025</v>
      </c>
      <c r="X561" s="1">
        <v>3189</v>
      </c>
      <c r="Y561" s="1">
        <v>4792</v>
      </c>
      <c r="Z561" s="1">
        <v>2982</v>
      </c>
      <c r="AA561" s="1">
        <v>2974</v>
      </c>
      <c r="AB561" s="1">
        <v>2974</v>
      </c>
      <c r="AC561" s="1">
        <v>2974</v>
      </c>
      <c r="AD561" s="1">
        <v>3029</v>
      </c>
      <c r="AE561" s="1">
        <v>3870</v>
      </c>
      <c r="AF561" s="1">
        <v>271</v>
      </c>
      <c r="AG561" s="1">
        <v>5084</v>
      </c>
      <c r="AH561" s="1">
        <v>4069</v>
      </c>
      <c r="AI561" s="1">
        <v>4126</v>
      </c>
      <c r="AJ561" s="1">
        <v>4138</v>
      </c>
      <c r="AK561" s="1">
        <v>4069</v>
      </c>
      <c r="AL561" s="1">
        <v>4069</v>
      </c>
      <c r="AM561" s="1">
        <v>3012</v>
      </c>
      <c r="AN561" s="1">
        <v>3758</v>
      </c>
      <c r="AO561" s="1">
        <v>3327</v>
      </c>
      <c r="AP561" s="1">
        <v>20995</v>
      </c>
      <c r="AQ561" s="1">
        <v>21391</v>
      </c>
      <c r="AR561" s="1">
        <v>21787</v>
      </c>
      <c r="AS561" s="1">
        <v>22183</v>
      </c>
      <c r="AT561" s="1">
        <v>22579</v>
      </c>
      <c r="AU561" s="1">
        <v>22975</v>
      </c>
      <c r="AV561" s="1">
        <v>24428</v>
      </c>
      <c r="AW561" s="1">
        <v>23767</v>
      </c>
      <c r="AX561" s="1">
        <v>4056</v>
      </c>
      <c r="AY561" s="1"/>
      <c r="BA561" s="21">
        <f t="shared" si="519"/>
        <v>7364</v>
      </c>
      <c r="BB561" s="22">
        <f t="shared" si="520"/>
        <v>613.66666666666663</v>
      </c>
      <c r="BD561" s="7">
        <f t="shared" si="521"/>
        <v>27189</v>
      </c>
      <c r="BE561" s="7">
        <f t="shared" si="522"/>
        <v>19825</v>
      </c>
      <c r="BF561" s="8">
        <f t="shared" si="523"/>
        <v>2.6921510048886477</v>
      </c>
      <c r="BG561" s="7">
        <f t="shared" si="524"/>
        <v>2265.75</v>
      </c>
      <c r="BI561" s="12">
        <f t="shared" si="525"/>
        <v>41647</v>
      </c>
      <c r="BJ561" s="12">
        <f t="shared" si="526"/>
        <v>14458</v>
      </c>
      <c r="BK561" s="13">
        <f t="shared" si="527"/>
        <v>0.53175916731030926</v>
      </c>
      <c r="BL561" s="24">
        <f t="shared" si="528"/>
        <v>3155.625</v>
      </c>
      <c r="BM561" s="24">
        <f t="shared" si="529"/>
        <v>4100.5</v>
      </c>
      <c r="BO561" s="17">
        <f t="shared" si="530"/>
        <v>194258</v>
      </c>
      <c r="BP561" s="17">
        <f t="shared" si="531"/>
        <v>152611</v>
      </c>
      <c r="BQ561" s="18">
        <f t="shared" si="532"/>
        <v>3.6643935937762624</v>
      </c>
      <c r="BR561" s="25">
        <f t="shared" si="533"/>
        <v>16188.166666666666</v>
      </c>
    </row>
    <row r="562" spans="1:70">
      <c r="A562" t="s">
        <v>798</v>
      </c>
      <c r="B562">
        <v>420165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55</v>
      </c>
      <c r="O562" s="1">
        <v>0</v>
      </c>
      <c r="P562" s="1">
        <v>0</v>
      </c>
      <c r="Q562" s="1">
        <v>0</v>
      </c>
      <c r="R562" s="1">
        <v>775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840</v>
      </c>
      <c r="AB562" s="1">
        <v>-420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20995</v>
      </c>
      <c r="AQ562" s="1">
        <v>21391</v>
      </c>
      <c r="AR562" s="1">
        <v>21787</v>
      </c>
      <c r="AS562" s="1">
        <v>22183</v>
      </c>
      <c r="AT562" s="1">
        <v>22579</v>
      </c>
      <c r="AU562" s="1">
        <v>22975</v>
      </c>
      <c r="AV562" s="1">
        <v>24428</v>
      </c>
      <c r="AW562" s="1">
        <v>23767</v>
      </c>
      <c r="AX562" s="1">
        <v>0</v>
      </c>
      <c r="AY562" s="1"/>
      <c r="BA562" s="21">
        <f t="shared" si="519"/>
        <v>55</v>
      </c>
      <c r="BB562" s="22">
        <f t="shared" si="520"/>
        <v>4.583333333333333</v>
      </c>
      <c r="BD562" s="7">
        <f t="shared" si="521"/>
        <v>775</v>
      </c>
      <c r="BE562" s="7">
        <f t="shared" si="522"/>
        <v>720</v>
      </c>
      <c r="BF562" s="8">
        <f t="shared" si="523"/>
        <v>13.090909090909092</v>
      </c>
      <c r="BG562" s="7">
        <f t="shared" si="524"/>
        <v>64.583333333333329</v>
      </c>
      <c r="BI562" s="12">
        <f t="shared" si="525"/>
        <v>420</v>
      </c>
      <c r="BJ562" s="12">
        <f t="shared" si="526"/>
        <v>-355</v>
      </c>
      <c r="BK562" s="13">
        <f t="shared" si="527"/>
        <v>-0.45806451612903221</v>
      </c>
      <c r="BL562" s="24">
        <f t="shared" si="528"/>
        <v>52.5</v>
      </c>
      <c r="BM562" s="24">
        <f t="shared" si="529"/>
        <v>0</v>
      </c>
      <c r="BO562" s="17">
        <f t="shared" si="530"/>
        <v>180105</v>
      </c>
      <c r="BP562" s="17">
        <f t="shared" si="531"/>
        <v>179685</v>
      </c>
      <c r="BQ562" s="18">
        <f t="shared" si="532"/>
        <v>427.82142857142856</v>
      </c>
      <c r="BR562" s="25">
        <f t="shared" si="533"/>
        <v>15008.75</v>
      </c>
    </row>
    <row r="563" spans="1:70">
      <c r="A563" t="s">
        <v>799</v>
      </c>
      <c r="B563">
        <v>420170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68</v>
      </c>
      <c r="V563" s="1">
        <v>0</v>
      </c>
      <c r="W563" s="1">
        <v>0</v>
      </c>
      <c r="X563" s="1">
        <v>30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40</v>
      </c>
      <c r="AI563" s="1">
        <v>26</v>
      </c>
      <c r="AJ563" s="1">
        <v>763</v>
      </c>
      <c r="AK563" s="1">
        <v>750</v>
      </c>
      <c r="AL563" s="1">
        <v>750</v>
      </c>
      <c r="AM563" s="1">
        <v>555</v>
      </c>
      <c r="AN563" s="1">
        <v>970</v>
      </c>
      <c r="AO563" s="1">
        <v>859</v>
      </c>
      <c r="AP563" s="1">
        <v>20995</v>
      </c>
      <c r="AQ563" s="1">
        <v>21391</v>
      </c>
      <c r="AR563" s="1">
        <v>21787</v>
      </c>
      <c r="AS563" s="1">
        <v>22183</v>
      </c>
      <c r="AT563" s="1">
        <v>22579</v>
      </c>
      <c r="AU563" s="1">
        <v>22975</v>
      </c>
      <c r="AV563" s="1">
        <v>24428</v>
      </c>
      <c r="AW563" s="1">
        <v>23767</v>
      </c>
      <c r="AX563" s="1">
        <v>1246</v>
      </c>
      <c r="AY563" s="1"/>
      <c r="BA563" s="21">
        <f t="shared" si="519"/>
        <v>0</v>
      </c>
      <c r="BB563" s="22">
        <f t="shared" si="520"/>
        <v>0</v>
      </c>
      <c r="BD563" s="7">
        <f t="shared" si="521"/>
        <v>98</v>
      </c>
      <c r="BE563" s="7">
        <f t="shared" si="522"/>
        <v>98</v>
      </c>
      <c r="BF563" s="8" t="e">
        <f t="shared" si="523"/>
        <v>#DIV/0!</v>
      </c>
      <c r="BG563" s="7">
        <f t="shared" si="524"/>
        <v>8.1666666666666661</v>
      </c>
      <c r="BI563" s="12">
        <f t="shared" si="525"/>
        <v>2329</v>
      </c>
      <c r="BJ563" s="12">
        <f t="shared" si="526"/>
        <v>2231</v>
      </c>
      <c r="BK563" s="13">
        <f t="shared" si="527"/>
        <v>22.76530612244898</v>
      </c>
      <c r="BL563" s="24">
        <f t="shared" si="528"/>
        <v>5</v>
      </c>
      <c r="BM563" s="24">
        <f t="shared" si="529"/>
        <v>572.25</v>
      </c>
      <c r="BO563" s="17">
        <f t="shared" si="530"/>
        <v>183735</v>
      </c>
      <c r="BP563" s="17">
        <f t="shared" si="531"/>
        <v>181406</v>
      </c>
      <c r="BQ563" s="18">
        <f t="shared" si="532"/>
        <v>77.890081580077293</v>
      </c>
      <c r="BR563" s="25">
        <f t="shared" si="533"/>
        <v>15311.25</v>
      </c>
    </row>
    <row r="564" spans="1:70">
      <c r="A564" t="s">
        <v>800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20995</v>
      </c>
      <c r="AQ564" s="1">
        <v>21391</v>
      </c>
      <c r="AR564" s="1">
        <v>21787</v>
      </c>
      <c r="AS564" s="1">
        <v>22183</v>
      </c>
      <c r="AT564" s="1">
        <v>22579</v>
      </c>
      <c r="AU564" s="1">
        <v>22975</v>
      </c>
      <c r="AV564" s="1">
        <v>24428</v>
      </c>
      <c r="AW564" s="1">
        <v>23767</v>
      </c>
      <c r="AX564" s="1">
        <v>0</v>
      </c>
      <c r="AY564" s="1"/>
      <c r="BA564" s="21">
        <f t="shared" si="519"/>
        <v>0</v>
      </c>
      <c r="BB564" s="22">
        <f t="shared" si="520"/>
        <v>0</v>
      </c>
      <c r="BD564" s="7">
        <f t="shared" si="521"/>
        <v>0</v>
      </c>
      <c r="BE564" s="7">
        <f t="shared" si="522"/>
        <v>0</v>
      </c>
      <c r="BF564" s="8" t="e">
        <f t="shared" si="523"/>
        <v>#DIV/0!</v>
      </c>
      <c r="BG564" s="7">
        <f t="shared" si="524"/>
        <v>0</v>
      </c>
      <c r="BI564" s="12">
        <f t="shared" si="525"/>
        <v>0</v>
      </c>
      <c r="BJ564" s="12">
        <f t="shared" si="526"/>
        <v>0</v>
      </c>
      <c r="BK564" s="13" t="e">
        <f t="shared" si="527"/>
        <v>#DIV/0!</v>
      </c>
      <c r="BL564" s="24">
        <f t="shared" si="528"/>
        <v>0</v>
      </c>
      <c r="BM564" s="24">
        <f t="shared" si="529"/>
        <v>0</v>
      </c>
      <c r="BO564" s="17">
        <f t="shared" si="530"/>
        <v>180105</v>
      </c>
      <c r="BP564" s="17">
        <f t="shared" si="531"/>
        <v>180105</v>
      </c>
      <c r="BQ564" s="18" t="e">
        <f t="shared" si="532"/>
        <v>#DIV/0!</v>
      </c>
      <c r="BR564" s="25">
        <f t="shared" si="533"/>
        <v>15008.75</v>
      </c>
    </row>
    <row r="565" spans="1:70">
      <c r="A565" t="s">
        <v>801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20995</v>
      </c>
      <c r="AQ565" s="1">
        <v>21391</v>
      </c>
      <c r="AR565" s="1">
        <v>21787</v>
      </c>
      <c r="AS565" s="1">
        <v>22183</v>
      </c>
      <c r="AT565" s="1">
        <v>22579</v>
      </c>
      <c r="AU565" s="1">
        <v>22975</v>
      </c>
      <c r="AV565" s="1">
        <v>24428</v>
      </c>
      <c r="AW565" s="1">
        <v>23767</v>
      </c>
      <c r="AX565" s="1">
        <v>0</v>
      </c>
      <c r="AY565" s="1"/>
      <c r="BA565" s="21">
        <f t="shared" si="519"/>
        <v>0</v>
      </c>
      <c r="BB565" s="22">
        <f t="shared" si="520"/>
        <v>0</v>
      </c>
      <c r="BD565" s="7">
        <f t="shared" si="521"/>
        <v>0</v>
      </c>
      <c r="BE565" s="7">
        <f t="shared" si="522"/>
        <v>0</v>
      </c>
      <c r="BF565" s="8" t="e">
        <f t="shared" si="523"/>
        <v>#DIV/0!</v>
      </c>
      <c r="BG565" s="7">
        <f t="shared" si="524"/>
        <v>0</v>
      </c>
      <c r="BI565" s="12">
        <f t="shared" si="525"/>
        <v>0</v>
      </c>
      <c r="BJ565" s="12">
        <f t="shared" si="526"/>
        <v>0</v>
      </c>
      <c r="BK565" s="13" t="e">
        <f t="shared" si="527"/>
        <v>#DIV/0!</v>
      </c>
      <c r="BL565" s="24">
        <f t="shared" si="528"/>
        <v>0</v>
      </c>
      <c r="BM565" s="24">
        <f t="shared" si="529"/>
        <v>0</v>
      </c>
      <c r="BO565" s="17">
        <f t="shared" si="530"/>
        <v>180105</v>
      </c>
      <c r="BP565" s="17">
        <f t="shared" si="531"/>
        <v>180105</v>
      </c>
      <c r="BQ565" s="18" t="e">
        <f t="shared" si="532"/>
        <v>#DIV/0!</v>
      </c>
      <c r="BR565" s="25">
        <f t="shared" si="533"/>
        <v>15008.75</v>
      </c>
    </row>
    <row r="566" spans="1:70">
      <c r="A566" t="s">
        <v>802</v>
      </c>
      <c r="B566" t="s">
        <v>803</v>
      </c>
      <c r="C566" s="1">
        <v>33864</v>
      </c>
      <c r="D566" s="1">
        <v>33864</v>
      </c>
      <c r="E566" s="1">
        <v>32985</v>
      </c>
      <c r="F566" s="1">
        <v>32985</v>
      </c>
      <c r="G566" s="1">
        <v>32866</v>
      </c>
      <c r="H566" s="1">
        <v>32866</v>
      </c>
      <c r="I566" s="1">
        <v>31431</v>
      </c>
      <c r="J566" s="1">
        <v>29851</v>
      </c>
      <c r="K566" s="1">
        <v>25350</v>
      </c>
      <c r="L566" s="1">
        <v>23571</v>
      </c>
      <c r="M566" s="1">
        <v>20686</v>
      </c>
      <c r="N566" s="1">
        <v>21888</v>
      </c>
      <c r="O566" s="1">
        <v>21499</v>
      </c>
      <c r="P566" s="1">
        <v>21192</v>
      </c>
      <c r="Q566" s="1">
        <v>21103</v>
      </c>
      <c r="R566" s="1">
        <v>22948</v>
      </c>
      <c r="S566" s="1">
        <v>19109</v>
      </c>
      <c r="T566" s="1">
        <v>18216</v>
      </c>
      <c r="U566" s="1">
        <v>17588</v>
      </c>
      <c r="V566" s="1">
        <v>19168</v>
      </c>
      <c r="W566" s="1">
        <v>18987</v>
      </c>
      <c r="X566" s="1">
        <v>17848</v>
      </c>
      <c r="Y566" s="1">
        <v>17848</v>
      </c>
      <c r="Z566" s="1">
        <v>17846</v>
      </c>
      <c r="AA566" s="1">
        <v>18863</v>
      </c>
      <c r="AB566" s="1">
        <v>18727</v>
      </c>
      <c r="AC566" s="1">
        <v>18146</v>
      </c>
      <c r="AD566" s="1">
        <v>17819</v>
      </c>
      <c r="AE566" s="1">
        <v>17369</v>
      </c>
      <c r="AF566" s="1">
        <v>15265</v>
      </c>
      <c r="AG566" s="1">
        <v>15324</v>
      </c>
      <c r="AH566" s="1">
        <v>15732</v>
      </c>
      <c r="AI566" s="1">
        <v>15465</v>
      </c>
      <c r="AJ566" s="1">
        <v>15728</v>
      </c>
      <c r="AK566" s="1">
        <v>15465</v>
      </c>
      <c r="AL566" s="1">
        <v>15006</v>
      </c>
      <c r="AM566" s="1">
        <v>11107</v>
      </c>
      <c r="AN566" s="1">
        <v>23825</v>
      </c>
      <c r="AO566" s="1">
        <v>26589</v>
      </c>
      <c r="AP566" s="1">
        <v>20995</v>
      </c>
      <c r="AQ566" s="1">
        <v>21391</v>
      </c>
      <c r="AR566" s="1">
        <v>21787</v>
      </c>
      <c r="AS566" s="1">
        <v>22183</v>
      </c>
      <c r="AT566" s="1">
        <v>22579</v>
      </c>
      <c r="AU566" s="1">
        <v>22975</v>
      </c>
      <c r="AV566" s="1">
        <v>24428</v>
      </c>
      <c r="AW566" s="1">
        <v>23767</v>
      </c>
      <c r="AX566" s="1">
        <v>55345</v>
      </c>
      <c r="AY566" s="1"/>
      <c r="BA566" s="21">
        <f t="shared" si="519"/>
        <v>352207</v>
      </c>
      <c r="BB566" s="22">
        <f t="shared" si="520"/>
        <v>29350.583333333332</v>
      </c>
      <c r="BD566" s="7">
        <f t="shared" si="521"/>
        <v>233352</v>
      </c>
      <c r="BE566" s="7">
        <f t="shared" si="522"/>
        <v>-118855</v>
      </c>
      <c r="BF566" s="8">
        <f t="shared" si="523"/>
        <v>-0.33745780180405271</v>
      </c>
      <c r="BG566" s="7">
        <f t="shared" si="524"/>
        <v>19446</v>
      </c>
      <c r="BI566" s="12">
        <f t="shared" si="525"/>
        <v>198909</v>
      </c>
      <c r="BJ566" s="12">
        <f t="shared" si="526"/>
        <v>-34443</v>
      </c>
      <c r="BK566" s="13">
        <f t="shared" si="527"/>
        <v>-0.14760104905893245</v>
      </c>
      <c r="BL566" s="24">
        <f t="shared" si="528"/>
        <v>17155.625</v>
      </c>
      <c r="BM566" s="24">
        <f t="shared" si="529"/>
        <v>15416</v>
      </c>
      <c r="BO566" s="17">
        <f t="shared" si="530"/>
        <v>296971</v>
      </c>
      <c r="BP566" s="17">
        <f t="shared" si="531"/>
        <v>98062</v>
      </c>
      <c r="BQ566" s="18">
        <f t="shared" si="532"/>
        <v>0.4929993112428297</v>
      </c>
      <c r="BR566" s="25">
        <f t="shared" si="533"/>
        <v>24747.583333333332</v>
      </c>
    </row>
    <row r="567" spans="1:70">
      <c r="A567" t="s">
        <v>804</v>
      </c>
      <c r="B567">
        <v>420210</v>
      </c>
      <c r="C567" s="1">
        <v>31970</v>
      </c>
      <c r="D567" s="1">
        <v>31969</v>
      </c>
      <c r="E567" s="1">
        <v>21161</v>
      </c>
      <c r="F567" s="1">
        <v>16721</v>
      </c>
      <c r="G567" s="1">
        <v>16721</v>
      </c>
      <c r="H567" s="1">
        <v>16295</v>
      </c>
      <c r="I567" s="1">
        <v>17490</v>
      </c>
      <c r="J567" s="1">
        <v>24283</v>
      </c>
      <c r="K567" s="1">
        <v>13713</v>
      </c>
      <c r="L567" s="1">
        <v>15089</v>
      </c>
      <c r="M567" s="1">
        <v>15089</v>
      </c>
      <c r="N567" s="1">
        <v>15087</v>
      </c>
      <c r="O567" s="1">
        <v>9304</v>
      </c>
      <c r="P567" s="1">
        <v>10473</v>
      </c>
      <c r="Q567" s="1">
        <v>10473</v>
      </c>
      <c r="R567" s="1">
        <v>10164</v>
      </c>
      <c r="S567" s="1">
        <v>16446</v>
      </c>
      <c r="T567" s="1">
        <v>15702</v>
      </c>
      <c r="U567" s="1">
        <v>13880</v>
      </c>
      <c r="V567" s="1">
        <v>17739</v>
      </c>
      <c r="W567" s="1">
        <v>17739</v>
      </c>
      <c r="X567" s="1">
        <v>93877</v>
      </c>
      <c r="Y567" s="1">
        <v>20911</v>
      </c>
      <c r="Z567" s="1">
        <v>21320</v>
      </c>
      <c r="AA567" s="1">
        <v>21164</v>
      </c>
      <c r="AB567" s="1">
        <v>22495</v>
      </c>
      <c r="AC567" s="1">
        <v>22495</v>
      </c>
      <c r="AD567" s="1">
        <v>24128</v>
      </c>
      <c r="AE567" s="1">
        <v>24128</v>
      </c>
      <c r="AF567" s="1">
        <v>24128</v>
      </c>
      <c r="AG567" s="1">
        <v>24752</v>
      </c>
      <c r="AH567" s="1">
        <v>25518</v>
      </c>
      <c r="AI567" s="1">
        <v>24978</v>
      </c>
      <c r="AJ567" s="1">
        <v>25401</v>
      </c>
      <c r="AK567" s="1">
        <v>21805</v>
      </c>
      <c r="AL567" s="1">
        <v>21806</v>
      </c>
      <c r="AM567" s="1">
        <v>17937</v>
      </c>
      <c r="AN567" s="1">
        <v>22379</v>
      </c>
      <c r="AO567" s="1">
        <v>19815</v>
      </c>
      <c r="AP567" s="1">
        <v>20995</v>
      </c>
      <c r="AQ567" s="1">
        <v>21391</v>
      </c>
      <c r="AR567" s="1">
        <v>21787</v>
      </c>
      <c r="AS567" s="1">
        <v>22183</v>
      </c>
      <c r="AT567" s="1">
        <v>22579</v>
      </c>
      <c r="AU567" s="1">
        <v>22975</v>
      </c>
      <c r="AV567" s="1">
        <v>24428</v>
      </c>
      <c r="AW567" s="1">
        <v>23767</v>
      </c>
      <c r="AX567" s="1">
        <v>26756</v>
      </c>
      <c r="AY567" s="1"/>
      <c r="BA567" s="21">
        <f t="shared" si="519"/>
        <v>235588</v>
      </c>
      <c r="BB567" s="22">
        <f t="shared" si="520"/>
        <v>19632.333333333332</v>
      </c>
      <c r="BD567" s="7">
        <f t="shared" si="521"/>
        <v>258028</v>
      </c>
      <c r="BE567" s="7">
        <f t="shared" si="522"/>
        <v>22440</v>
      </c>
      <c r="BF567" s="8">
        <f t="shared" si="523"/>
        <v>9.5251031461704327E-2</v>
      </c>
      <c r="BG567" s="7">
        <f t="shared" si="524"/>
        <v>21502.333333333332</v>
      </c>
      <c r="BI567" s="12">
        <f t="shared" si="525"/>
        <v>282798</v>
      </c>
      <c r="BJ567" s="12">
        <f t="shared" si="526"/>
        <v>24770</v>
      </c>
      <c r="BK567" s="13">
        <f t="shared" si="527"/>
        <v>9.599733362270757E-2</v>
      </c>
      <c r="BL567" s="24">
        <f t="shared" si="528"/>
        <v>23601</v>
      </c>
      <c r="BM567" s="24">
        <f t="shared" si="529"/>
        <v>23497.5</v>
      </c>
      <c r="BO567" s="17">
        <f t="shared" si="530"/>
        <v>266992</v>
      </c>
      <c r="BP567" s="17">
        <f t="shared" si="531"/>
        <v>-15806</v>
      </c>
      <c r="BQ567" s="18">
        <f t="shared" si="532"/>
        <v>-5.5891484381077605E-2</v>
      </c>
      <c r="BR567" s="25">
        <f t="shared" si="533"/>
        <v>22249.333333333332</v>
      </c>
    </row>
    <row r="568" spans="1:70">
      <c r="A568" t="s">
        <v>805</v>
      </c>
      <c r="B568">
        <v>420225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20995</v>
      </c>
      <c r="AQ568" s="1">
        <v>21391</v>
      </c>
      <c r="AR568" s="1">
        <v>21787</v>
      </c>
      <c r="AS568" s="1">
        <v>22183</v>
      </c>
      <c r="AT568" s="1">
        <v>22579</v>
      </c>
      <c r="AU568" s="1">
        <v>22975</v>
      </c>
      <c r="AV568" s="1">
        <v>24428</v>
      </c>
      <c r="AW568" s="1">
        <v>23767</v>
      </c>
      <c r="AX568" s="1">
        <v>0</v>
      </c>
      <c r="AY568" s="1"/>
      <c r="BA568" s="21">
        <f t="shared" si="519"/>
        <v>0</v>
      </c>
      <c r="BB568" s="22">
        <f t="shared" si="520"/>
        <v>0</v>
      </c>
      <c r="BD568" s="7">
        <f t="shared" si="521"/>
        <v>0</v>
      </c>
      <c r="BE568" s="7">
        <f t="shared" si="522"/>
        <v>0</v>
      </c>
      <c r="BF568" s="8" t="e">
        <f t="shared" si="523"/>
        <v>#DIV/0!</v>
      </c>
      <c r="BG568" s="7">
        <f t="shared" si="524"/>
        <v>0</v>
      </c>
      <c r="BI568" s="12">
        <f t="shared" si="525"/>
        <v>0</v>
      </c>
      <c r="BJ568" s="12">
        <f t="shared" si="526"/>
        <v>0</v>
      </c>
      <c r="BK568" s="13" t="e">
        <f t="shared" si="527"/>
        <v>#DIV/0!</v>
      </c>
      <c r="BL568" s="24">
        <f t="shared" si="528"/>
        <v>0</v>
      </c>
      <c r="BM568" s="24">
        <f t="shared" si="529"/>
        <v>0</v>
      </c>
      <c r="BO568" s="17">
        <f t="shared" si="530"/>
        <v>180105</v>
      </c>
      <c r="BP568" s="17">
        <f t="shared" si="531"/>
        <v>180105</v>
      </c>
      <c r="BQ568" s="18" t="e">
        <f t="shared" si="532"/>
        <v>#DIV/0!</v>
      </c>
      <c r="BR568" s="25">
        <f t="shared" si="533"/>
        <v>15008.75</v>
      </c>
    </row>
    <row r="569" spans="1:70">
      <c r="A569" t="s">
        <v>806</v>
      </c>
      <c r="B569">
        <v>420235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20995</v>
      </c>
      <c r="AQ569" s="1">
        <v>21391</v>
      </c>
      <c r="AR569" s="1">
        <v>21787</v>
      </c>
      <c r="AS569" s="1">
        <v>22183</v>
      </c>
      <c r="AT569" s="1">
        <v>22579</v>
      </c>
      <c r="AU569" s="1">
        <v>22975</v>
      </c>
      <c r="AV569" s="1">
        <v>24428</v>
      </c>
      <c r="AW569" s="1">
        <v>23767</v>
      </c>
      <c r="AX569" s="1">
        <v>0</v>
      </c>
      <c r="AY569" s="1"/>
      <c r="BA569" s="21">
        <f t="shared" si="519"/>
        <v>0</v>
      </c>
      <c r="BB569" s="22">
        <f t="shared" si="520"/>
        <v>0</v>
      </c>
      <c r="BD569" s="7">
        <f t="shared" si="521"/>
        <v>0</v>
      </c>
      <c r="BE569" s="7">
        <f t="shared" si="522"/>
        <v>0</v>
      </c>
      <c r="BF569" s="8" t="e">
        <f t="shared" si="523"/>
        <v>#DIV/0!</v>
      </c>
      <c r="BG569" s="7">
        <f t="shared" si="524"/>
        <v>0</v>
      </c>
      <c r="BI569" s="12">
        <f t="shared" si="525"/>
        <v>0</v>
      </c>
      <c r="BJ569" s="12">
        <f t="shared" si="526"/>
        <v>0</v>
      </c>
      <c r="BK569" s="13" t="e">
        <f t="shared" si="527"/>
        <v>#DIV/0!</v>
      </c>
      <c r="BL569" s="24">
        <f t="shared" si="528"/>
        <v>0</v>
      </c>
      <c r="BM569" s="24">
        <f t="shared" si="529"/>
        <v>0</v>
      </c>
      <c r="BO569" s="17">
        <f t="shared" si="530"/>
        <v>180105</v>
      </c>
      <c r="BP569" s="17">
        <f t="shared" si="531"/>
        <v>180105</v>
      </c>
      <c r="BQ569" s="18" t="e">
        <f t="shared" si="532"/>
        <v>#DIV/0!</v>
      </c>
      <c r="BR569" s="25">
        <f t="shared" si="533"/>
        <v>15008.75</v>
      </c>
    </row>
    <row r="570" spans="1:70">
      <c r="A570" t="s">
        <v>807</v>
      </c>
      <c r="B570">
        <v>420205</v>
      </c>
      <c r="C570" s="1">
        <v>1647</v>
      </c>
      <c r="D570" s="1">
        <v>1647</v>
      </c>
      <c r="E570" s="1">
        <v>1647</v>
      </c>
      <c r="F570" s="1">
        <v>1647</v>
      </c>
      <c r="G570" s="1">
        <v>1647</v>
      </c>
      <c r="H570" s="1">
        <v>1397</v>
      </c>
      <c r="I570" s="1">
        <v>1397</v>
      </c>
      <c r="J570" s="1">
        <v>1397</v>
      </c>
      <c r="K570" s="1">
        <v>1396</v>
      </c>
      <c r="L570" s="1">
        <v>890</v>
      </c>
      <c r="M570" s="1">
        <v>890</v>
      </c>
      <c r="N570" s="1">
        <v>890</v>
      </c>
      <c r="O570" s="1">
        <v>890</v>
      </c>
      <c r="P570" s="1">
        <v>890</v>
      </c>
      <c r="Q570" s="1">
        <v>890</v>
      </c>
      <c r="R570" s="1">
        <v>890</v>
      </c>
      <c r="S570" s="1">
        <v>415</v>
      </c>
      <c r="T570" s="1">
        <v>415</v>
      </c>
      <c r="U570" s="1">
        <v>415</v>
      </c>
      <c r="V570" s="1">
        <v>415</v>
      </c>
      <c r="W570" s="1">
        <v>415</v>
      </c>
      <c r="X570" s="1">
        <v>415</v>
      </c>
      <c r="Y570" s="1">
        <v>415</v>
      </c>
      <c r="Z570" s="1">
        <v>0</v>
      </c>
      <c r="AA570" s="1">
        <v>0</v>
      </c>
      <c r="AB570" s="1">
        <v>0</v>
      </c>
      <c r="AC570" s="1">
        <v>694</v>
      </c>
      <c r="AD570" s="1">
        <v>694</v>
      </c>
      <c r="AE570" s="1">
        <v>694</v>
      </c>
      <c r="AF570" s="1">
        <v>694</v>
      </c>
      <c r="AG570" s="1">
        <v>694</v>
      </c>
      <c r="AH570" s="1">
        <v>694</v>
      </c>
      <c r="AI570" s="1">
        <v>694</v>
      </c>
      <c r="AJ570" s="1">
        <v>706</v>
      </c>
      <c r="AK570" s="1">
        <v>694</v>
      </c>
      <c r="AL570" s="1">
        <v>694</v>
      </c>
      <c r="AM570" s="1">
        <v>514</v>
      </c>
      <c r="AN570" s="1">
        <v>641</v>
      </c>
      <c r="AO570" s="1">
        <v>567</v>
      </c>
      <c r="AP570" s="1">
        <v>20995</v>
      </c>
      <c r="AQ570" s="1">
        <v>21391</v>
      </c>
      <c r="AR570" s="1">
        <v>21787</v>
      </c>
      <c r="AS570" s="1">
        <v>22183</v>
      </c>
      <c r="AT570" s="1">
        <v>22579</v>
      </c>
      <c r="AU570" s="1">
        <v>22975</v>
      </c>
      <c r="AV570" s="1">
        <v>24428</v>
      </c>
      <c r="AW570" s="1">
        <v>23767</v>
      </c>
      <c r="AX570" s="1">
        <v>692</v>
      </c>
      <c r="AY570" s="1"/>
      <c r="BA570" s="21">
        <f t="shared" si="519"/>
        <v>16492</v>
      </c>
      <c r="BB570" s="22">
        <f t="shared" si="520"/>
        <v>1374.3333333333333</v>
      </c>
      <c r="BD570" s="7">
        <f t="shared" si="521"/>
        <v>6465</v>
      </c>
      <c r="BE570" s="7">
        <f t="shared" si="522"/>
        <v>-10027</v>
      </c>
      <c r="BF570" s="8">
        <f t="shared" si="523"/>
        <v>-0.60799175357749213</v>
      </c>
      <c r="BG570" s="7">
        <f t="shared" si="524"/>
        <v>538.75</v>
      </c>
      <c r="BI570" s="12">
        <f t="shared" si="525"/>
        <v>6952</v>
      </c>
      <c r="BJ570" s="12">
        <f t="shared" si="526"/>
        <v>487</v>
      </c>
      <c r="BK570" s="13">
        <f t="shared" si="527"/>
        <v>7.5328692962103538E-2</v>
      </c>
      <c r="BL570" s="24">
        <f t="shared" si="528"/>
        <v>520.5</v>
      </c>
      <c r="BM570" s="24">
        <f t="shared" si="529"/>
        <v>697</v>
      </c>
      <c r="BO570" s="17">
        <f t="shared" si="530"/>
        <v>182519</v>
      </c>
      <c r="BP570" s="17">
        <f t="shared" si="531"/>
        <v>175567</v>
      </c>
      <c r="BQ570" s="18">
        <f t="shared" si="532"/>
        <v>25.254171461449943</v>
      </c>
      <c r="BR570" s="25">
        <f t="shared" si="533"/>
        <v>15209.916666666666</v>
      </c>
    </row>
    <row r="571" spans="1:70">
      <c r="A571" t="s">
        <v>808</v>
      </c>
      <c r="B571">
        <v>420300</v>
      </c>
      <c r="C571" s="1">
        <v>33503</v>
      </c>
      <c r="D571" s="1">
        <v>33001</v>
      </c>
      <c r="E571" s="1">
        <v>31785</v>
      </c>
      <c r="F571" s="1">
        <v>31990</v>
      </c>
      <c r="G571" s="1">
        <v>31119</v>
      </c>
      <c r="H571" s="1">
        <v>34514</v>
      </c>
      <c r="I571" s="1">
        <v>35985</v>
      </c>
      <c r="J571" s="1">
        <v>36609</v>
      </c>
      <c r="K571" s="1">
        <v>38202</v>
      </c>
      <c r="L571" s="1">
        <v>34807</v>
      </c>
      <c r="M571" s="1">
        <v>34988</v>
      </c>
      <c r="N571" s="1">
        <v>34268</v>
      </c>
      <c r="O571" s="1">
        <v>33238</v>
      </c>
      <c r="P571" s="1">
        <v>35175</v>
      </c>
      <c r="Q571" s="1">
        <v>35572</v>
      </c>
      <c r="R571" s="1">
        <v>37141</v>
      </c>
      <c r="S571" s="1">
        <v>35155</v>
      </c>
      <c r="T571" s="1">
        <v>36318</v>
      </c>
      <c r="U571" s="1">
        <v>34875</v>
      </c>
      <c r="V571" s="1">
        <v>36615</v>
      </c>
      <c r="W571" s="1">
        <v>35185</v>
      </c>
      <c r="X571" s="1">
        <v>35067</v>
      </c>
      <c r="Y571" s="1">
        <v>36149</v>
      </c>
      <c r="Z571" s="1">
        <v>34556</v>
      </c>
      <c r="AA571" s="1">
        <v>35334</v>
      </c>
      <c r="AB571" s="1">
        <v>35428</v>
      </c>
      <c r="AC571" s="1">
        <v>34881</v>
      </c>
      <c r="AD571" s="1">
        <v>35239</v>
      </c>
      <c r="AE571" s="1">
        <v>34865</v>
      </c>
      <c r="AF571" s="1">
        <v>35660</v>
      </c>
      <c r="AG571" s="1">
        <v>44531</v>
      </c>
      <c r="AH571" s="1">
        <v>38414</v>
      </c>
      <c r="AI571" s="1">
        <v>39716</v>
      </c>
      <c r="AJ571" s="1">
        <v>34368</v>
      </c>
      <c r="AK571" s="1">
        <v>33814</v>
      </c>
      <c r="AL571" s="1">
        <v>33837</v>
      </c>
      <c r="AM571" s="1">
        <v>7179</v>
      </c>
      <c r="AN571" s="1">
        <v>8923</v>
      </c>
      <c r="AO571" s="1">
        <v>7598</v>
      </c>
      <c r="AP571" s="1">
        <v>20995</v>
      </c>
      <c r="AQ571" s="1">
        <v>21391</v>
      </c>
      <c r="AR571" s="1">
        <v>21787</v>
      </c>
      <c r="AS571" s="1">
        <v>22183</v>
      </c>
      <c r="AT571" s="1">
        <v>22579</v>
      </c>
      <c r="AU571" s="1">
        <v>22975</v>
      </c>
      <c r="AV571" s="1">
        <v>24428</v>
      </c>
      <c r="AW571" s="1">
        <v>23767</v>
      </c>
      <c r="AX571" s="1">
        <v>10623</v>
      </c>
      <c r="AY571" s="1"/>
      <c r="BA571" s="21">
        <f t="shared" si="519"/>
        <v>410771</v>
      </c>
      <c r="BB571" s="22">
        <f t="shared" si="520"/>
        <v>34230.916666666664</v>
      </c>
      <c r="BD571" s="7">
        <f t="shared" si="521"/>
        <v>425046</v>
      </c>
      <c r="BE571" s="7">
        <f t="shared" si="522"/>
        <v>14275</v>
      </c>
      <c r="BF571" s="8">
        <f t="shared" si="523"/>
        <v>3.4751722979470268E-2</v>
      </c>
      <c r="BG571" s="7">
        <f t="shared" si="524"/>
        <v>35420.5</v>
      </c>
      <c r="BI571" s="12">
        <f t="shared" si="525"/>
        <v>436087</v>
      </c>
      <c r="BJ571" s="12">
        <f t="shared" si="526"/>
        <v>11041</v>
      </c>
      <c r="BK571" s="13">
        <f t="shared" si="527"/>
        <v>2.5976012008112059E-2</v>
      </c>
      <c r="BL571" s="24">
        <f t="shared" si="528"/>
        <v>36794</v>
      </c>
      <c r="BM571" s="24">
        <f t="shared" si="529"/>
        <v>35433.75</v>
      </c>
      <c r="BO571" s="17">
        <f t="shared" si="530"/>
        <v>214428</v>
      </c>
      <c r="BP571" s="17">
        <f t="shared" si="531"/>
        <v>-221659</v>
      </c>
      <c r="BQ571" s="18">
        <f t="shared" si="532"/>
        <v>-0.50829077684040114</v>
      </c>
      <c r="BR571" s="25">
        <f t="shared" si="533"/>
        <v>17869</v>
      </c>
    </row>
    <row r="572" spans="1:70">
      <c r="A572" t="s">
        <v>809</v>
      </c>
      <c r="B572">
        <v>420305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20995</v>
      </c>
      <c r="AQ572" s="1">
        <v>21391</v>
      </c>
      <c r="AR572" s="1">
        <v>21787</v>
      </c>
      <c r="AS572" s="1">
        <v>22183</v>
      </c>
      <c r="AT572" s="1">
        <v>22579</v>
      </c>
      <c r="AU572" s="1">
        <v>22975</v>
      </c>
      <c r="AV572" s="1">
        <v>24428</v>
      </c>
      <c r="AW572" s="1">
        <v>23767</v>
      </c>
      <c r="AX572" s="1">
        <v>0</v>
      </c>
      <c r="AY572" s="1"/>
      <c r="BA572" s="21">
        <f t="shared" si="519"/>
        <v>0</v>
      </c>
      <c r="BB572" s="22">
        <f t="shared" si="520"/>
        <v>0</v>
      </c>
      <c r="BD572" s="7">
        <f t="shared" si="521"/>
        <v>0</v>
      </c>
      <c r="BE572" s="7">
        <f t="shared" si="522"/>
        <v>0</v>
      </c>
      <c r="BF572" s="8" t="e">
        <f t="shared" si="523"/>
        <v>#DIV/0!</v>
      </c>
      <c r="BG572" s="7">
        <f t="shared" si="524"/>
        <v>0</v>
      </c>
      <c r="BI572" s="12">
        <f t="shared" si="525"/>
        <v>0</v>
      </c>
      <c r="BJ572" s="12">
        <f t="shared" si="526"/>
        <v>0</v>
      </c>
      <c r="BK572" s="13" t="e">
        <f t="shared" si="527"/>
        <v>#DIV/0!</v>
      </c>
      <c r="BL572" s="24">
        <f t="shared" si="528"/>
        <v>0</v>
      </c>
      <c r="BM572" s="24">
        <f t="shared" si="529"/>
        <v>0</v>
      </c>
      <c r="BO572" s="17">
        <f t="shared" si="530"/>
        <v>180105</v>
      </c>
      <c r="BP572" s="17">
        <f t="shared" si="531"/>
        <v>180105</v>
      </c>
      <c r="BQ572" s="18" t="e">
        <f t="shared" si="532"/>
        <v>#DIV/0!</v>
      </c>
      <c r="BR572" s="25">
        <f t="shared" si="533"/>
        <v>15008.75</v>
      </c>
    </row>
    <row r="573" spans="1:70">
      <c r="A573" t="s">
        <v>810</v>
      </c>
      <c r="B573">
        <v>420310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20995</v>
      </c>
      <c r="AQ573" s="1">
        <v>21391</v>
      </c>
      <c r="AR573" s="1">
        <v>21787</v>
      </c>
      <c r="AS573" s="1">
        <v>22183</v>
      </c>
      <c r="AT573" s="1">
        <v>22579</v>
      </c>
      <c r="AU573" s="1">
        <v>22975</v>
      </c>
      <c r="AV573" s="1">
        <v>24428</v>
      </c>
      <c r="AW573" s="1">
        <v>23767</v>
      </c>
      <c r="AX573" s="1">
        <v>0</v>
      </c>
      <c r="AY573" s="1"/>
      <c r="BA573" s="21">
        <f t="shared" si="519"/>
        <v>0</v>
      </c>
      <c r="BB573" s="22">
        <f t="shared" si="520"/>
        <v>0</v>
      </c>
      <c r="BD573" s="7">
        <f t="shared" si="521"/>
        <v>0</v>
      </c>
      <c r="BE573" s="7">
        <f t="shared" si="522"/>
        <v>0</v>
      </c>
      <c r="BF573" s="8" t="e">
        <f t="shared" si="523"/>
        <v>#DIV/0!</v>
      </c>
      <c r="BG573" s="7">
        <f t="shared" si="524"/>
        <v>0</v>
      </c>
      <c r="BI573" s="12">
        <f t="shared" si="525"/>
        <v>0</v>
      </c>
      <c r="BJ573" s="12">
        <f t="shared" si="526"/>
        <v>0</v>
      </c>
      <c r="BK573" s="13" t="e">
        <f t="shared" si="527"/>
        <v>#DIV/0!</v>
      </c>
      <c r="BL573" s="24">
        <f t="shared" si="528"/>
        <v>0</v>
      </c>
      <c r="BM573" s="24">
        <f t="shared" si="529"/>
        <v>0</v>
      </c>
      <c r="BO573" s="17">
        <f t="shared" si="530"/>
        <v>180105</v>
      </c>
      <c r="BP573" s="17">
        <f t="shared" si="531"/>
        <v>180105</v>
      </c>
      <c r="BQ573" s="18" t="e">
        <f t="shared" si="532"/>
        <v>#DIV/0!</v>
      </c>
      <c r="BR573" s="25">
        <f t="shared" si="533"/>
        <v>15008.75</v>
      </c>
    </row>
    <row r="574" spans="1:70">
      <c r="A574" t="s">
        <v>811</v>
      </c>
      <c r="B574">
        <v>420315</v>
      </c>
      <c r="C574" s="1">
        <v>890</v>
      </c>
      <c r="D574" s="1">
        <v>5064</v>
      </c>
      <c r="E574" s="1">
        <v>4918</v>
      </c>
      <c r="F574" s="1">
        <v>5652</v>
      </c>
      <c r="G574" s="1">
        <v>7776</v>
      </c>
      <c r="H574" s="1">
        <v>5926</v>
      </c>
      <c r="I574" s="1">
        <v>6621</v>
      </c>
      <c r="J574" s="1">
        <v>7226</v>
      </c>
      <c r="K574" s="1">
        <v>6806</v>
      </c>
      <c r="L574" s="1">
        <v>11469</v>
      </c>
      <c r="M574" s="1">
        <v>7847</v>
      </c>
      <c r="N574" s="1">
        <v>13045</v>
      </c>
      <c r="O574" s="1">
        <v>1302</v>
      </c>
      <c r="P574" s="1">
        <v>8367</v>
      </c>
      <c r="Q574" s="1">
        <v>7696</v>
      </c>
      <c r="R574" s="1">
        <v>9727</v>
      </c>
      <c r="S574" s="1">
        <v>8008</v>
      </c>
      <c r="T574" s="1">
        <v>8526</v>
      </c>
      <c r="U574" s="1">
        <v>6471</v>
      </c>
      <c r="V574" s="1">
        <v>10032</v>
      </c>
      <c r="W574" s="1">
        <v>9840</v>
      </c>
      <c r="X574" s="1">
        <v>10985</v>
      </c>
      <c r="Y574" s="1">
        <v>8199</v>
      </c>
      <c r="Z574" s="1">
        <v>12681</v>
      </c>
      <c r="AA574" s="1">
        <v>1583</v>
      </c>
      <c r="AB574" s="1">
        <v>4586</v>
      </c>
      <c r="AC574" s="1">
        <v>6649</v>
      </c>
      <c r="AD574" s="1">
        <v>4906</v>
      </c>
      <c r="AE574" s="1">
        <v>8012</v>
      </c>
      <c r="AF574" s="1">
        <v>6596</v>
      </c>
      <c r="AG574" s="1">
        <v>5858</v>
      </c>
      <c r="AH574" s="1">
        <v>5295</v>
      </c>
      <c r="AI574" s="1">
        <v>5993</v>
      </c>
      <c r="AJ574" s="1">
        <v>3396</v>
      </c>
      <c r="AK574" s="1">
        <v>3179</v>
      </c>
      <c r="AL574" s="1">
        <v>2909</v>
      </c>
      <c r="AM574" s="1">
        <v>3474</v>
      </c>
      <c r="AN574" s="1">
        <v>3957</v>
      </c>
      <c r="AO574" s="1">
        <v>4673</v>
      </c>
      <c r="AP574" s="1">
        <v>20995</v>
      </c>
      <c r="AQ574" s="1">
        <v>21391</v>
      </c>
      <c r="AR574" s="1">
        <v>21787</v>
      </c>
      <c r="AS574" s="1">
        <v>22183</v>
      </c>
      <c r="AT574" s="1">
        <v>22579</v>
      </c>
      <c r="AU574" s="1">
        <v>22975</v>
      </c>
      <c r="AV574" s="1">
        <v>24428</v>
      </c>
      <c r="AW574" s="1">
        <v>23767</v>
      </c>
      <c r="AX574" s="1">
        <v>4430</v>
      </c>
      <c r="AY574" s="1"/>
      <c r="BA574" s="21">
        <f t="shared" si="519"/>
        <v>83240</v>
      </c>
      <c r="BB574" s="22">
        <f t="shared" si="520"/>
        <v>6936.666666666667</v>
      </c>
      <c r="BD574" s="7">
        <f t="shared" si="521"/>
        <v>101834</v>
      </c>
      <c r="BE574" s="7">
        <f t="shared" si="522"/>
        <v>18594</v>
      </c>
      <c r="BF574" s="8">
        <f t="shared" si="523"/>
        <v>0.22337818356559347</v>
      </c>
      <c r="BG574" s="7">
        <f t="shared" si="524"/>
        <v>8486.1666666666661</v>
      </c>
      <c r="BI574" s="12">
        <f t="shared" si="525"/>
        <v>58962</v>
      </c>
      <c r="BJ574" s="12">
        <f t="shared" si="526"/>
        <v>-42872</v>
      </c>
      <c r="BK574" s="13">
        <f t="shared" si="527"/>
        <v>-0.42099888053106038</v>
      </c>
      <c r="BL574" s="24">
        <f t="shared" si="528"/>
        <v>5435.625</v>
      </c>
      <c r="BM574" s="24">
        <f t="shared" si="529"/>
        <v>3869.25</v>
      </c>
      <c r="BO574" s="17">
        <f t="shared" si="530"/>
        <v>196639</v>
      </c>
      <c r="BP574" s="17">
        <f t="shared" si="531"/>
        <v>137677</v>
      </c>
      <c r="BQ574" s="18">
        <f t="shared" si="532"/>
        <v>2.3350123808554661</v>
      </c>
      <c r="BR574" s="25">
        <f t="shared" si="533"/>
        <v>16386.583333333332</v>
      </c>
    </row>
    <row r="575" spans="1:70">
      <c r="A575" t="s">
        <v>812</v>
      </c>
      <c r="B575">
        <v>420316</v>
      </c>
      <c r="C575" s="1">
        <v>571</v>
      </c>
      <c r="D575" s="1">
        <v>-666</v>
      </c>
      <c r="E575" s="1">
        <v>1199</v>
      </c>
      <c r="F575" s="1">
        <v>299</v>
      </c>
      <c r="G575" s="1">
        <v>5032</v>
      </c>
      <c r="H575" s="1">
        <v>1601</v>
      </c>
      <c r="I575" s="1">
        <v>1144</v>
      </c>
      <c r="J575" s="1">
        <v>2078</v>
      </c>
      <c r="K575" s="1">
        <v>1247</v>
      </c>
      <c r="L575" s="1">
        <v>2520</v>
      </c>
      <c r="M575" s="1">
        <v>778</v>
      </c>
      <c r="N575" s="1">
        <v>3842</v>
      </c>
      <c r="O575" s="1">
        <v>488</v>
      </c>
      <c r="P575" s="1">
        <v>483</v>
      </c>
      <c r="Q575" s="1">
        <v>1499</v>
      </c>
      <c r="R575" s="1">
        <v>1036</v>
      </c>
      <c r="S575" s="1">
        <v>1016</v>
      </c>
      <c r="T575" s="1">
        <v>1209</v>
      </c>
      <c r="U575" s="1">
        <v>2114</v>
      </c>
      <c r="V575" s="1">
        <v>1456</v>
      </c>
      <c r="W575" s="1">
        <v>1419</v>
      </c>
      <c r="X575" s="1">
        <v>1630</v>
      </c>
      <c r="Y575" s="1">
        <v>943</v>
      </c>
      <c r="Z575" s="1">
        <v>1996</v>
      </c>
      <c r="AA575" s="1">
        <v>991</v>
      </c>
      <c r="AB575" s="1">
        <v>886</v>
      </c>
      <c r="AC575" s="1">
        <v>1490</v>
      </c>
      <c r="AD575" s="1">
        <v>1409</v>
      </c>
      <c r="AE575" s="1">
        <v>961</v>
      </c>
      <c r="AF575" s="1">
        <v>1523</v>
      </c>
      <c r="AG575" s="1">
        <v>2466</v>
      </c>
      <c r="AH575" s="1">
        <v>901</v>
      </c>
      <c r="AI575" s="1">
        <v>1598</v>
      </c>
      <c r="AJ575" s="1">
        <v>916</v>
      </c>
      <c r="AK575" s="1">
        <v>901</v>
      </c>
      <c r="AL575" s="1">
        <v>901</v>
      </c>
      <c r="AM575" s="1">
        <v>970</v>
      </c>
      <c r="AN575" s="1">
        <v>1211</v>
      </c>
      <c r="AO575" s="1">
        <v>1072</v>
      </c>
      <c r="AP575" s="1">
        <v>20995</v>
      </c>
      <c r="AQ575" s="1">
        <v>21391</v>
      </c>
      <c r="AR575" s="1">
        <v>21787</v>
      </c>
      <c r="AS575" s="1">
        <v>22183</v>
      </c>
      <c r="AT575" s="1">
        <v>22579</v>
      </c>
      <c r="AU575" s="1">
        <v>22975</v>
      </c>
      <c r="AV575" s="1">
        <v>24428</v>
      </c>
      <c r="AW575" s="1">
        <v>23767</v>
      </c>
      <c r="AX575" s="1">
        <v>1310</v>
      </c>
      <c r="AY575" s="1"/>
      <c r="BA575" s="21">
        <f t="shared" si="519"/>
        <v>19645</v>
      </c>
      <c r="BB575" s="22">
        <f t="shared" si="520"/>
        <v>1637.0833333333333</v>
      </c>
      <c r="BD575" s="7">
        <f t="shared" si="521"/>
        <v>15289</v>
      </c>
      <c r="BE575" s="7">
        <f t="shared" si="522"/>
        <v>-4356</v>
      </c>
      <c r="BF575" s="8">
        <f t="shared" si="523"/>
        <v>-0.2217358106388394</v>
      </c>
      <c r="BG575" s="7">
        <f t="shared" si="524"/>
        <v>1274.0833333333333</v>
      </c>
      <c r="BI575" s="12">
        <f t="shared" si="525"/>
        <v>14943</v>
      </c>
      <c r="BJ575" s="12">
        <f t="shared" si="526"/>
        <v>-346</v>
      </c>
      <c r="BK575" s="13">
        <f t="shared" si="527"/>
        <v>-2.2630649486559018E-2</v>
      </c>
      <c r="BL575" s="24">
        <f t="shared" si="528"/>
        <v>1328.375</v>
      </c>
      <c r="BM575" s="24">
        <f t="shared" si="529"/>
        <v>1079</v>
      </c>
      <c r="BO575" s="17">
        <f t="shared" si="530"/>
        <v>184668</v>
      </c>
      <c r="BP575" s="17">
        <f t="shared" si="531"/>
        <v>169725</v>
      </c>
      <c r="BQ575" s="18">
        <f t="shared" si="532"/>
        <v>11.358161011845011</v>
      </c>
      <c r="BR575" s="25">
        <f t="shared" si="533"/>
        <v>15389</v>
      </c>
    </row>
    <row r="576" spans="1:70">
      <c r="A576" t="s">
        <v>813</v>
      </c>
      <c r="B576">
        <v>420320</v>
      </c>
      <c r="C576" s="1">
        <v>741</v>
      </c>
      <c r="D576" s="1">
        <v>1108</v>
      </c>
      <c r="E576" s="1">
        <v>0</v>
      </c>
      <c r="F576" s="1">
        <v>289</v>
      </c>
      <c r="G576" s="1">
        <v>1188</v>
      </c>
      <c r="H576" s="1">
        <v>289</v>
      </c>
      <c r="I576" s="1">
        <v>289</v>
      </c>
      <c r="J576" s="1">
        <v>289</v>
      </c>
      <c r="K576" s="1">
        <v>289</v>
      </c>
      <c r="L576" s="1">
        <v>289</v>
      </c>
      <c r="M576" s="1">
        <v>289</v>
      </c>
      <c r="N576" s="1">
        <v>1584</v>
      </c>
      <c r="O576" s="1">
        <v>0</v>
      </c>
      <c r="P576" s="1">
        <v>289</v>
      </c>
      <c r="Q576" s="1">
        <v>4027</v>
      </c>
      <c r="R576" s="1">
        <v>1032</v>
      </c>
      <c r="S576" s="1">
        <v>289</v>
      </c>
      <c r="T576" s="1">
        <v>4906</v>
      </c>
      <c r="U576" s="1">
        <v>289</v>
      </c>
      <c r="V576" s="1">
        <v>289</v>
      </c>
      <c r="W576" s="1">
        <v>289</v>
      </c>
      <c r="X576" s="1">
        <v>289</v>
      </c>
      <c r="Y576" s="1">
        <v>289</v>
      </c>
      <c r="Z576" s="1">
        <v>289</v>
      </c>
      <c r="AA576" s="1">
        <v>852</v>
      </c>
      <c r="AB576" s="1">
        <v>1670</v>
      </c>
      <c r="AC576" s="1">
        <v>289</v>
      </c>
      <c r="AD576" s="1">
        <v>793</v>
      </c>
      <c r="AE576" s="1">
        <v>41156</v>
      </c>
      <c r="AF576" s="1">
        <v>-40578</v>
      </c>
      <c r="AG576" s="1">
        <v>3492</v>
      </c>
      <c r="AH576" s="1">
        <v>7242</v>
      </c>
      <c r="AI576" s="1">
        <v>726</v>
      </c>
      <c r="AJ576" s="1">
        <v>7365</v>
      </c>
      <c r="AK576" s="1">
        <v>7242</v>
      </c>
      <c r="AL576" s="1">
        <v>7242</v>
      </c>
      <c r="AM576" s="1">
        <v>2732</v>
      </c>
      <c r="AN576" s="1">
        <v>3409</v>
      </c>
      <c r="AO576" s="1">
        <v>3018</v>
      </c>
      <c r="AP576" s="1">
        <v>20995</v>
      </c>
      <c r="AQ576" s="1">
        <v>21391</v>
      </c>
      <c r="AR576" s="1">
        <v>21787</v>
      </c>
      <c r="AS576" s="1">
        <v>22183</v>
      </c>
      <c r="AT576" s="1">
        <v>22579</v>
      </c>
      <c r="AU576" s="1">
        <v>22975</v>
      </c>
      <c r="AV576" s="1">
        <v>24428</v>
      </c>
      <c r="AW576" s="1">
        <v>23767</v>
      </c>
      <c r="AX576" s="1">
        <v>3692</v>
      </c>
      <c r="AY576" s="1"/>
      <c r="BA576" s="21">
        <f t="shared" si="519"/>
        <v>6644</v>
      </c>
      <c r="BB576" s="22">
        <f t="shared" si="520"/>
        <v>553.66666666666663</v>
      </c>
      <c r="BD576" s="7">
        <f t="shared" si="521"/>
        <v>12277</v>
      </c>
      <c r="BE576" s="7">
        <f t="shared" si="522"/>
        <v>5633</v>
      </c>
      <c r="BF576" s="8">
        <f t="shared" si="523"/>
        <v>0.84783263094521377</v>
      </c>
      <c r="BG576" s="7">
        <f t="shared" si="524"/>
        <v>1023.0833333333334</v>
      </c>
      <c r="BI576" s="12">
        <f t="shared" si="525"/>
        <v>37491</v>
      </c>
      <c r="BJ576" s="12">
        <f t="shared" si="526"/>
        <v>25214</v>
      </c>
      <c r="BK576" s="13">
        <f t="shared" si="527"/>
        <v>2.0537590616600148</v>
      </c>
      <c r="BL576" s="24">
        <f t="shared" si="528"/>
        <v>1864.5</v>
      </c>
      <c r="BM576" s="24">
        <f t="shared" si="529"/>
        <v>5643.75</v>
      </c>
      <c r="BO576" s="17">
        <f t="shared" si="530"/>
        <v>192956</v>
      </c>
      <c r="BP576" s="17">
        <f t="shared" si="531"/>
        <v>155465</v>
      </c>
      <c r="BQ576" s="18">
        <f t="shared" si="532"/>
        <v>4.1467285481848979</v>
      </c>
      <c r="BR576" s="25">
        <f t="shared" si="533"/>
        <v>16079.666666666666</v>
      </c>
    </row>
    <row r="577" spans="1:70">
      <c r="A577" t="s">
        <v>814</v>
      </c>
      <c r="B577">
        <v>420325</v>
      </c>
      <c r="C577" s="1">
        <v>5760</v>
      </c>
      <c r="D577" s="1">
        <v>12725</v>
      </c>
      <c r="E577" s="1">
        <v>17966</v>
      </c>
      <c r="F577" s="1">
        <v>14107</v>
      </c>
      <c r="G577" s="1">
        <v>18877</v>
      </c>
      <c r="H577" s="1">
        <v>1872</v>
      </c>
      <c r="I577" s="1">
        <v>24564</v>
      </c>
      <c r="J577" s="1">
        <v>15524</v>
      </c>
      <c r="K577" s="1">
        <v>6440</v>
      </c>
      <c r="L577" s="1">
        <v>12175</v>
      </c>
      <c r="M577" s="1">
        <v>16426</v>
      </c>
      <c r="N577" s="1">
        <v>16426</v>
      </c>
      <c r="O577" s="1">
        <v>15013</v>
      </c>
      <c r="P577" s="1">
        <v>7291</v>
      </c>
      <c r="Q577" s="1">
        <v>8060</v>
      </c>
      <c r="R577" s="1">
        <v>17173</v>
      </c>
      <c r="S577" s="1">
        <v>6273</v>
      </c>
      <c r="T577" s="1">
        <v>15616</v>
      </c>
      <c r="U577" s="1">
        <v>12553</v>
      </c>
      <c r="V577" s="1">
        <v>21239</v>
      </c>
      <c r="W577" s="1">
        <v>5979</v>
      </c>
      <c r="X577" s="1">
        <v>387</v>
      </c>
      <c r="Y577" s="1">
        <v>10608</v>
      </c>
      <c r="Z577" s="1">
        <v>8571</v>
      </c>
      <c r="AA577" s="1">
        <v>16939</v>
      </c>
      <c r="AB577" s="1">
        <v>2823</v>
      </c>
      <c r="AC577" s="1">
        <v>8001</v>
      </c>
      <c r="AD577" s="1">
        <v>12919</v>
      </c>
      <c r="AE577" s="1">
        <v>1313</v>
      </c>
      <c r="AF577" s="1">
        <v>933</v>
      </c>
      <c r="AG577" s="1">
        <v>2090</v>
      </c>
      <c r="AH577" s="1">
        <v>4372</v>
      </c>
      <c r="AI577" s="1">
        <v>5655</v>
      </c>
      <c r="AJ577" s="1">
        <v>15609</v>
      </c>
      <c r="AK577" s="1">
        <v>12218</v>
      </c>
      <c r="AL577" s="1">
        <v>12218</v>
      </c>
      <c r="AM577" s="1">
        <v>13304</v>
      </c>
      <c r="AN577" s="1">
        <v>12767</v>
      </c>
      <c r="AO577" s="1">
        <v>11304</v>
      </c>
      <c r="AP577" s="1">
        <v>20995</v>
      </c>
      <c r="AQ577" s="1">
        <v>21391</v>
      </c>
      <c r="AR577" s="1">
        <v>21787</v>
      </c>
      <c r="AS577" s="1">
        <v>22183</v>
      </c>
      <c r="AT577" s="1">
        <v>22579</v>
      </c>
      <c r="AU577" s="1">
        <v>22975</v>
      </c>
      <c r="AV577" s="1">
        <v>24428</v>
      </c>
      <c r="AW577" s="1">
        <v>23767</v>
      </c>
      <c r="AX577" s="1">
        <v>14129</v>
      </c>
      <c r="AY577" s="1"/>
      <c r="BA577" s="21">
        <f t="shared" si="519"/>
        <v>162862</v>
      </c>
      <c r="BB577" s="22">
        <f t="shared" si="520"/>
        <v>13571.833333333334</v>
      </c>
      <c r="BD577" s="7">
        <f t="shared" si="521"/>
        <v>128763</v>
      </c>
      <c r="BE577" s="7">
        <f t="shared" si="522"/>
        <v>-34099</v>
      </c>
      <c r="BF577" s="8">
        <f t="shared" si="523"/>
        <v>-0.20937358008620799</v>
      </c>
      <c r="BG577" s="7">
        <f t="shared" si="524"/>
        <v>10730.25</v>
      </c>
      <c r="BI577" s="12">
        <f t="shared" si="525"/>
        <v>95090</v>
      </c>
      <c r="BJ577" s="12">
        <f t="shared" si="526"/>
        <v>-33673</v>
      </c>
      <c r="BK577" s="13">
        <f t="shared" si="527"/>
        <v>-0.26151145903714579</v>
      </c>
      <c r="BL577" s="24">
        <f t="shared" si="528"/>
        <v>6173.75</v>
      </c>
      <c r="BM577" s="24">
        <f t="shared" si="529"/>
        <v>11425</v>
      </c>
      <c r="BO577" s="17">
        <f t="shared" si="530"/>
        <v>231609</v>
      </c>
      <c r="BP577" s="17">
        <f t="shared" si="531"/>
        <v>136519</v>
      </c>
      <c r="BQ577" s="18">
        <f t="shared" si="532"/>
        <v>1.4356819854874328</v>
      </c>
      <c r="BR577" s="25">
        <f t="shared" si="533"/>
        <v>19300.75</v>
      </c>
    </row>
    <row r="578" spans="1:70">
      <c r="A578" t="s">
        <v>815</v>
      </c>
      <c r="B578">
        <v>420400</v>
      </c>
      <c r="C578" s="1">
        <v>21256</v>
      </c>
      <c r="D578" s="1">
        <v>24565</v>
      </c>
      <c r="E578" s="1">
        <v>20779</v>
      </c>
      <c r="F578" s="1">
        <v>23326</v>
      </c>
      <c r="G578" s="1">
        <v>20927</v>
      </c>
      <c r="H578" s="1">
        <v>24912</v>
      </c>
      <c r="I578" s="1">
        <v>23572</v>
      </c>
      <c r="J578" s="1">
        <v>22879</v>
      </c>
      <c r="K578" s="1">
        <v>23255</v>
      </c>
      <c r="L578" s="1">
        <v>21074</v>
      </c>
      <c r="M578" s="1">
        <v>22802</v>
      </c>
      <c r="N578" s="1">
        <v>21607</v>
      </c>
      <c r="O578" s="1">
        <v>23579</v>
      </c>
      <c r="P578" s="1">
        <v>23812</v>
      </c>
      <c r="Q578" s="1">
        <v>21388</v>
      </c>
      <c r="R578" s="1">
        <v>22435</v>
      </c>
      <c r="S578" s="1">
        <v>23184</v>
      </c>
      <c r="T578" s="1">
        <v>23249</v>
      </c>
      <c r="U578" s="1">
        <v>20754</v>
      </c>
      <c r="V578" s="1">
        <v>22382</v>
      </c>
      <c r="W578" s="1">
        <v>21150</v>
      </c>
      <c r="X578" s="1">
        <v>22573</v>
      </c>
      <c r="Y578" s="1">
        <v>21419</v>
      </c>
      <c r="Z578" s="1">
        <v>20625</v>
      </c>
      <c r="AA578" s="1">
        <v>23841</v>
      </c>
      <c r="AB578" s="1">
        <v>22032</v>
      </c>
      <c r="AC578" s="1">
        <v>20341</v>
      </c>
      <c r="AD578" s="1">
        <v>21421</v>
      </c>
      <c r="AE578" s="1">
        <v>22285</v>
      </c>
      <c r="AF578" s="1">
        <v>42340</v>
      </c>
      <c r="AG578" s="1">
        <v>22526</v>
      </c>
      <c r="AH578" s="1">
        <v>27120</v>
      </c>
      <c r="AI578" s="1">
        <v>26295</v>
      </c>
      <c r="AJ578" s="1">
        <v>22120</v>
      </c>
      <c r="AK578" s="1">
        <v>17777</v>
      </c>
      <c r="AL578" s="1">
        <v>16505</v>
      </c>
      <c r="AM578" s="1">
        <v>15016</v>
      </c>
      <c r="AN578" s="1">
        <v>16834</v>
      </c>
      <c r="AO578" s="1">
        <v>13395</v>
      </c>
      <c r="AP578" s="1">
        <v>20995</v>
      </c>
      <c r="AQ578" s="1">
        <v>21391</v>
      </c>
      <c r="AR578" s="1">
        <v>21787</v>
      </c>
      <c r="AS578" s="1">
        <v>22183</v>
      </c>
      <c r="AT578" s="1">
        <v>22579</v>
      </c>
      <c r="AU578" s="1">
        <v>22975</v>
      </c>
      <c r="AV578" s="1">
        <v>24428</v>
      </c>
      <c r="AW578" s="1">
        <v>23767</v>
      </c>
      <c r="AX578" s="1">
        <v>19491</v>
      </c>
      <c r="AY578" s="1"/>
      <c r="BA578" s="21">
        <f t="shared" si="519"/>
        <v>270954</v>
      </c>
      <c r="BB578" s="22">
        <f t="shared" si="520"/>
        <v>22579.5</v>
      </c>
      <c r="BD578" s="7">
        <f t="shared" si="521"/>
        <v>266550</v>
      </c>
      <c r="BE578" s="7">
        <f t="shared" si="522"/>
        <v>-4404</v>
      </c>
      <c r="BF578" s="8">
        <f t="shared" si="523"/>
        <v>-1.6253681436701473E-2</v>
      </c>
      <c r="BG578" s="7">
        <f t="shared" si="524"/>
        <v>22212.5</v>
      </c>
      <c r="BI578" s="12">
        <f t="shared" si="525"/>
        <v>284603</v>
      </c>
      <c r="BJ578" s="12">
        <f t="shared" si="526"/>
        <v>18053</v>
      </c>
      <c r="BK578" s="13">
        <f t="shared" si="527"/>
        <v>6.7728381166760387E-2</v>
      </c>
      <c r="BL578" s="24">
        <f t="shared" si="528"/>
        <v>25238.25</v>
      </c>
      <c r="BM578" s="24">
        <f t="shared" si="529"/>
        <v>20674.25</v>
      </c>
      <c r="BO578" s="17">
        <f t="shared" si="530"/>
        <v>244841</v>
      </c>
      <c r="BP578" s="17">
        <f t="shared" si="531"/>
        <v>-39762</v>
      </c>
      <c r="BQ578" s="18">
        <f t="shared" si="532"/>
        <v>-0.13971040361485998</v>
      </c>
      <c r="BR578" s="25">
        <f t="shared" si="533"/>
        <v>20403.416666666668</v>
      </c>
    </row>
    <row r="579" spans="1:70">
      <c r="A579" t="s">
        <v>816</v>
      </c>
      <c r="B579">
        <v>420405</v>
      </c>
      <c r="C579" s="1">
        <v>4199</v>
      </c>
      <c r="D579" s="1">
        <v>4454</v>
      </c>
      <c r="E579" s="1">
        <v>4437</v>
      </c>
      <c r="F579" s="1">
        <v>4869</v>
      </c>
      <c r="G579" s="1">
        <v>3478</v>
      </c>
      <c r="H579" s="1">
        <v>4570</v>
      </c>
      <c r="I579" s="1">
        <v>4552</v>
      </c>
      <c r="J579" s="1">
        <v>4783</v>
      </c>
      <c r="K579" s="1">
        <v>4843</v>
      </c>
      <c r="L579" s="1">
        <v>4436</v>
      </c>
      <c r="M579" s="1">
        <v>4713</v>
      </c>
      <c r="N579" s="1">
        <v>4505</v>
      </c>
      <c r="O579" s="1">
        <v>4675</v>
      </c>
      <c r="P579" s="1">
        <v>4686</v>
      </c>
      <c r="Q579" s="1">
        <v>4700</v>
      </c>
      <c r="R579" s="1">
        <v>4590</v>
      </c>
      <c r="S579" s="1">
        <v>4572</v>
      </c>
      <c r="T579" s="1">
        <v>5225</v>
      </c>
      <c r="U579" s="1">
        <v>4984</v>
      </c>
      <c r="V579" s="1">
        <v>5474</v>
      </c>
      <c r="W579" s="1">
        <v>5423</v>
      </c>
      <c r="X579" s="1">
        <v>5024</v>
      </c>
      <c r="Y579" s="1">
        <v>5480</v>
      </c>
      <c r="Z579" s="1">
        <v>5283</v>
      </c>
      <c r="AA579" s="1">
        <v>5066</v>
      </c>
      <c r="AB579" s="1">
        <v>5462</v>
      </c>
      <c r="AC579" s="1">
        <v>5261</v>
      </c>
      <c r="AD579" s="1">
        <v>5401</v>
      </c>
      <c r="AE579" s="1">
        <v>5489</v>
      </c>
      <c r="AF579" s="1">
        <v>5477</v>
      </c>
      <c r="AG579" s="1">
        <v>5242</v>
      </c>
      <c r="AH579" s="1">
        <v>5072</v>
      </c>
      <c r="AI579" s="1">
        <v>5138</v>
      </c>
      <c r="AJ579" s="1">
        <v>5492</v>
      </c>
      <c r="AK579" s="1">
        <v>5400</v>
      </c>
      <c r="AL579" s="1">
        <v>5400</v>
      </c>
      <c r="AM579" s="1">
        <v>3997</v>
      </c>
      <c r="AN579" s="1">
        <v>4987</v>
      </c>
      <c r="AO579" s="1">
        <v>4415</v>
      </c>
      <c r="AP579" s="1">
        <v>20995</v>
      </c>
      <c r="AQ579" s="1">
        <v>21391</v>
      </c>
      <c r="AR579" s="1">
        <v>21787</v>
      </c>
      <c r="AS579" s="1">
        <v>22183</v>
      </c>
      <c r="AT579" s="1">
        <v>22579</v>
      </c>
      <c r="AU579" s="1">
        <v>22975</v>
      </c>
      <c r="AV579" s="1">
        <v>24428</v>
      </c>
      <c r="AW579" s="1">
        <v>23767</v>
      </c>
      <c r="AX579" s="1">
        <v>5382</v>
      </c>
      <c r="AY579" s="1"/>
      <c r="BA579" s="21">
        <f t="shared" si="519"/>
        <v>53839</v>
      </c>
      <c r="BB579" s="22">
        <f t="shared" si="520"/>
        <v>4486.583333333333</v>
      </c>
      <c r="BD579" s="7">
        <f t="shared" si="521"/>
        <v>60116</v>
      </c>
      <c r="BE579" s="7">
        <f t="shared" si="522"/>
        <v>6277</v>
      </c>
      <c r="BF579" s="8">
        <f t="shared" si="523"/>
        <v>0.11658834673749507</v>
      </c>
      <c r="BG579" s="7">
        <f t="shared" si="524"/>
        <v>5009.666666666667</v>
      </c>
      <c r="BI579" s="12">
        <f t="shared" si="525"/>
        <v>63900</v>
      </c>
      <c r="BJ579" s="12">
        <f t="shared" si="526"/>
        <v>3784</v>
      </c>
      <c r="BK579" s="13">
        <f t="shared" si="527"/>
        <v>6.2944973052099229E-2</v>
      </c>
      <c r="BL579" s="24">
        <f t="shared" si="528"/>
        <v>5308.75</v>
      </c>
      <c r="BM579" s="24">
        <f t="shared" si="529"/>
        <v>5357.5</v>
      </c>
      <c r="BO579" s="17">
        <f t="shared" si="530"/>
        <v>198886</v>
      </c>
      <c r="BP579" s="17">
        <f t="shared" si="531"/>
        <v>134986</v>
      </c>
      <c r="BQ579" s="18">
        <f t="shared" si="532"/>
        <v>2.1124569640062596</v>
      </c>
      <c r="BR579" s="25">
        <f t="shared" si="533"/>
        <v>16573.833333333332</v>
      </c>
    </row>
    <row r="580" spans="1:70">
      <c r="A580" t="s">
        <v>817</v>
      </c>
      <c r="B580">
        <v>420410</v>
      </c>
      <c r="C580" s="1">
        <v>978</v>
      </c>
      <c r="D580" s="1">
        <v>907</v>
      </c>
      <c r="E580" s="1">
        <v>1055</v>
      </c>
      <c r="F580" s="1">
        <v>921</v>
      </c>
      <c r="G580" s="1">
        <v>909</v>
      </c>
      <c r="H580" s="1">
        <v>956</v>
      </c>
      <c r="I580" s="1">
        <v>921</v>
      </c>
      <c r="J580" s="1">
        <v>1051</v>
      </c>
      <c r="K580" s="1">
        <v>0</v>
      </c>
      <c r="L580" s="1">
        <v>1009</v>
      </c>
      <c r="M580" s="1">
        <v>388</v>
      </c>
      <c r="N580" s="1">
        <v>360</v>
      </c>
      <c r="O580" s="1">
        <v>353</v>
      </c>
      <c r="P580" s="1">
        <v>304</v>
      </c>
      <c r="Q580" s="1">
        <v>325</v>
      </c>
      <c r="R580" s="1">
        <v>346</v>
      </c>
      <c r="S580" s="1">
        <v>1028</v>
      </c>
      <c r="T580" s="1">
        <v>993</v>
      </c>
      <c r="U580" s="1">
        <v>979</v>
      </c>
      <c r="V580" s="1">
        <v>1000</v>
      </c>
      <c r="W580" s="1">
        <v>1032</v>
      </c>
      <c r="X580" s="1">
        <v>1011</v>
      </c>
      <c r="Y580" s="1">
        <v>1018</v>
      </c>
      <c r="Z580" s="1">
        <v>990</v>
      </c>
      <c r="AA580" s="1">
        <v>1143</v>
      </c>
      <c r="AB580" s="1">
        <v>1189</v>
      </c>
      <c r="AC580" s="1">
        <v>1246</v>
      </c>
      <c r="AD580" s="1">
        <v>1504</v>
      </c>
      <c r="AE580" s="1">
        <v>1501</v>
      </c>
      <c r="AF580" s="1">
        <v>1540</v>
      </c>
      <c r="AG580" s="1">
        <v>1631</v>
      </c>
      <c r="AH580" s="1">
        <v>1638</v>
      </c>
      <c r="AI580" s="1">
        <v>1875</v>
      </c>
      <c r="AJ580" s="1">
        <v>1627</v>
      </c>
      <c r="AK580" s="1">
        <v>1600</v>
      </c>
      <c r="AL580" s="1">
        <v>1600</v>
      </c>
      <c r="AM580" s="1">
        <v>1184</v>
      </c>
      <c r="AN580" s="1">
        <v>1478</v>
      </c>
      <c r="AO580" s="1">
        <v>1308</v>
      </c>
      <c r="AP580" s="1">
        <v>20995</v>
      </c>
      <c r="AQ580" s="1">
        <v>21391</v>
      </c>
      <c r="AR580" s="1">
        <v>21787</v>
      </c>
      <c r="AS580" s="1">
        <v>22183</v>
      </c>
      <c r="AT580" s="1">
        <v>22579</v>
      </c>
      <c r="AU580" s="1">
        <v>22975</v>
      </c>
      <c r="AV580" s="1">
        <v>24428</v>
      </c>
      <c r="AW580" s="1">
        <v>23767</v>
      </c>
      <c r="AX580" s="1">
        <v>1595</v>
      </c>
      <c r="AY580" s="1"/>
      <c r="BA580" s="21">
        <f t="shared" si="519"/>
        <v>9455</v>
      </c>
      <c r="BB580" s="22">
        <f t="shared" si="520"/>
        <v>787.91666666666663</v>
      </c>
      <c r="BD580" s="7">
        <f t="shared" si="521"/>
        <v>9379</v>
      </c>
      <c r="BE580" s="7">
        <f t="shared" si="522"/>
        <v>-76</v>
      </c>
      <c r="BF580" s="8">
        <f t="shared" si="523"/>
        <v>-8.0380750925436173E-3</v>
      </c>
      <c r="BG580" s="7">
        <f t="shared" si="524"/>
        <v>781.58333333333337</v>
      </c>
      <c r="BI580" s="12">
        <f t="shared" si="525"/>
        <v>18094</v>
      </c>
      <c r="BJ580" s="12">
        <f t="shared" si="526"/>
        <v>8715</v>
      </c>
      <c r="BK580" s="13">
        <f t="shared" si="527"/>
        <v>0.92920353982300874</v>
      </c>
      <c r="BL580" s="24">
        <f t="shared" si="528"/>
        <v>1424</v>
      </c>
      <c r="BM580" s="24">
        <f t="shared" si="529"/>
        <v>1675.5</v>
      </c>
      <c r="BO580" s="17">
        <f t="shared" si="530"/>
        <v>185670</v>
      </c>
      <c r="BP580" s="17">
        <f t="shared" si="531"/>
        <v>167576</v>
      </c>
      <c r="BQ580" s="18">
        <f t="shared" si="532"/>
        <v>9.2614126229689404</v>
      </c>
      <c r="BR580" s="25">
        <f t="shared" si="533"/>
        <v>15472.5</v>
      </c>
    </row>
    <row r="581" spans="1:70">
      <c r="A581" t="s">
        <v>818</v>
      </c>
      <c r="B581">
        <v>420415</v>
      </c>
      <c r="C581" s="1">
        <v>-13438</v>
      </c>
      <c r="D581" s="1">
        <v>-14973</v>
      </c>
      <c r="E581" s="1">
        <v>-16669</v>
      </c>
      <c r="F581" s="1">
        <v>-17114</v>
      </c>
      <c r="G581" s="1">
        <v>-17720</v>
      </c>
      <c r="H581" s="1">
        <v>-20771</v>
      </c>
      <c r="I581" s="1">
        <v>-21032</v>
      </c>
      <c r="J581" s="1">
        <v>-20392</v>
      </c>
      <c r="K581" s="1">
        <v>-17246</v>
      </c>
      <c r="L581" s="1">
        <v>-16430</v>
      </c>
      <c r="M581" s="1">
        <v>-15639</v>
      </c>
      <c r="N581" s="1">
        <v>-17953</v>
      </c>
      <c r="O581" s="1">
        <v>-20385</v>
      </c>
      <c r="P581" s="1">
        <v>-15732</v>
      </c>
      <c r="Q581" s="1">
        <v>-17662</v>
      </c>
      <c r="R581" s="1">
        <v>-21985</v>
      </c>
      <c r="S581" s="1">
        <v>-18539</v>
      </c>
      <c r="T581" s="1">
        <v>-18645</v>
      </c>
      <c r="U581" s="1">
        <v>-14336</v>
      </c>
      <c r="V581" s="1">
        <v>-16184</v>
      </c>
      <c r="W581" s="1">
        <v>-16388</v>
      </c>
      <c r="X581" s="1">
        <v>-12362</v>
      </c>
      <c r="Y581" s="1">
        <v>-12282</v>
      </c>
      <c r="Z581" s="1">
        <v>-12891</v>
      </c>
      <c r="AA581" s="1">
        <v>-9379</v>
      </c>
      <c r="AB581" s="1">
        <v>-12970</v>
      </c>
      <c r="AC581" s="1">
        <v>-13210</v>
      </c>
      <c r="AD581" s="1">
        <v>-11388</v>
      </c>
      <c r="AE581" s="1">
        <v>-11885</v>
      </c>
      <c r="AF581" s="1">
        <v>-10629</v>
      </c>
      <c r="AG581" s="1">
        <v>-12069</v>
      </c>
      <c r="AH581" s="1">
        <v>-10044</v>
      </c>
      <c r="AI581" s="1">
        <v>-9499</v>
      </c>
      <c r="AJ581" s="1">
        <v>-10170</v>
      </c>
      <c r="AK581" s="1">
        <v>-10000</v>
      </c>
      <c r="AL581" s="1">
        <v>-10000</v>
      </c>
      <c r="AM581" s="1">
        <v>-7402</v>
      </c>
      <c r="AN581" s="1">
        <v>-11082</v>
      </c>
      <c r="AO581" s="1">
        <v>-9812</v>
      </c>
      <c r="AP581" s="1">
        <v>20995</v>
      </c>
      <c r="AQ581" s="1">
        <v>21391</v>
      </c>
      <c r="AR581" s="1">
        <v>21787</v>
      </c>
      <c r="AS581" s="1">
        <v>22183</v>
      </c>
      <c r="AT581" s="1">
        <v>22579</v>
      </c>
      <c r="AU581" s="1">
        <v>22975</v>
      </c>
      <c r="AV581" s="1">
        <v>24428</v>
      </c>
      <c r="AW581" s="1">
        <v>23767</v>
      </c>
      <c r="AX581" s="1">
        <v>-10167</v>
      </c>
      <c r="AY581" s="1"/>
      <c r="BA581" s="21">
        <f t="shared" si="519"/>
        <v>-209377</v>
      </c>
      <c r="BB581" s="22">
        <f t="shared" si="520"/>
        <v>-17448.083333333332</v>
      </c>
      <c r="BD581" s="7">
        <f t="shared" si="521"/>
        <v>-197391</v>
      </c>
      <c r="BE581" s="7">
        <f t="shared" si="522"/>
        <v>11986</v>
      </c>
      <c r="BF581" s="8">
        <f t="shared" si="523"/>
        <v>-5.7246020336522152E-2</v>
      </c>
      <c r="BG581" s="7">
        <f t="shared" si="524"/>
        <v>-16449.25</v>
      </c>
      <c r="BI581" s="12">
        <f t="shared" si="525"/>
        <v>-131243</v>
      </c>
      <c r="BJ581" s="12">
        <f t="shared" si="526"/>
        <v>66148</v>
      </c>
      <c r="BK581" s="13">
        <f t="shared" si="527"/>
        <v>-0.33511152990764526</v>
      </c>
      <c r="BL581" s="24">
        <f t="shared" si="528"/>
        <v>-11446.75</v>
      </c>
      <c r="BM581" s="24">
        <f t="shared" si="529"/>
        <v>-9917.25</v>
      </c>
      <c r="BO581" s="17">
        <f t="shared" si="530"/>
        <v>141642</v>
      </c>
      <c r="BP581" s="17">
        <f t="shared" si="531"/>
        <v>272885</v>
      </c>
      <c r="BQ581" s="18">
        <f t="shared" si="532"/>
        <v>-2.0792347020412518</v>
      </c>
      <c r="BR581" s="25">
        <f t="shared" si="533"/>
        <v>11803.5</v>
      </c>
    </row>
    <row r="582" spans="1:70">
      <c r="A582" t="s">
        <v>819</v>
      </c>
      <c r="B582">
        <v>420445</v>
      </c>
      <c r="C582" s="1">
        <v>20471</v>
      </c>
      <c r="D582" s="1">
        <v>14166</v>
      </c>
      <c r="E582" s="1">
        <v>13915</v>
      </c>
      <c r="F582" s="1">
        <v>15406</v>
      </c>
      <c r="G582" s="1">
        <v>15548</v>
      </c>
      <c r="H582" s="1">
        <v>16784</v>
      </c>
      <c r="I582" s="1">
        <v>16503</v>
      </c>
      <c r="J582" s="1">
        <v>15896</v>
      </c>
      <c r="K582" s="1">
        <v>18837</v>
      </c>
      <c r="L582" s="1">
        <v>15292</v>
      </c>
      <c r="M582" s="1">
        <v>16860</v>
      </c>
      <c r="N582" s="1">
        <v>16780</v>
      </c>
      <c r="O582" s="1">
        <v>14655</v>
      </c>
      <c r="P582" s="1">
        <v>19199</v>
      </c>
      <c r="Q582" s="1">
        <v>1268</v>
      </c>
      <c r="R582" s="1">
        <v>9616</v>
      </c>
      <c r="S582" s="1">
        <v>12081</v>
      </c>
      <c r="T582" s="1">
        <v>11542</v>
      </c>
      <c r="U582" s="1">
        <v>10957</v>
      </c>
      <c r="V582" s="1">
        <v>12930</v>
      </c>
      <c r="W582" s="1">
        <v>12539</v>
      </c>
      <c r="X582" s="1">
        <v>11242</v>
      </c>
      <c r="Y582" s="1">
        <v>12062</v>
      </c>
      <c r="Z582" s="1">
        <v>11155</v>
      </c>
      <c r="AA582" s="1">
        <v>16564</v>
      </c>
      <c r="AB582" s="1">
        <v>13661</v>
      </c>
      <c r="AC582" s="1">
        <v>12232</v>
      </c>
      <c r="AD582" s="1">
        <v>13520</v>
      </c>
      <c r="AE582" s="1">
        <v>14384</v>
      </c>
      <c r="AF582" s="1">
        <v>805</v>
      </c>
      <c r="AG582" s="1">
        <v>30095</v>
      </c>
      <c r="AH582" s="1">
        <v>16374</v>
      </c>
      <c r="AI582" s="1">
        <v>17075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20995</v>
      </c>
      <c r="AQ582" s="1">
        <v>21391</v>
      </c>
      <c r="AR582" s="1">
        <v>21787</v>
      </c>
      <c r="AS582" s="1">
        <v>22183</v>
      </c>
      <c r="AT582" s="1">
        <v>22579</v>
      </c>
      <c r="AU582" s="1">
        <v>22975</v>
      </c>
      <c r="AV582" s="1">
        <v>24428</v>
      </c>
      <c r="AW582" s="1">
        <v>23767</v>
      </c>
      <c r="AX582" s="1">
        <v>0</v>
      </c>
      <c r="AY582" s="1"/>
      <c r="BA582" s="21">
        <f t="shared" ref="BA582:BA591" si="534">SUM(C582:N582)</f>
        <v>196458</v>
      </c>
      <c r="BB582" s="22">
        <f t="shared" ref="BB582:BB591" si="535">+BA582/12</f>
        <v>16371.5</v>
      </c>
      <c r="BD582" s="7">
        <f t="shared" ref="BD582:BD591" si="536">SUM(O582:Z582)</f>
        <v>139246</v>
      </c>
      <c r="BE582" s="7">
        <f t="shared" ref="BE582:BE591" si="537">+BD582-BA582</f>
        <v>-57212</v>
      </c>
      <c r="BF582" s="8">
        <f t="shared" ref="BF582:BF591" si="538">(BD582/BA582)-1</f>
        <v>-0.29121746123853443</v>
      </c>
      <c r="BG582" s="7">
        <f t="shared" ref="BG582:BG591" si="539">BD582/12</f>
        <v>11603.833333333334</v>
      </c>
      <c r="BI582" s="12">
        <f t="shared" ref="BI582:BI591" si="540">+SUM(AA582:AL582)</f>
        <v>134710</v>
      </c>
      <c r="BJ582" s="12">
        <f t="shared" ref="BJ582:BJ591" si="541">+BI582-BD582</f>
        <v>-4536</v>
      </c>
      <c r="BK582" s="13">
        <f t="shared" ref="BK582:BK591" si="542">(BI582/BD582)-1</f>
        <v>-3.2575442023469292E-2</v>
      </c>
      <c r="BL582" s="24">
        <f t="shared" ref="BL582:BL591" si="543">SUM(AA582:AH582)/8</f>
        <v>14704.375</v>
      </c>
      <c r="BM582" s="24">
        <f t="shared" ref="BM582:BM591" si="544">SUM(AI582:AL582)/4</f>
        <v>4268.75</v>
      </c>
      <c r="BO582" s="17">
        <f t="shared" ref="BO582:BO591" si="545">+SUM(AM582:AX582)</f>
        <v>180105</v>
      </c>
      <c r="BP582" s="17">
        <f t="shared" ref="BP582:BP591" si="546">+BO582-BI582</f>
        <v>45395</v>
      </c>
      <c r="BQ582" s="18">
        <f t="shared" ref="BQ582:BQ591" si="547">(BO582/BI582)-1</f>
        <v>0.33698314898671211</v>
      </c>
      <c r="BR582" s="25">
        <f t="shared" ref="BR582:BR591" si="548">BO582/12</f>
        <v>15008.75</v>
      </c>
    </row>
    <row r="583" spans="1:70">
      <c r="A583" t="s">
        <v>820</v>
      </c>
      <c r="B583">
        <v>420450</v>
      </c>
      <c r="C583" s="1">
        <v>3247</v>
      </c>
      <c r="D583" s="1">
        <v>3621</v>
      </c>
      <c r="E583" s="1">
        <v>454</v>
      </c>
      <c r="F583" s="1">
        <v>4580</v>
      </c>
      <c r="G583" s="1">
        <v>3653</v>
      </c>
      <c r="H583" s="1">
        <v>9783</v>
      </c>
      <c r="I583" s="1">
        <v>7355</v>
      </c>
      <c r="J583" s="1">
        <v>1450</v>
      </c>
      <c r="K583" s="1">
        <v>3495</v>
      </c>
      <c r="L583" s="1">
        <v>3563</v>
      </c>
      <c r="M583" s="1">
        <v>3822</v>
      </c>
      <c r="N583" s="1">
        <v>3514</v>
      </c>
      <c r="O583" s="1">
        <v>3525</v>
      </c>
      <c r="P583" s="1">
        <v>3514</v>
      </c>
      <c r="Q583" s="1">
        <v>4234</v>
      </c>
      <c r="R583" s="1">
        <v>4234</v>
      </c>
      <c r="S583" s="1">
        <v>4234</v>
      </c>
      <c r="T583" s="1">
        <v>5567</v>
      </c>
      <c r="U583" s="1">
        <v>-7404</v>
      </c>
      <c r="V583" s="1">
        <v>2063</v>
      </c>
      <c r="W583" s="1">
        <v>2256</v>
      </c>
      <c r="X583" s="1">
        <v>2278</v>
      </c>
      <c r="Y583" s="1">
        <v>3064</v>
      </c>
      <c r="Z583" s="1">
        <v>10808</v>
      </c>
      <c r="AA583" s="1">
        <v>2301</v>
      </c>
      <c r="AB583" s="1">
        <v>2289</v>
      </c>
      <c r="AC583" s="1">
        <v>1971</v>
      </c>
      <c r="AD583" s="1">
        <v>1971</v>
      </c>
      <c r="AE583" s="1">
        <v>1971</v>
      </c>
      <c r="AF583" s="1">
        <v>2029</v>
      </c>
      <c r="AG583" s="1">
        <v>3393</v>
      </c>
      <c r="AH583" s="1">
        <v>604</v>
      </c>
      <c r="AI583" s="1">
        <v>2447</v>
      </c>
      <c r="AJ583" s="1">
        <v>2329</v>
      </c>
      <c r="AK583" s="1">
        <v>2371</v>
      </c>
      <c r="AL583" s="1">
        <v>2290</v>
      </c>
      <c r="AM583" s="1">
        <v>1628</v>
      </c>
      <c r="AN583" s="1">
        <v>2032</v>
      </c>
      <c r="AO583" s="1">
        <v>1799</v>
      </c>
      <c r="AP583" s="1">
        <v>20995</v>
      </c>
      <c r="AQ583" s="1">
        <v>21391</v>
      </c>
      <c r="AR583" s="1">
        <v>21787</v>
      </c>
      <c r="AS583" s="1">
        <v>22183</v>
      </c>
      <c r="AT583" s="1">
        <v>22579</v>
      </c>
      <c r="AU583" s="1">
        <v>22975</v>
      </c>
      <c r="AV583" s="1">
        <v>24428</v>
      </c>
      <c r="AW583" s="1">
        <v>23767</v>
      </c>
      <c r="AX583" s="1">
        <v>2193</v>
      </c>
      <c r="AY583" s="1"/>
      <c r="BA583" s="21">
        <f t="shared" si="534"/>
        <v>48537</v>
      </c>
      <c r="BB583" s="22">
        <f t="shared" si="535"/>
        <v>4044.75</v>
      </c>
      <c r="BD583" s="7">
        <f t="shared" si="536"/>
        <v>38373</v>
      </c>
      <c r="BE583" s="7">
        <f t="shared" si="537"/>
        <v>-10164</v>
      </c>
      <c r="BF583" s="8">
        <f t="shared" si="538"/>
        <v>-0.20940725631992085</v>
      </c>
      <c r="BG583" s="7">
        <f t="shared" si="539"/>
        <v>3197.75</v>
      </c>
      <c r="BI583" s="12">
        <f t="shared" si="540"/>
        <v>25966</v>
      </c>
      <c r="BJ583" s="12">
        <f t="shared" si="541"/>
        <v>-12407</v>
      </c>
      <c r="BK583" s="13">
        <f t="shared" si="542"/>
        <v>-0.32332629713600713</v>
      </c>
      <c r="BL583" s="24">
        <f t="shared" si="543"/>
        <v>2066.125</v>
      </c>
      <c r="BM583" s="24">
        <f t="shared" si="544"/>
        <v>2359.25</v>
      </c>
      <c r="BO583" s="17">
        <f t="shared" si="545"/>
        <v>187757</v>
      </c>
      <c r="BP583" s="17">
        <f t="shared" si="546"/>
        <v>161791</v>
      </c>
      <c r="BQ583" s="18">
        <f t="shared" si="547"/>
        <v>6.2308788415620429</v>
      </c>
      <c r="BR583" s="25">
        <f t="shared" si="548"/>
        <v>15646.416666666666</v>
      </c>
    </row>
    <row r="584" spans="1:70">
      <c r="A584" t="s">
        <v>821</v>
      </c>
      <c r="B584">
        <v>420455</v>
      </c>
      <c r="C584" s="1">
        <v>0</v>
      </c>
      <c r="D584" s="1">
        <v>0</v>
      </c>
      <c r="E584" s="1">
        <v>3854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-961</v>
      </c>
      <c r="O584" s="1">
        <v>0</v>
      </c>
      <c r="P584" s="1">
        <v>0</v>
      </c>
      <c r="Q584" s="1">
        <v>0</v>
      </c>
      <c r="R584" s="1">
        <v>4304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4730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20995</v>
      </c>
      <c r="AQ584" s="1">
        <v>21391</v>
      </c>
      <c r="AR584" s="1">
        <v>21787</v>
      </c>
      <c r="AS584" s="1">
        <v>22183</v>
      </c>
      <c r="AT584" s="1">
        <v>22579</v>
      </c>
      <c r="AU584" s="1">
        <v>22975</v>
      </c>
      <c r="AV584" s="1">
        <v>24428</v>
      </c>
      <c r="AW584" s="1">
        <v>23767</v>
      </c>
      <c r="AX584" s="1">
        <v>0</v>
      </c>
      <c r="AY584" s="1"/>
      <c r="BA584" s="21">
        <f t="shared" si="534"/>
        <v>2893</v>
      </c>
      <c r="BB584" s="22">
        <f t="shared" si="535"/>
        <v>241.08333333333334</v>
      </c>
      <c r="BD584" s="7">
        <f t="shared" si="536"/>
        <v>4304</v>
      </c>
      <c r="BE584" s="7">
        <f t="shared" si="537"/>
        <v>1411</v>
      </c>
      <c r="BF584" s="8">
        <f t="shared" si="538"/>
        <v>0.48772900103698591</v>
      </c>
      <c r="BG584" s="7">
        <f t="shared" si="539"/>
        <v>358.66666666666669</v>
      </c>
      <c r="BI584" s="12">
        <f t="shared" si="540"/>
        <v>4730</v>
      </c>
      <c r="BJ584" s="12">
        <f t="shared" si="541"/>
        <v>426</v>
      </c>
      <c r="BK584" s="13">
        <f t="shared" si="542"/>
        <v>9.8977695167286273E-2</v>
      </c>
      <c r="BL584" s="24">
        <f t="shared" si="543"/>
        <v>591.25</v>
      </c>
      <c r="BM584" s="24">
        <f t="shared" si="544"/>
        <v>0</v>
      </c>
      <c r="BO584" s="17">
        <f t="shared" si="545"/>
        <v>180105</v>
      </c>
      <c r="BP584" s="17">
        <f t="shared" si="546"/>
        <v>175375</v>
      </c>
      <c r="BQ584" s="18">
        <f t="shared" si="547"/>
        <v>37.077167019027485</v>
      </c>
      <c r="BR584" s="25">
        <f t="shared" si="548"/>
        <v>15008.75</v>
      </c>
    </row>
    <row r="585" spans="1:70">
      <c r="A585" t="s">
        <v>822</v>
      </c>
      <c r="B585">
        <v>420500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20995</v>
      </c>
      <c r="AQ585" s="1">
        <v>21391</v>
      </c>
      <c r="AR585" s="1">
        <v>21787</v>
      </c>
      <c r="AS585" s="1">
        <v>22183</v>
      </c>
      <c r="AT585" s="1">
        <v>22579</v>
      </c>
      <c r="AU585" s="1">
        <v>22975</v>
      </c>
      <c r="AV585" s="1">
        <v>24428</v>
      </c>
      <c r="AW585" s="1">
        <v>23767</v>
      </c>
      <c r="AX585" s="1">
        <v>0</v>
      </c>
      <c r="AY585" s="1"/>
      <c r="BA585" s="21">
        <f t="shared" si="534"/>
        <v>0</v>
      </c>
      <c r="BB585" s="22">
        <f t="shared" si="535"/>
        <v>0</v>
      </c>
      <c r="BD585" s="7">
        <f t="shared" si="536"/>
        <v>0</v>
      </c>
      <c r="BE585" s="7">
        <f t="shared" si="537"/>
        <v>0</v>
      </c>
      <c r="BF585" s="8" t="e">
        <f t="shared" si="538"/>
        <v>#DIV/0!</v>
      </c>
      <c r="BG585" s="7">
        <f t="shared" si="539"/>
        <v>0</v>
      </c>
      <c r="BI585" s="12">
        <f t="shared" si="540"/>
        <v>0</v>
      </c>
      <c r="BJ585" s="12">
        <f t="shared" si="541"/>
        <v>0</v>
      </c>
      <c r="BK585" s="13" t="e">
        <f t="shared" si="542"/>
        <v>#DIV/0!</v>
      </c>
      <c r="BL585" s="24">
        <f t="shared" si="543"/>
        <v>0</v>
      </c>
      <c r="BM585" s="24">
        <f t="shared" si="544"/>
        <v>0</v>
      </c>
      <c r="BO585" s="17">
        <f t="shared" si="545"/>
        <v>180105</v>
      </c>
      <c r="BP585" s="17">
        <f t="shared" si="546"/>
        <v>180105</v>
      </c>
      <c r="BQ585" s="18" t="e">
        <f t="shared" si="547"/>
        <v>#DIV/0!</v>
      </c>
      <c r="BR585" s="25">
        <f t="shared" si="548"/>
        <v>15008.75</v>
      </c>
    </row>
    <row r="586" spans="1:70">
      <c r="A586" t="s">
        <v>823</v>
      </c>
      <c r="B586">
        <v>420504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20995</v>
      </c>
      <c r="AQ586" s="1">
        <v>21391</v>
      </c>
      <c r="AR586" s="1">
        <v>21787</v>
      </c>
      <c r="AS586" s="1">
        <v>22183</v>
      </c>
      <c r="AT586" s="1">
        <v>22579</v>
      </c>
      <c r="AU586" s="1">
        <v>22975</v>
      </c>
      <c r="AV586" s="1">
        <v>24428</v>
      </c>
      <c r="AW586" s="1">
        <v>23767</v>
      </c>
      <c r="AX586" s="1">
        <v>0</v>
      </c>
      <c r="AY586" s="1"/>
      <c r="BA586" s="21">
        <f t="shared" si="534"/>
        <v>0</v>
      </c>
      <c r="BB586" s="22">
        <f t="shared" si="535"/>
        <v>0</v>
      </c>
      <c r="BD586" s="7">
        <f t="shared" si="536"/>
        <v>0</v>
      </c>
      <c r="BE586" s="7">
        <f t="shared" si="537"/>
        <v>0</v>
      </c>
      <c r="BF586" s="8" t="e">
        <f t="shared" si="538"/>
        <v>#DIV/0!</v>
      </c>
      <c r="BG586" s="7">
        <f t="shared" si="539"/>
        <v>0</v>
      </c>
      <c r="BI586" s="12">
        <f t="shared" si="540"/>
        <v>0</v>
      </c>
      <c r="BJ586" s="12">
        <f t="shared" si="541"/>
        <v>0</v>
      </c>
      <c r="BK586" s="13" t="e">
        <f t="shared" si="542"/>
        <v>#DIV/0!</v>
      </c>
      <c r="BL586" s="24">
        <f t="shared" si="543"/>
        <v>0</v>
      </c>
      <c r="BM586" s="24">
        <f t="shared" si="544"/>
        <v>0</v>
      </c>
      <c r="BO586" s="17">
        <f t="shared" si="545"/>
        <v>180105</v>
      </c>
      <c r="BP586" s="17">
        <f t="shared" si="546"/>
        <v>180105</v>
      </c>
      <c r="BQ586" s="18" t="e">
        <f t="shared" si="547"/>
        <v>#DIV/0!</v>
      </c>
      <c r="BR586" s="25">
        <f t="shared" si="548"/>
        <v>15008.75</v>
      </c>
    </row>
    <row r="587" spans="1:70">
      <c r="A587" t="s">
        <v>824</v>
      </c>
      <c r="B587">
        <v>420505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20995</v>
      </c>
      <c r="AQ587" s="1">
        <v>21391</v>
      </c>
      <c r="AR587" s="1">
        <v>21787</v>
      </c>
      <c r="AS587" s="1">
        <v>22183</v>
      </c>
      <c r="AT587" s="1">
        <v>22579</v>
      </c>
      <c r="AU587" s="1">
        <v>22975</v>
      </c>
      <c r="AV587" s="1">
        <v>24428</v>
      </c>
      <c r="AW587" s="1">
        <v>23767</v>
      </c>
      <c r="AX587" s="1">
        <v>0</v>
      </c>
      <c r="AY587" s="1"/>
      <c r="BA587" s="21">
        <f t="shared" si="534"/>
        <v>0</v>
      </c>
      <c r="BB587" s="22">
        <f t="shared" si="535"/>
        <v>0</v>
      </c>
      <c r="BD587" s="7">
        <f t="shared" si="536"/>
        <v>0</v>
      </c>
      <c r="BE587" s="7">
        <f t="shared" si="537"/>
        <v>0</v>
      </c>
      <c r="BF587" s="8" t="e">
        <f t="shared" si="538"/>
        <v>#DIV/0!</v>
      </c>
      <c r="BG587" s="7">
        <f t="shared" si="539"/>
        <v>0</v>
      </c>
      <c r="BI587" s="12">
        <f t="shared" si="540"/>
        <v>0</v>
      </c>
      <c r="BJ587" s="12">
        <f t="shared" si="541"/>
        <v>0</v>
      </c>
      <c r="BK587" s="13" t="e">
        <f t="shared" si="542"/>
        <v>#DIV/0!</v>
      </c>
      <c r="BL587" s="24">
        <f t="shared" si="543"/>
        <v>0</v>
      </c>
      <c r="BM587" s="24">
        <f t="shared" si="544"/>
        <v>0</v>
      </c>
      <c r="BO587" s="17">
        <f t="shared" si="545"/>
        <v>180105</v>
      </c>
      <c r="BP587" s="17">
        <f t="shared" si="546"/>
        <v>180105</v>
      </c>
      <c r="BQ587" s="18" t="e">
        <f t="shared" si="547"/>
        <v>#DIV/0!</v>
      </c>
      <c r="BR587" s="25">
        <f t="shared" si="548"/>
        <v>15008.75</v>
      </c>
    </row>
    <row r="588" spans="1:70">
      <c r="A588" t="s">
        <v>825</v>
      </c>
      <c r="B588">
        <v>420506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20995</v>
      </c>
      <c r="AQ588" s="1">
        <v>21391</v>
      </c>
      <c r="AR588" s="1">
        <v>21787</v>
      </c>
      <c r="AS588" s="1">
        <v>22183</v>
      </c>
      <c r="AT588" s="1">
        <v>22579</v>
      </c>
      <c r="AU588" s="1">
        <v>22975</v>
      </c>
      <c r="AV588" s="1">
        <v>24428</v>
      </c>
      <c r="AW588" s="1">
        <v>23767</v>
      </c>
      <c r="AX588" s="1">
        <v>0</v>
      </c>
      <c r="AY588" s="1"/>
      <c r="BA588" s="21">
        <f t="shared" si="534"/>
        <v>0</v>
      </c>
      <c r="BB588" s="22">
        <f t="shared" si="535"/>
        <v>0</v>
      </c>
      <c r="BD588" s="7">
        <f t="shared" si="536"/>
        <v>0</v>
      </c>
      <c r="BE588" s="7">
        <f t="shared" si="537"/>
        <v>0</v>
      </c>
      <c r="BF588" s="8" t="e">
        <f t="shared" si="538"/>
        <v>#DIV/0!</v>
      </c>
      <c r="BG588" s="7">
        <f t="shared" si="539"/>
        <v>0</v>
      </c>
      <c r="BI588" s="12">
        <f t="shared" si="540"/>
        <v>0</v>
      </c>
      <c r="BJ588" s="12">
        <f t="shared" si="541"/>
        <v>0</v>
      </c>
      <c r="BK588" s="13" t="e">
        <f t="shared" si="542"/>
        <v>#DIV/0!</v>
      </c>
      <c r="BL588" s="24">
        <f t="shared" si="543"/>
        <v>0</v>
      </c>
      <c r="BM588" s="24">
        <f t="shared" si="544"/>
        <v>0</v>
      </c>
      <c r="BO588" s="17">
        <f t="shared" si="545"/>
        <v>180105</v>
      </c>
      <c r="BP588" s="17">
        <f t="shared" si="546"/>
        <v>180105</v>
      </c>
      <c r="BQ588" s="18" t="e">
        <f t="shared" si="547"/>
        <v>#DIV/0!</v>
      </c>
      <c r="BR588" s="25">
        <f t="shared" si="548"/>
        <v>15008.75</v>
      </c>
    </row>
    <row r="589" spans="1:70">
      <c r="A589" t="s">
        <v>826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20995</v>
      </c>
      <c r="AQ589" s="1">
        <v>21391</v>
      </c>
      <c r="AR589" s="1">
        <v>21787</v>
      </c>
      <c r="AS589" s="1">
        <v>22183</v>
      </c>
      <c r="AT589" s="1">
        <v>22579</v>
      </c>
      <c r="AU589" s="1">
        <v>22975</v>
      </c>
      <c r="AV589" s="1">
        <v>24428</v>
      </c>
      <c r="AW589" s="1">
        <v>23767</v>
      </c>
      <c r="AX589" s="1">
        <v>0</v>
      </c>
      <c r="AY589" s="1"/>
      <c r="BA589" s="21">
        <f t="shared" si="534"/>
        <v>0</v>
      </c>
      <c r="BB589" s="22">
        <f t="shared" si="535"/>
        <v>0</v>
      </c>
      <c r="BD589" s="7">
        <f t="shared" si="536"/>
        <v>0</v>
      </c>
      <c r="BE589" s="7">
        <f t="shared" si="537"/>
        <v>0</v>
      </c>
      <c r="BF589" s="8" t="e">
        <f t="shared" si="538"/>
        <v>#DIV/0!</v>
      </c>
      <c r="BG589" s="7">
        <f t="shared" si="539"/>
        <v>0</v>
      </c>
      <c r="BI589" s="12">
        <f t="shared" si="540"/>
        <v>0</v>
      </c>
      <c r="BJ589" s="12">
        <f t="shared" si="541"/>
        <v>0</v>
      </c>
      <c r="BK589" s="13" t="e">
        <f t="shared" si="542"/>
        <v>#DIV/0!</v>
      </c>
      <c r="BL589" s="24">
        <f t="shared" si="543"/>
        <v>0</v>
      </c>
      <c r="BM589" s="24">
        <f t="shared" si="544"/>
        <v>0</v>
      </c>
      <c r="BO589" s="17">
        <f t="shared" si="545"/>
        <v>180105</v>
      </c>
      <c r="BP589" s="17">
        <f t="shared" si="546"/>
        <v>180105</v>
      </c>
      <c r="BQ589" s="18" t="e">
        <f t="shared" si="547"/>
        <v>#DIV/0!</v>
      </c>
      <c r="BR589" s="25">
        <f t="shared" si="548"/>
        <v>15008.75</v>
      </c>
    </row>
    <row r="590" spans="1:70">
      <c r="A590" t="s">
        <v>827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20995</v>
      </c>
      <c r="AQ590" s="1">
        <v>21391</v>
      </c>
      <c r="AR590" s="1">
        <v>21787</v>
      </c>
      <c r="AS590" s="1">
        <v>22183</v>
      </c>
      <c r="AT590" s="1">
        <v>22579</v>
      </c>
      <c r="AU590" s="1">
        <v>22975</v>
      </c>
      <c r="AV590" s="1">
        <v>24428</v>
      </c>
      <c r="AW590" s="1">
        <v>23767</v>
      </c>
      <c r="AX590" s="1">
        <v>0</v>
      </c>
      <c r="AY590" s="1"/>
      <c r="BA590" s="21">
        <f t="shared" si="534"/>
        <v>0</v>
      </c>
      <c r="BB590" s="22">
        <f t="shared" si="535"/>
        <v>0</v>
      </c>
      <c r="BD590" s="7">
        <f t="shared" si="536"/>
        <v>0</v>
      </c>
      <c r="BE590" s="7">
        <f t="shared" si="537"/>
        <v>0</v>
      </c>
      <c r="BF590" s="8" t="e">
        <f t="shared" si="538"/>
        <v>#DIV/0!</v>
      </c>
      <c r="BG590" s="7">
        <f t="shared" si="539"/>
        <v>0</v>
      </c>
      <c r="BI590" s="12">
        <f t="shared" si="540"/>
        <v>0</v>
      </c>
      <c r="BJ590" s="12">
        <f t="shared" si="541"/>
        <v>0</v>
      </c>
      <c r="BK590" s="13" t="e">
        <f t="shared" si="542"/>
        <v>#DIV/0!</v>
      </c>
      <c r="BL590" s="24">
        <f t="shared" si="543"/>
        <v>0</v>
      </c>
      <c r="BM590" s="24">
        <f t="shared" si="544"/>
        <v>0</v>
      </c>
      <c r="BO590" s="17">
        <f t="shared" si="545"/>
        <v>180105</v>
      </c>
      <c r="BP590" s="17">
        <f t="shared" si="546"/>
        <v>180105</v>
      </c>
      <c r="BQ590" s="18" t="e">
        <f t="shared" si="547"/>
        <v>#DIV/0!</v>
      </c>
      <c r="BR590" s="25">
        <f t="shared" si="548"/>
        <v>15008.75</v>
      </c>
    </row>
    <row r="591" spans="1:70">
      <c r="A591" t="s">
        <v>828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20995</v>
      </c>
      <c r="AQ591" s="1">
        <v>21391</v>
      </c>
      <c r="AR591" s="1">
        <v>21787</v>
      </c>
      <c r="AS591" s="1">
        <v>22183</v>
      </c>
      <c r="AT591" s="1">
        <v>22579</v>
      </c>
      <c r="AU591" s="1">
        <v>22975</v>
      </c>
      <c r="AV591" s="1">
        <v>24428</v>
      </c>
      <c r="AW591" s="1">
        <v>23767</v>
      </c>
      <c r="AX591" s="1">
        <v>0</v>
      </c>
      <c r="AY591" s="1"/>
      <c r="BA591" s="21">
        <f t="shared" si="534"/>
        <v>0</v>
      </c>
      <c r="BB591" s="22">
        <f t="shared" si="535"/>
        <v>0</v>
      </c>
      <c r="BD591" s="7">
        <f t="shared" si="536"/>
        <v>0</v>
      </c>
      <c r="BE591" s="7">
        <f t="shared" si="537"/>
        <v>0</v>
      </c>
      <c r="BF591" s="8" t="e">
        <f t="shared" si="538"/>
        <v>#DIV/0!</v>
      </c>
      <c r="BG591" s="7">
        <f t="shared" si="539"/>
        <v>0</v>
      </c>
      <c r="BI591" s="12">
        <f t="shared" si="540"/>
        <v>0</v>
      </c>
      <c r="BJ591" s="12">
        <f t="shared" si="541"/>
        <v>0</v>
      </c>
      <c r="BK591" s="13" t="e">
        <f t="shared" si="542"/>
        <v>#DIV/0!</v>
      </c>
      <c r="BL591" s="24">
        <f t="shared" si="543"/>
        <v>0</v>
      </c>
      <c r="BM591" s="24">
        <f t="shared" si="544"/>
        <v>0</v>
      </c>
      <c r="BO591" s="17">
        <f t="shared" si="545"/>
        <v>180105</v>
      </c>
      <c r="BP591" s="17">
        <f t="shared" si="546"/>
        <v>180105</v>
      </c>
      <c r="BQ591" s="18" t="e">
        <f t="shared" si="547"/>
        <v>#DIV/0!</v>
      </c>
      <c r="BR591" s="25">
        <f t="shared" si="548"/>
        <v>15008.75</v>
      </c>
    </row>
    <row r="592" spans="1:70">
      <c r="A592" t="s">
        <v>11</v>
      </c>
      <c r="B592" t="s">
        <v>12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BA592" s="21"/>
      <c r="BB592" s="22"/>
      <c r="BD592" s="7"/>
      <c r="BE592" s="7"/>
      <c r="BF592" s="8"/>
      <c r="BG592" s="7"/>
      <c r="BI592" s="12"/>
      <c r="BJ592" s="12"/>
      <c r="BK592" s="13"/>
      <c r="BL592" s="24"/>
      <c r="BM592" s="24"/>
      <c r="BO592" s="17"/>
      <c r="BP592" s="17"/>
      <c r="BQ592" s="18"/>
      <c r="BR592" s="25"/>
    </row>
    <row r="593" spans="1:70">
      <c r="A593" t="s">
        <v>829</v>
      </c>
      <c r="C593" s="1">
        <v>1269428</v>
      </c>
      <c r="D593" s="1">
        <v>1432157</v>
      </c>
      <c r="E593" s="1">
        <v>1313093</v>
      </c>
      <c r="F593" s="1">
        <v>1315752</v>
      </c>
      <c r="G593" s="1">
        <v>1351870</v>
      </c>
      <c r="H593" s="1">
        <v>1586829</v>
      </c>
      <c r="I593" s="1">
        <v>1567459</v>
      </c>
      <c r="J593" s="1">
        <v>1653735</v>
      </c>
      <c r="K593" s="1">
        <v>1615640</v>
      </c>
      <c r="L593" s="1">
        <v>1617424</v>
      </c>
      <c r="M593" s="1">
        <v>1528269</v>
      </c>
      <c r="N593" s="1">
        <v>1680430</v>
      </c>
      <c r="O593" s="1">
        <v>1463054</v>
      </c>
      <c r="P593" s="1">
        <v>1475321</v>
      </c>
      <c r="Q593" s="1">
        <v>1411897</v>
      </c>
      <c r="R593" s="1">
        <v>1446771</v>
      </c>
      <c r="S593" s="1">
        <v>1476109</v>
      </c>
      <c r="T593" s="1">
        <v>1498424</v>
      </c>
      <c r="U593" s="1">
        <v>1425115</v>
      </c>
      <c r="V593" s="1">
        <v>1338679</v>
      </c>
      <c r="W593" s="1">
        <v>1435695</v>
      </c>
      <c r="X593" s="1">
        <v>1470576</v>
      </c>
      <c r="Y593" s="1">
        <v>1403607</v>
      </c>
      <c r="Z593" s="1">
        <v>1591041</v>
      </c>
      <c r="AA593" s="1">
        <v>1370971</v>
      </c>
      <c r="AB593" s="1">
        <v>1457716</v>
      </c>
      <c r="AC593" s="1">
        <v>1452389</v>
      </c>
      <c r="AD593" s="1">
        <v>1518026</v>
      </c>
      <c r="AE593" s="1">
        <v>1619628</v>
      </c>
      <c r="AF593" s="1">
        <v>1567305</v>
      </c>
      <c r="AG593" s="1">
        <v>1631559</v>
      </c>
      <c r="AH593" s="1">
        <v>1508366</v>
      </c>
      <c r="AI593" s="1">
        <v>1655586</v>
      </c>
      <c r="AJ593" s="1">
        <v>1420890</v>
      </c>
      <c r="AK593" s="1">
        <v>1356428</v>
      </c>
      <c r="AL593" s="1">
        <v>1393448</v>
      </c>
      <c r="AM593" s="50">
        <v>1465661</v>
      </c>
      <c r="AN593" s="1">
        <v>1494975</v>
      </c>
      <c r="AO593" s="1">
        <v>1494975</v>
      </c>
      <c r="AP593" s="1">
        <v>1553601</v>
      </c>
      <c r="AQ593" s="1">
        <v>1582914</v>
      </c>
      <c r="AR593" s="1">
        <v>1612227</v>
      </c>
      <c r="AS593" s="1">
        <v>1641541</v>
      </c>
      <c r="AT593" s="1">
        <v>1670854</v>
      </c>
      <c r="AU593" s="1">
        <v>1700167</v>
      </c>
      <c r="AV593" s="1">
        <v>1807649</v>
      </c>
      <c r="AW593" s="1">
        <v>1758794</v>
      </c>
      <c r="AX593" s="1">
        <v>1758794</v>
      </c>
      <c r="AY593" s="1"/>
      <c r="BA593" s="21">
        <f>SUM(C593:N593)</f>
        <v>17932086</v>
      </c>
      <c r="BB593" s="22">
        <f t="shared" ref="BB593" si="549">+BA593/12</f>
        <v>1494340.5</v>
      </c>
      <c r="BD593" s="7">
        <f>SUM(O593:Z593)</f>
        <v>17436289</v>
      </c>
      <c r="BE593" s="7">
        <f t="shared" ref="BE593" si="550">+BD593-BA593</f>
        <v>-495797</v>
      </c>
      <c r="BF593" s="8">
        <f t="shared" ref="BF593" si="551">(BD593/BA593)-1</f>
        <v>-2.7648595930222508E-2</v>
      </c>
      <c r="BG593" s="7">
        <f t="shared" ref="BG593" si="552">BD593/12</f>
        <v>1453024.0833333333</v>
      </c>
      <c r="BI593" s="12">
        <f>+SUM(AA593:AL593)</f>
        <v>17952312</v>
      </c>
      <c r="BJ593" s="12">
        <f t="shared" ref="BJ593" si="553">+BI593-BD593</f>
        <v>516023</v>
      </c>
      <c r="BK593" s="13">
        <f t="shared" ref="BK593" si="554">(BI593/BD593)-1</f>
        <v>2.9594772144462711E-2</v>
      </c>
      <c r="BL593" s="24">
        <f>SUM(AA593:AH593)/8</f>
        <v>1515745</v>
      </c>
      <c r="BM593" s="24">
        <f>SUM(AI593:AL593)/4</f>
        <v>1456588</v>
      </c>
      <c r="BO593" s="17">
        <f>+SUM(AM593:AX593)</f>
        <v>19542152</v>
      </c>
      <c r="BP593" s="17">
        <f t="shared" ref="BP593" si="555">+BO593-BI593</f>
        <v>1589840</v>
      </c>
      <c r="BQ593" s="18">
        <f t="shared" ref="BQ593" si="556">(BO593/BI593)-1</f>
        <v>8.8559066932437425E-2</v>
      </c>
      <c r="BR593" s="25">
        <f t="shared" ref="BR593" si="557">BO593/12</f>
        <v>1628512.6666666667</v>
      </c>
    </row>
    <row r="594" spans="1:70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BA594" s="21"/>
      <c r="BB594" s="22"/>
      <c r="BD594" s="7"/>
      <c r="BE594" s="7"/>
      <c r="BF594" s="8"/>
      <c r="BG594" s="7"/>
      <c r="BI594" s="12"/>
      <c r="BJ594" s="12"/>
      <c r="BK594" s="13"/>
      <c r="BL594" s="24"/>
      <c r="BM594" s="24"/>
      <c r="BO594" s="17"/>
      <c r="BP594" s="17"/>
      <c r="BQ594" s="18"/>
      <c r="BR594" s="25"/>
    </row>
    <row r="595" spans="1:70">
      <c r="A595" t="s">
        <v>830</v>
      </c>
      <c r="B595">
        <v>430005</v>
      </c>
      <c r="C595" s="1">
        <v>0</v>
      </c>
      <c r="D595" s="1">
        <v>1160</v>
      </c>
      <c r="E595" s="1">
        <v>5100</v>
      </c>
      <c r="F595" s="1">
        <v>0</v>
      </c>
      <c r="G595" s="1">
        <v>4740</v>
      </c>
      <c r="H595" s="1">
        <v>1788</v>
      </c>
      <c r="I595" s="1">
        <v>0</v>
      </c>
      <c r="J595" s="1">
        <v>2520</v>
      </c>
      <c r="K595" s="1">
        <v>-1122</v>
      </c>
      <c r="L595" s="1">
        <v>0</v>
      </c>
      <c r="M595" s="1">
        <v>0</v>
      </c>
      <c r="N595" s="1">
        <v>7260</v>
      </c>
      <c r="O595" s="1">
        <v>6200</v>
      </c>
      <c r="P595" s="1">
        <v>1609</v>
      </c>
      <c r="Q595" s="1">
        <v>5428</v>
      </c>
      <c r="R595" s="1">
        <v>1735</v>
      </c>
      <c r="S595" s="1">
        <v>16816</v>
      </c>
      <c r="T595" s="1">
        <v>4078</v>
      </c>
      <c r="U595" s="1">
        <v>23761</v>
      </c>
      <c r="V595" s="1">
        <v>11098</v>
      </c>
      <c r="W595" s="1">
        <v>4476</v>
      </c>
      <c r="X595" s="1">
        <v>3463</v>
      </c>
      <c r="Y595" s="1">
        <v>25716</v>
      </c>
      <c r="Z595" s="1">
        <v>10202</v>
      </c>
      <c r="AA595" s="1">
        <v>7897</v>
      </c>
      <c r="AB595" s="1">
        <v>6863</v>
      </c>
      <c r="AC595" s="1">
        <v>17500</v>
      </c>
      <c r="AD595" s="1">
        <v>10145</v>
      </c>
      <c r="AE595" s="1">
        <v>3188</v>
      </c>
      <c r="AF595" s="1">
        <v>17560</v>
      </c>
      <c r="AG595" s="1">
        <v>11851</v>
      </c>
      <c r="AH595" s="1">
        <v>4224</v>
      </c>
      <c r="AI595" s="1">
        <v>12207</v>
      </c>
      <c r="AJ595" s="1">
        <v>17808</v>
      </c>
      <c r="AK595" s="1">
        <v>11650</v>
      </c>
      <c r="AL595" s="1">
        <v>11650</v>
      </c>
      <c r="AM595" s="1">
        <v>15940</v>
      </c>
      <c r="AN595" s="1">
        <v>14695</v>
      </c>
      <c r="AO595" s="1">
        <v>24020</v>
      </c>
      <c r="AP595" s="1">
        <v>21298</v>
      </c>
      <c r="AQ595" s="1">
        <v>27374</v>
      </c>
      <c r="AR595" s="1">
        <v>11075</v>
      </c>
      <c r="AS595" s="1">
        <v>31129</v>
      </c>
      <c r="AT595" s="1">
        <v>30172</v>
      </c>
      <c r="AU595" s="1">
        <v>29491</v>
      </c>
      <c r="AV595" s="1">
        <v>32010</v>
      </c>
      <c r="AW595" s="1">
        <v>18569</v>
      </c>
      <c r="AX595" s="1">
        <v>17439</v>
      </c>
      <c r="AY595" s="1"/>
      <c r="BA595" s="21">
        <f t="shared" ref="BA595:BA621" si="558">SUM(C595:N595)</f>
        <v>21446</v>
      </c>
      <c r="BB595" s="22">
        <f t="shared" ref="BB595:BB621" si="559">+BA595/12</f>
        <v>1787.1666666666667</v>
      </c>
      <c r="BD595" s="7">
        <f t="shared" ref="BD595:BD621" si="560">SUM(O595:Z595)</f>
        <v>114582</v>
      </c>
      <c r="BE595" s="7">
        <f t="shared" ref="BE595:BE621" si="561">+BD595-BA595</f>
        <v>93136</v>
      </c>
      <c r="BF595" s="8">
        <f t="shared" ref="BF595:BF621" si="562">(BD595/BA595)-1</f>
        <v>4.3428145108644971</v>
      </c>
      <c r="BG595" s="7">
        <f t="shared" ref="BG595:BG621" si="563">BD595/12</f>
        <v>9548.5</v>
      </c>
      <c r="BI595" s="12">
        <f t="shared" ref="BI595:BI621" si="564">+SUM(AA595:AL595)</f>
        <v>132543</v>
      </c>
      <c r="BJ595" s="12">
        <f t="shared" ref="BJ595:BJ621" si="565">+BI595-BD595</f>
        <v>17961</v>
      </c>
      <c r="BK595" s="13">
        <f t="shared" ref="BK595:BK621" si="566">(BI595/BD595)-1</f>
        <v>0.15675236948211757</v>
      </c>
      <c r="BL595" s="24">
        <f t="shared" ref="BL595:BL621" si="567">SUM(AA595:AH595)/8</f>
        <v>9903.5</v>
      </c>
      <c r="BM595" s="24">
        <f t="shared" ref="BM595:BM621" si="568">SUM(AI595:AL595)/4</f>
        <v>13328.75</v>
      </c>
      <c r="BO595" s="17">
        <f t="shared" ref="BO595:BO621" si="569">+SUM(AM595:AX595)</f>
        <v>273212</v>
      </c>
      <c r="BP595" s="17">
        <f t="shared" ref="BP595:BP621" si="570">+BO595-BI595</f>
        <v>140669</v>
      </c>
      <c r="BQ595" s="18">
        <f t="shared" ref="BQ595:BQ621" si="571">(BO595/BI595)-1</f>
        <v>1.06130840557404</v>
      </c>
      <c r="BR595" s="25">
        <f t="shared" ref="BR595:BR621" si="572">BO595/12</f>
        <v>22767.666666666668</v>
      </c>
    </row>
    <row r="596" spans="1:70">
      <c r="A596" t="s">
        <v>831</v>
      </c>
      <c r="B596">
        <v>430010</v>
      </c>
      <c r="C596" s="1">
        <v>21980</v>
      </c>
      <c r="D596" s="1">
        <v>4543</v>
      </c>
      <c r="E596" s="1">
        <v>9543</v>
      </c>
      <c r="F596" s="1">
        <v>31280</v>
      </c>
      <c r="G596" s="1">
        <v>25943</v>
      </c>
      <c r="H596" s="1">
        <v>28233</v>
      </c>
      <c r="I596" s="1">
        <v>20243</v>
      </c>
      <c r="J596" s="1">
        <v>32743</v>
      </c>
      <c r="K596" s="1">
        <v>15043</v>
      </c>
      <c r="L596" s="1">
        <v>24343</v>
      </c>
      <c r="M596" s="1">
        <v>-11208</v>
      </c>
      <c r="N596" s="1">
        <v>28330</v>
      </c>
      <c r="O596" s="1">
        <v>16944</v>
      </c>
      <c r="P596" s="1">
        <v>23056</v>
      </c>
      <c r="Q596" s="1">
        <v>4819</v>
      </c>
      <c r="R596" s="1">
        <v>4819</v>
      </c>
      <c r="S596" s="1">
        <v>32756</v>
      </c>
      <c r="T596" s="1">
        <v>20819</v>
      </c>
      <c r="U596" s="1">
        <v>15169</v>
      </c>
      <c r="V596" s="1">
        <v>37819</v>
      </c>
      <c r="W596" s="1">
        <v>13849</v>
      </c>
      <c r="X596" s="1">
        <v>7114</v>
      </c>
      <c r="Y596" s="1">
        <v>6419</v>
      </c>
      <c r="Z596" s="1">
        <v>32596</v>
      </c>
      <c r="AA596" s="1">
        <v>28333</v>
      </c>
      <c r="AB596" s="1">
        <v>28333</v>
      </c>
      <c r="AC596" s="1">
        <v>28333</v>
      </c>
      <c r="AD596" s="1">
        <v>28333</v>
      </c>
      <c r="AE596" s="1">
        <v>28333</v>
      </c>
      <c r="AF596" s="1">
        <v>28333</v>
      </c>
      <c r="AG596" s="1">
        <v>28333</v>
      </c>
      <c r="AH596" s="1">
        <v>28333</v>
      </c>
      <c r="AI596" s="1">
        <v>28333</v>
      </c>
      <c r="AJ596" s="1">
        <v>52135</v>
      </c>
      <c r="AK596" s="1">
        <v>28333</v>
      </c>
      <c r="AL596" s="1">
        <v>28337</v>
      </c>
      <c r="AM596" s="1">
        <v>21211</v>
      </c>
      <c r="AN596" s="1">
        <v>19498</v>
      </c>
      <c r="AO596" s="1">
        <v>24020</v>
      </c>
      <c r="AP596" s="1">
        <v>21298</v>
      </c>
      <c r="AQ596" s="1">
        <v>27374</v>
      </c>
      <c r="AR596" s="1">
        <v>14489</v>
      </c>
      <c r="AS596" s="1">
        <v>31129</v>
      </c>
      <c r="AT596" s="1">
        <v>30172</v>
      </c>
      <c r="AU596" s="1">
        <v>29491</v>
      </c>
      <c r="AV596" s="1">
        <v>32010</v>
      </c>
      <c r="AW596" s="1">
        <v>25209</v>
      </c>
      <c r="AX596" s="1">
        <v>23311</v>
      </c>
      <c r="AY596" s="1"/>
      <c r="BA596" s="21">
        <f t="shared" si="558"/>
        <v>231016</v>
      </c>
      <c r="BB596" s="22">
        <f t="shared" si="559"/>
        <v>19251.333333333332</v>
      </c>
      <c r="BD596" s="7">
        <f t="shared" si="560"/>
        <v>216179</v>
      </c>
      <c r="BE596" s="7">
        <f t="shared" si="561"/>
        <v>-14837</v>
      </c>
      <c r="BF596" s="8">
        <f t="shared" si="562"/>
        <v>-6.4224988745368305E-2</v>
      </c>
      <c r="BG596" s="7">
        <f t="shared" si="563"/>
        <v>18014.916666666668</v>
      </c>
      <c r="BI596" s="12">
        <f t="shared" si="564"/>
        <v>363802</v>
      </c>
      <c r="BJ596" s="12">
        <f t="shared" si="565"/>
        <v>147623</v>
      </c>
      <c r="BK596" s="13">
        <f t="shared" si="566"/>
        <v>0.68287391467256309</v>
      </c>
      <c r="BL596" s="24">
        <f t="shared" si="567"/>
        <v>28333</v>
      </c>
      <c r="BM596" s="24">
        <f t="shared" si="568"/>
        <v>34284.5</v>
      </c>
      <c r="BO596" s="17">
        <f t="shared" si="569"/>
        <v>299212</v>
      </c>
      <c r="BP596" s="17">
        <f t="shared" si="570"/>
        <v>-64590</v>
      </c>
      <c r="BQ596" s="18">
        <f t="shared" si="571"/>
        <v>-0.17754162978763177</v>
      </c>
      <c r="BR596" s="25">
        <f t="shared" si="572"/>
        <v>24934.333333333332</v>
      </c>
    </row>
    <row r="597" spans="1:70">
      <c r="A597" t="s">
        <v>832</v>
      </c>
      <c r="B597">
        <v>430015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24020</v>
      </c>
      <c r="AP597" s="1">
        <v>21298</v>
      </c>
      <c r="AQ597" s="1">
        <v>27374</v>
      </c>
      <c r="AR597" s="1">
        <v>0</v>
      </c>
      <c r="AS597" s="1">
        <v>31129</v>
      </c>
      <c r="AT597" s="1">
        <v>30172</v>
      </c>
      <c r="AU597" s="1">
        <v>29491</v>
      </c>
      <c r="AV597" s="1">
        <v>32010</v>
      </c>
      <c r="AW597" s="1">
        <v>0</v>
      </c>
      <c r="AX597" s="1">
        <v>0</v>
      </c>
      <c r="AY597" s="1"/>
      <c r="BA597" s="21">
        <f t="shared" si="558"/>
        <v>0</v>
      </c>
      <c r="BB597" s="22">
        <f t="shared" si="559"/>
        <v>0</v>
      </c>
      <c r="BD597" s="7">
        <f t="shared" si="560"/>
        <v>0</v>
      </c>
      <c r="BE597" s="7">
        <f t="shared" si="561"/>
        <v>0</v>
      </c>
      <c r="BF597" s="8" t="e">
        <f t="shared" si="562"/>
        <v>#DIV/0!</v>
      </c>
      <c r="BG597" s="7">
        <f t="shared" si="563"/>
        <v>0</v>
      </c>
      <c r="BI597" s="12">
        <f t="shared" si="564"/>
        <v>0</v>
      </c>
      <c r="BJ597" s="12">
        <f t="shared" si="565"/>
        <v>0</v>
      </c>
      <c r="BK597" s="13" t="e">
        <f t="shared" si="566"/>
        <v>#DIV/0!</v>
      </c>
      <c r="BL597" s="24">
        <f t="shared" si="567"/>
        <v>0</v>
      </c>
      <c r="BM597" s="24">
        <f t="shared" si="568"/>
        <v>0</v>
      </c>
      <c r="BO597" s="17">
        <f t="shared" si="569"/>
        <v>195494</v>
      </c>
      <c r="BP597" s="17">
        <f t="shared" si="570"/>
        <v>195494</v>
      </c>
      <c r="BQ597" s="18" t="e">
        <f t="shared" si="571"/>
        <v>#DIV/0!</v>
      </c>
      <c r="BR597" s="25">
        <f t="shared" si="572"/>
        <v>16291.166666666666</v>
      </c>
    </row>
    <row r="598" spans="1:70">
      <c r="A598" t="s">
        <v>833</v>
      </c>
      <c r="B598">
        <v>430020</v>
      </c>
      <c r="C598" s="1">
        <v>11034</v>
      </c>
      <c r="D598" s="1">
        <v>11539</v>
      </c>
      <c r="E598" s="1">
        <v>22690</v>
      </c>
      <c r="F598" s="1">
        <v>11656</v>
      </c>
      <c r="G598" s="1">
        <v>11151</v>
      </c>
      <c r="H598" s="1">
        <v>0</v>
      </c>
      <c r="I598" s="1">
        <v>11655</v>
      </c>
      <c r="J598" s="1">
        <v>11655</v>
      </c>
      <c r="K598" s="1">
        <v>11655</v>
      </c>
      <c r="L598" s="1">
        <v>11915</v>
      </c>
      <c r="M598" s="1">
        <v>11915</v>
      </c>
      <c r="N598" s="1">
        <v>11915</v>
      </c>
      <c r="O598" s="1">
        <v>10607</v>
      </c>
      <c r="P598" s="1">
        <v>10607</v>
      </c>
      <c r="Q598" s="1">
        <v>10607</v>
      </c>
      <c r="R598" s="1">
        <v>12535</v>
      </c>
      <c r="S598" s="1">
        <v>12535</v>
      </c>
      <c r="T598" s="1">
        <v>12535</v>
      </c>
      <c r="U598" s="1">
        <v>12642</v>
      </c>
      <c r="V598" s="1">
        <v>12642</v>
      </c>
      <c r="W598" s="1">
        <v>12642</v>
      </c>
      <c r="X598" s="1">
        <v>12642</v>
      </c>
      <c r="Y598" s="1">
        <v>12642</v>
      </c>
      <c r="Z598" s="1">
        <v>12642</v>
      </c>
      <c r="AA598" s="1">
        <v>12641</v>
      </c>
      <c r="AB598" s="1">
        <v>12641</v>
      </c>
      <c r="AC598" s="1">
        <v>12641</v>
      </c>
      <c r="AD598" s="1">
        <v>12642</v>
      </c>
      <c r="AE598" s="1">
        <v>12642</v>
      </c>
      <c r="AF598" s="1">
        <v>12642</v>
      </c>
      <c r="AG598" s="1">
        <v>12642</v>
      </c>
      <c r="AH598" s="1">
        <v>12642</v>
      </c>
      <c r="AI598" s="1">
        <v>12642</v>
      </c>
      <c r="AJ598" s="1">
        <v>23262</v>
      </c>
      <c r="AK598" s="1">
        <v>12642</v>
      </c>
      <c r="AL598" s="1">
        <v>12642</v>
      </c>
      <c r="AM598" s="1">
        <v>15224</v>
      </c>
      <c r="AN598" s="1">
        <v>13995</v>
      </c>
      <c r="AO598" s="1">
        <v>24020</v>
      </c>
      <c r="AP598" s="1">
        <v>21298</v>
      </c>
      <c r="AQ598" s="1">
        <v>27374</v>
      </c>
      <c r="AR598" s="1">
        <v>10400</v>
      </c>
      <c r="AS598" s="1">
        <v>31129</v>
      </c>
      <c r="AT598" s="1">
        <v>30172</v>
      </c>
      <c r="AU598" s="1">
        <v>29491</v>
      </c>
      <c r="AV598" s="1">
        <v>32010</v>
      </c>
      <c r="AW598" s="1">
        <v>18094</v>
      </c>
      <c r="AX598" s="1">
        <v>16743</v>
      </c>
      <c r="AY598" s="1"/>
      <c r="BA598" s="21">
        <f t="shared" si="558"/>
        <v>138780</v>
      </c>
      <c r="BB598" s="22">
        <f t="shared" si="559"/>
        <v>11565</v>
      </c>
      <c r="BD598" s="7">
        <f t="shared" si="560"/>
        <v>145278</v>
      </c>
      <c r="BE598" s="7">
        <f t="shared" si="561"/>
        <v>6498</v>
      </c>
      <c r="BF598" s="8">
        <f t="shared" si="562"/>
        <v>4.6822308690013026E-2</v>
      </c>
      <c r="BG598" s="7">
        <f t="shared" si="563"/>
        <v>12106.5</v>
      </c>
      <c r="BI598" s="12">
        <f t="shared" si="564"/>
        <v>162321</v>
      </c>
      <c r="BJ598" s="12">
        <f t="shared" si="565"/>
        <v>17043</v>
      </c>
      <c r="BK598" s="13">
        <f t="shared" si="566"/>
        <v>0.11731301367034241</v>
      </c>
      <c r="BL598" s="24">
        <f t="shared" si="567"/>
        <v>12641.625</v>
      </c>
      <c r="BM598" s="24">
        <f t="shared" si="568"/>
        <v>15297</v>
      </c>
      <c r="BO598" s="17">
        <f t="shared" si="569"/>
        <v>269950</v>
      </c>
      <c r="BP598" s="17">
        <f t="shared" si="570"/>
        <v>107629</v>
      </c>
      <c r="BQ598" s="18">
        <f t="shared" si="571"/>
        <v>0.66306269675519491</v>
      </c>
      <c r="BR598" s="25">
        <f t="shared" si="572"/>
        <v>22495.833333333332</v>
      </c>
    </row>
    <row r="599" spans="1:70">
      <c r="A599" t="s">
        <v>834</v>
      </c>
      <c r="B599">
        <v>430025</v>
      </c>
      <c r="C599" s="1">
        <v>6361</v>
      </c>
      <c r="D599" s="1">
        <v>21547</v>
      </c>
      <c r="E599" s="1">
        <v>15359</v>
      </c>
      <c r="F599" s="1">
        <v>38168</v>
      </c>
      <c r="G599" s="1">
        <v>62480</v>
      </c>
      <c r="H599" s="1">
        <v>26651</v>
      </c>
      <c r="I599" s="1">
        <v>15597</v>
      </c>
      <c r="J599" s="1">
        <v>141416</v>
      </c>
      <c r="K599" s="1">
        <v>124656</v>
      </c>
      <c r="L599" s="1">
        <v>5492</v>
      </c>
      <c r="M599" s="1">
        <v>7767</v>
      </c>
      <c r="N599" s="1">
        <v>7885</v>
      </c>
      <c r="O599" s="1">
        <v>18714</v>
      </c>
      <c r="P599" s="1">
        <v>9668</v>
      </c>
      <c r="Q599" s="1">
        <v>9249</v>
      </c>
      <c r="R599" s="1">
        <v>40899</v>
      </c>
      <c r="S599" s="1">
        <v>9668</v>
      </c>
      <c r="T599" s="1">
        <v>9509</v>
      </c>
      <c r="U599" s="1">
        <v>53930</v>
      </c>
      <c r="V599" s="1">
        <v>174869</v>
      </c>
      <c r="W599" s="1">
        <v>69673</v>
      </c>
      <c r="X599" s="1">
        <v>10074</v>
      </c>
      <c r="Y599" s="1">
        <v>9613</v>
      </c>
      <c r="Z599" s="1">
        <v>12496</v>
      </c>
      <c r="AA599" s="1">
        <v>8616</v>
      </c>
      <c r="AB599" s="1">
        <v>61599</v>
      </c>
      <c r="AC599" s="1">
        <v>80216</v>
      </c>
      <c r="AD599" s="1">
        <v>20363</v>
      </c>
      <c r="AE599" s="1">
        <v>13249</v>
      </c>
      <c r="AF599" s="1">
        <v>75252</v>
      </c>
      <c r="AG599" s="1">
        <v>13911</v>
      </c>
      <c r="AH599" s="1">
        <v>72344</v>
      </c>
      <c r="AI599" s="1">
        <v>15296</v>
      </c>
      <c r="AJ599" s="1">
        <v>46262</v>
      </c>
      <c r="AK599" s="1">
        <v>25141</v>
      </c>
      <c r="AL599" s="1">
        <v>25141</v>
      </c>
      <c r="AM599" s="1">
        <v>27883</v>
      </c>
      <c r="AN599" s="1">
        <v>25631</v>
      </c>
      <c r="AO599" s="1">
        <v>24020</v>
      </c>
      <c r="AP599" s="1">
        <v>21298</v>
      </c>
      <c r="AQ599" s="1">
        <v>27374</v>
      </c>
      <c r="AR599" s="1">
        <v>19047</v>
      </c>
      <c r="AS599" s="1">
        <v>31129</v>
      </c>
      <c r="AT599" s="1">
        <v>30172</v>
      </c>
      <c r="AU599" s="1">
        <v>29491</v>
      </c>
      <c r="AV599" s="1">
        <v>32010</v>
      </c>
      <c r="AW599" s="1">
        <v>33139</v>
      </c>
      <c r="AX599" s="1">
        <v>30667</v>
      </c>
      <c r="AY599" s="1"/>
      <c r="BA599" s="21">
        <f t="shared" si="558"/>
        <v>473379</v>
      </c>
      <c r="BB599" s="22">
        <f t="shared" si="559"/>
        <v>39448.25</v>
      </c>
      <c r="BD599" s="7">
        <f t="shared" si="560"/>
        <v>428362</v>
      </c>
      <c r="BE599" s="7">
        <f t="shared" si="561"/>
        <v>-45017</v>
      </c>
      <c r="BF599" s="8">
        <f t="shared" si="562"/>
        <v>-9.5097163161019016E-2</v>
      </c>
      <c r="BG599" s="7">
        <f t="shared" si="563"/>
        <v>35696.833333333336</v>
      </c>
      <c r="BI599" s="12">
        <f t="shared" si="564"/>
        <v>457390</v>
      </c>
      <c r="BJ599" s="12">
        <f t="shared" si="565"/>
        <v>29028</v>
      </c>
      <c r="BK599" s="13">
        <f t="shared" si="566"/>
        <v>6.7765114552644778E-2</v>
      </c>
      <c r="BL599" s="24">
        <f t="shared" si="567"/>
        <v>43193.75</v>
      </c>
      <c r="BM599" s="24">
        <f t="shared" si="568"/>
        <v>27960</v>
      </c>
      <c r="BO599" s="17">
        <f t="shared" si="569"/>
        <v>331861</v>
      </c>
      <c r="BP599" s="17">
        <f t="shared" si="570"/>
        <v>-125529</v>
      </c>
      <c r="BQ599" s="18">
        <f t="shared" si="571"/>
        <v>-0.27444631496097427</v>
      </c>
      <c r="BR599" s="25">
        <f t="shared" si="572"/>
        <v>27655.083333333332</v>
      </c>
    </row>
    <row r="600" spans="1:70">
      <c r="A600" t="s">
        <v>835</v>
      </c>
      <c r="B600">
        <v>430030</v>
      </c>
      <c r="C600" s="1">
        <v>1875</v>
      </c>
      <c r="D600" s="1">
        <v>1875</v>
      </c>
      <c r="E600" s="1">
        <v>1875</v>
      </c>
      <c r="F600" s="1">
        <v>1875</v>
      </c>
      <c r="G600" s="1">
        <v>1875</v>
      </c>
      <c r="H600" s="1">
        <v>1875</v>
      </c>
      <c r="I600" s="1">
        <v>1875</v>
      </c>
      <c r="J600" s="1">
        <v>1875</v>
      </c>
      <c r="K600" s="1">
        <v>1875</v>
      </c>
      <c r="L600" s="1">
        <v>1875</v>
      </c>
      <c r="M600" s="1">
        <v>1875</v>
      </c>
      <c r="N600" s="1">
        <v>1875</v>
      </c>
      <c r="O600" s="1">
        <v>0</v>
      </c>
      <c r="P600" s="1">
        <v>3750</v>
      </c>
      <c r="Q600" s="1">
        <v>1875</v>
      </c>
      <c r="R600" s="1">
        <v>0</v>
      </c>
      <c r="S600" s="1">
        <v>3750</v>
      </c>
      <c r="T600" s="1">
        <v>0</v>
      </c>
      <c r="U600" s="1">
        <v>3750</v>
      </c>
      <c r="V600" s="1">
        <v>0</v>
      </c>
      <c r="W600" s="1">
        <v>1875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1249</v>
      </c>
      <c r="AF600" s="1">
        <v>1249</v>
      </c>
      <c r="AG600" s="1">
        <v>1249</v>
      </c>
      <c r="AH600" s="1">
        <v>1249</v>
      </c>
      <c r="AI600" s="1">
        <v>1249</v>
      </c>
      <c r="AJ600" s="1">
        <v>2298</v>
      </c>
      <c r="AK600" s="1">
        <v>2751</v>
      </c>
      <c r="AL600" s="1">
        <v>2751</v>
      </c>
      <c r="AM600" s="1">
        <v>1207</v>
      </c>
      <c r="AN600" s="1">
        <v>1110</v>
      </c>
      <c r="AO600" s="1">
        <v>24020</v>
      </c>
      <c r="AP600" s="1">
        <v>21298</v>
      </c>
      <c r="AQ600" s="1">
        <v>27374</v>
      </c>
      <c r="AR600" s="1">
        <v>825</v>
      </c>
      <c r="AS600" s="1">
        <v>31129</v>
      </c>
      <c r="AT600" s="1">
        <v>30172</v>
      </c>
      <c r="AU600" s="1">
        <v>29491</v>
      </c>
      <c r="AV600" s="1">
        <v>32010</v>
      </c>
      <c r="AW600" s="1">
        <v>1435</v>
      </c>
      <c r="AX600" s="1">
        <v>1331</v>
      </c>
      <c r="AY600" s="1"/>
      <c r="BA600" s="21">
        <f t="shared" si="558"/>
        <v>22500</v>
      </c>
      <c r="BB600" s="22">
        <f t="shared" si="559"/>
        <v>1875</v>
      </c>
      <c r="BD600" s="7">
        <f t="shared" si="560"/>
        <v>15000</v>
      </c>
      <c r="BE600" s="7">
        <f t="shared" si="561"/>
        <v>-7500</v>
      </c>
      <c r="BF600" s="8">
        <f t="shared" si="562"/>
        <v>-0.33333333333333337</v>
      </c>
      <c r="BG600" s="7">
        <f t="shared" si="563"/>
        <v>1250</v>
      </c>
      <c r="BI600" s="12">
        <f t="shared" si="564"/>
        <v>14045</v>
      </c>
      <c r="BJ600" s="12">
        <f t="shared" si="565"/>
        <v>-955</v>
      </c>
      <c r="BK600" s="13">
        <f t="shared" si="566"/>
        <v>-6.3666666666666649E-2</v>
      </c>
      <c r="BL600" s="24">
        <f t="shared" si="567"/>
        <v>624.5</v>
      </c>
      <c r="BM600" s="24">
        <f t="shared" si="568"/>
        <v>2262.25</v>
      </c>
      <c r="BO600" s="17">
        <f t="shared" si="569"/>
        <v>201402</v>
      </c>
      <c r="BP600" s="17">
        <f t="shared" si="570"/>
        <v>187357</v>
      </c>
      <c r="BQ600" s="18">
        <f t="shared" si="571"/>
        <v>13.339765040939836</v>
      </c>
      <c r="BR600" s="25">
        <f t="shared" si="572"/>
        <v>16783.5</v>
      </c>
    </row>
    <row r="601" spans="1:70">
      <c r="A601" t="s">
        <v>836</v>
      </c>
      <c r="B601">
        <v>430035</v>
      </c>
      <c r="C601" s="1">
        <v>5889</v>
      </c>
      <c r="D601" s="1">
        <v>740</v>
      </c>
      <c r="E601" s="1">
        <v>-901</v>
      </c>
      <c r="F601" s="1">
        <v>9517</v>
      </c>
      <c r="G601" s="1">
        <v>0</v>
      </c>
      <c r="H601" s="1">
        <v>0</v>
      </c>
      <c r="I601" s="1">
        <v>5416</v>
      </c>
      <c r="J601" s="1">
        <v>0</v>
      </c>
      <c r="K601" s="1">
        <v>0</v>
      </c>
      <c r="L601" s="1">
        <v>7833</v>
      </c>
      <c r="M601" s="1">
        <v>2000</v>
      </c>
      <c r="N601" s="1">
        <v>0</v>
      </c>
      <c r="O601" s="1">
        <v>5433</v>
      </c>
      <c r="P601" s="1">
        <v>0</v>
      </c>
      <c r="Q601" s="1">
        <v>0</v>
      </c>
      <c r="R601" s="1">
        <v>9779</v>
      </c>
      <c r="S601" s="1">
        <v>0</v>
      </c>
      <c r="T601" s="1">
        <v>0</v>
      </c>
      <c r="U601" s="1">
        <v>5779</v>
      </c>
      <c r="V601" s="1">
        <v>0</v>
      </c>
      <c r="W601" s="1">
        <v>0</v>
      </c>
      <c r="X601" s="1">
        <v>10509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12378</v>
      </c>
      <c r="AG601" s="1">
        <v>3276</v>
      </c>
      <c r="AH601" s="1">
        <v>9825</v>
      </c>
      <c r="AI601" s="1">
        <v>4177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24020</v>
      </c>
      <c r="AP601" s="1">
        <v>21298</v>
      </c>
      <c r="AQ601" s="1">
        <v>27374</v>
      </c>
      <c r="AR601" s="1">
        <v>0</v>
      </c>
      <c r="AS601" s="1">
        <v>31129</v>
      </c>
      <c r="AT601" s="1">
        <v>30172</v>
      </c>
      <c r="AU601" s="1">
        <v>29491</v>
      </c>
      <c r="AV601" s="1">
        <v>32010</v>
      </c>
      <c r="AW601" s="1">
        <v>0</v>
      </c>
      <c r="AX601" s="1">
        <v>0</v>
      </c>
      <c r="AY601" s="1"/>
      <c r="BA601" s="21">
        <f t="shared" si="558"/>
        <v>30494</v>
      </c>
      <c r="BB601" s="22">
        <f t="shared" si="559"/>
        <v>2541.1666666666665</v>
      </c>
      <c r="BD601" s="7">
        <f t="shared" si="560"/>
        <v>31500</v>
      </c>
      <c r="BE601" s="7">
        <f t="shared" si="561"/>
        <v>1006</v>
      </c>
      <c r="BF601" s="8">
        <f t="shared" si="562"/>
        <v>3.299009641240902E-2</v>
      </c>
      <c r="BG601" s="7">
        <f t="shared" si="563"/>
        <v>2625</v>
      </c>
      <c r="BI601" s="12">
        <f t="shared" si="564"/>
        <v>29656</v>
      </c>
      <c r="BJ601" s="12">
        <f t="shared" si="565"/>
        <v>-1844</v>
      </c>
      <c r="BK601" s="13">
        <f t="shared" si="566"/>
        <v>-5.8539682539682558E-2</v>
      </c>
      <c r="BL601" s="24">
        <f t="shared" si="567"/>
        <v>3184.875</v>
      </c>
      <c r="BM601" s="24">
        <f t="shared" si="568"/>
        <v>1044.25</v>
      </c>
      <c r="BO601" s="17">
        <f t="shared" si="569"/>
        <v>195494</v>
      </c>
      <c r="BP601" s="17">
        <f t="shared" si="570"/>
        <v>165838</v>
      </c>
      <c r="BQ601" s="18">
        <f t="shared" si="571"/>
        <v>5.5920555705422172</v>
      </c>
      <c r="BR601" s="25">
        <f t="shared" si="572"/>
        <v>16291.166666666666</v>
      </c>
    </row>
    <row r="602" spans="1:70">
      <c r="A602" t="s">
        <v>837</v>
      </c>
      <c r="B602">
        <v>430040</v>
      </c>
      <c r="C602" s="1">
        <v>249053</v>
      </c>
      <c r="D602" s="1">
        <v>428648</v>
      </c>
      <c r="E602" s="1">
        <v>350014</v>
      </c>
      <c r="F602" s="1">
        <v>473606</v>
      </c>
      <c r="G602" s="1">
        <v>528635</v>
      </c>
      <c r="H602" s="1">
        <v>438913</v>
      </c>
      <c r="I602" s="1">
        <v>399734</v>
      </c>
      <c r="J602" s="1">
        <v>360285</v>
      </c>
      <c r="K602" s="1">
        <v>430135</v>
      </c>
      <c r="L602" s="1">
        <v>394803</v>
      </c>
      <c r="M602" s="1">
        <v>389514</v>
      </c>
      <c r="N602" s="1">
        <v>472298</v>
      </c>
      <c r="O602" s="1">
        <v>363150</v>
      </c>
      <c r="P602" s="1">
        <v>406684</v>
      </c>
      <c r="Q602" s="1">
        <v>269496</v>
      </c>
      <c r="R602" s="1">
        <v>341685</v>
      </c>
      <c r="S602" s="1">
        <v>430593</v>
      </c>
      <c r="T602" s="1">
        <v>398647</v>
      </c>
      <c r="U602" s="1">
        <v>382917</v>
      </c>
      <c r="V602" s="1">
        <v>630421</v>
      </c>
      <c r="W602" s="1">
        <v>316235</v>
      </c>
      <c r="X602" s="1">
        <v>374686</v>
      </c>
      <c r="Y602" s="1">
        <v>541271</v>
      </c>
      <c r="Z602" s="1">
        <v>636184</v>
      </c>
      <c r="AA602" s="1">
        <v>301739</v>
      </c>
      <c r="AB602" s="1">
        <v>432458</v>
      </c>
      <c r="AC602" s="1">
        <v>352845</v>
      </c>
      <c r="AD602" s="1">
        <v>410619</v>
      </c>
      <c r="AE602" s="1">
        <v>379017</v>
      </c>
      <c r="AF602" s="1">
        <v>711928</v>
      </c>
      <c r="AG602" s="1">
        <v>481137</v>
      </c>
      <c r="AH602" s="1">
        <v>466450</v>
      </c>
      <c r="AI602" s="1">
        <v>707697</v>
      </c>
      <c r="AJ602" s="1">
        <v>715036</v>
      </c>
      <c r="AK602" s="1">
        <v>403796</v>
      </c>
      <c r="AL602" s="1">
        <v>422296</v>
      </c>
      <c r="AM602" s="1">
        <v>525565</v>
      </c>
      <c r="AN602" s="1">
        <v>537835</v>
      </c>
      <c r="AO602" s="1">
        <v>24020</v>
      </c>
      <c r="AP602" s="1">
        <v>21298</v>
      </c>
      <c r="AQ602" s="1">
        <v>27374</v>
      </c>
      <c r="AR602" s="1">
        <v>544621</v>
      </c>
      <c r="AS602" s="1">
        <v>31129</v>
      </c>
      <c r="AT602" s="1">
        <v>30172</v>
      </c>
      <c r="AU602" s="1">
        <v>29491</v>
      </c>
      <c r="AV602" s="1">
        <v>32010</v>
      </c>
      <c r="AW602" s="1">
        <v>804229</v>
      </c>
      <c r="AX602" s="1">
        <v>758274</v>
      </c>
      <c r="AY602" s="1"/>
      <c r="BA602" s="21">
        <f t="shared" si="558"/>
        <v>4915638</v>
      </c>
      <c r="BB602" s="22">
        <f t="shared" si="559"/>
        <v>409636.5</v>
      </c>
      <c r="BD602" s="7">
        <f t="shared" si="560"/>
        <v>5091969</v>
      </c>
      <c r="BE602" s="7">
        <f t="shared" si="561"/>
        <v>176331</v>
      </c>
      <c r="BF602" s="8">
        <f t="shared" si="562"/>
        <v>3.5871437237648518E-2</v>
      </c>
      <c r="BG602" s="7">
        <f t="shared" si="563"/>
        <v>424330.75</v>
      </c>
      <c r="BI602" s="12">
        <f t="shared" si="564"/>
        <v>5785018</v>
      </c>
      <c r="BJ602" s="12">
        <f t="shared" si="565"/>
        <v>693049</v>
      </c>
      <c r="BK602" s="13">
        <f t="shared" si="566"/>
        <v>0.13610628815689951</v>
      </c>
      <c r="BL602" s="24">
        <f t="shared" si="567"/>
        <v>442024.125</v>
      </c>
      <c r="BM602" s="24">
        <f t="shared" si="568"/>
        <v>562206.25</v>
      </c>
      <c r="BO602" s="17">
        <f t="shared" si="569"/>
        <v>3366018</v>
      </c>
      <c r="BP602" s="17">
        <f t="shared" si="570"/>
        <v>-2419000</v>
      </c>
      <c r="BQ602" s="18">
        <f t="shared" si="571"/>
        <v>-0.41814908786800664</v>
      </c>
      <c r="BR602" s="25">
        <f t="shared" si="572"/>
        <v>280501.5</v>
      </c>
    </row>
    <row r="603" spans="1:70">
      <c r="A603" t="s">
        <v>838</v>
      </c>
      <c r="B603">
        <v>430055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24020</v>
      </c>
      <c r="AP603" s="1">
        <v>21298</v>
      </c>
      <c r="AQ603" s="1">
        <v>27374</v>
      </c>
      <c r="AR603" s="1">
        <v>0</v>
      </c>
      <c r="AS603" s="1">
        <v>31129</v>
      </c>
      <c r="AT603" s="1">
        <v>30172</v>
      </c>
      <c r="AU603" s="1">
        <v>29491</v>
      </c>
      <c r="AV603" s="1">
        <v>32010</v>
      </c>
      <c r="AW603" s="1">
        <v>0</v>
      </c>
      <c r="AX603" s="1">
        <v>0</v>
      </c>
      <c r="AY603" s="1"/>
      <c r="BA603" s="21">
        <f t="shared" si="558"/>
        <v>0</v>
      </c>
      <c r="BB603" s="22">
        <f t="shared" si="559"/>
        <v>0</v>
      </c>
      <c r="BD603" s="7">
        <f t="shared" si="560"/>
        <v>0</v>
      </c>
      <c r="BE603" s="7">
        <f t="shared" si="561"/>
        <v>0</v>
      </c>
      <c r="BF603" s="8" t="e">
        <f t="shared" si="562"/>
        <v>#DIV/0!</v>
      </c>
      <c r="BG603" s="7">
        <f t="shared" si="563"/>
        <v>0</v>
      </c>
      <c r="BI603" s="12">
        <f t="shared" si="564"/>
        <v>0</v>
      </c>
      <c r="BJ603" s="12">
        <f t="shared" si="565"/>
        <v>0</v>
      </c>
      <c r="BK603" s="13" t="e">
        <f t="shared" si="566"/>
        <v>#DIV/0!</v>
      </c>
      <c r="BL603" s="24">
        <f t="shared" si="567"/>
        <v>0</v>
      </c>
      <c r="BM603" s="24">
        <f t="shared" si="568"/>
        <v>0</v>
      </c>
      <c r="BO603" s="17">
        <f t="shared" si="569"/>
        <v>195494</v>
      </c>
      <c r="BP603" s="17">
        <f t="shared" si="570"/>
        <v>195494</v>
      </c>
      <c r="BQ603" s="18" t="e">
        <f t="shared" si="571"/>
        <v>#DIV/0!</v>
      </c>
      <c r="BR603" s="25">
        <f t="shared" si="572"/>
        <v>16291.166666666666</v>
      </c>
    </row>
    <row r="604" spans="1:70">
      <c r="A604" t="s">
        <v>839</v>
      </c>
      <c r="B604">
        <v>430060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24020</v>
      </c>
      <c r="AP604" s="1">
        <v>21298</v>
      </c>
      <c r="AQ604" s="1">
        <v>27374</v>
      </c>
      <c r="AR604" s="1">
        <v>0</v>
      </c>
      <c r="AS604" s="1">
        <v>31129</v>
      </c>
      <c r="AT604" s="1">
        <v>30172</v>
      </c>
      <c r="AU604" s="1">
        <v>29491</v>
      </c>
      <c r="AV604" s="1">
        <v>32010</v>
      </c>
      <c r="AW604" s="1">
        <v>0</v>
      </c>
      <c r="AX604" s="1">
        <v>0</v>
      </c>
      <c r="AY604" s="1"/>
      <c r="BA604" s="21">
        <f t="shared" si="558"/>
        <v>0</v>
      </c>
      <c r="BB604" s="22">
        <f t="shared" si="559"/>
        <v>0</v>
      </c>
      <c r="BD604" s="7">
        <f t="shared" si="560"/>
        <v>0</v>
      </c>
      <c r="BE604" s="7">
        <f t="shared" si="561"/>
        <v>0</v>
      </c>
      <c r="BF604" s="8" t="e">
        <f t="shared" si="562"/>
        <v>#DIV/0!</v>
      </c>
      <c r="BG604" s="7">
        <f t="shared" si="563"/>
        <v>0</v>
      </c>
      <c r="BI604" s="12">
        <f t="shared" si="564"/>
        <v>0</v>
      </c>
      <c r="BJ604" s="12">
        <f t="shared" si="565"/>
        <v>0</v>
      </c>
      <c r="BK604" s="13" t="e">
        <f t="shared" si="566"/>
        <v>#DIV/0!</v>
      </c>
      <c r="BL604" s="24">
        <f t="shared" si="567"/>
        <v>0</v>
      </c>
      <c r="BM604" s="24">
        <f t="shared" si="568"/>
        <v>0</v>
      </c>
      <c r="BO604" s="17">
        <f t="shared" si="569"/>
        <v>195494</v>
      </c>
      <c r="BP604" s="17">
        <f t="shared" si="570"/>
        <v>195494</v>
      </c>
      <c r="BQ604" s="18" t="e">
        <f t="shared" si="571"/>
        <v>#DIV/0!</v>
      </c>
      <c r="BR604" s="25">
        <f t="shared" si="572"/>
        <v>16291.166666666666</v>
      </c>
    </row>
    <row r="605" spans="1:70">
      <c r="A605" t="s">
        <v>840</v>
      </c>
      <c r="B605">
        <v>430065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24020</v>
      </c>
      <c r="AP605" s="1">
        <v>21298</v>
      </c>
      <c r="AQ605" s="1">
        <v>27374</v>
      </c>
      <c r="AR605" s="1">
        <v>0</v>
      </c>
      <c r="AS605" s="1">
        <v>31129</v>
      </c>
      <c r="AT605" s="1">
        <v>30172</v>
      </c>
      <c r="AU605" s="1">
        <v>29491</v>
      </c>
      <c r="AV605" s="1">
        <v>32010</v>
      </c>
      <c r="AW605" s="1">
        <v>0</v>
      </c>
      <c r="AX605" s="1">
        <v>0</v>
      </c>
      <c r="AY605" s="1"/>
      <c r="BA605" s="21">
        <f t="shared" si="558"/>
        <v>0</v>
      </c>
      <c r="BB605" s="22">
        <f t="shared" si="559"/>
        <v>0</v>
      </c>
      <c r="BD605" s="7">
        <f t="shared" si="560"/>
        <v>0</v>
      </c>
      <c r="BE605" s="7">
        <f t="shared" si="561"/>
        <v>0</v>
      </c>
      <c r="BF605" s="8" t="e">
        <f t="shared" si="562"/>
        <v>#DIV/0!</v>
      </c>
      <c r="BG605" s="7">
        <f t="shared" si="563"/>
        <v>0</v>
      </c>
      <c r="BI605" s="12">
        <f t="shared" si="564"/>
        <v>0</v>
      </c>
      <c r="BJ605" s="12">
        <f t="shared" si="565"/>
        <v>0</v>
      </c>
      <c r="BK605" s="13" t="e">
        <f t="shared" si="566"/>
        <v>#DIV/0!</v>
      </c>
      <c r="BL605" s="24">
        <f t="shared" si="567"/>
        <v>0</v>
      </c>
      <c r="BM605" s="24">
        <f t="shared" si="568"/>
        <v>0</v>
      </c>
      <c r="BO605" s="17">
        <f t="shared" si="569"/>
        <v>195494</v>
      </c>
      <c r="BP605" s="17">
        <f t="shared" si="570"/>
        <v>195494</v>
      </c>
      <c r="BQ605" s="18" t="e">
        <f t="shared" si="571"/>
        <v>#DIV/0!</v>
      </c>
      <c r="BR605" s="25">
        <f t="shared" si="572"/>
        <v>16291.166666666666</v>
      </c>
    </row>
    <row r="606" spans="1:70">
      <c r="A606" t="s">
        <v>841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24020</v>
      </c>
      <c r="AP606" s="1">
        <v>21298</v>
      </c>
      <c r="AQ606" s="1">
        <v>27374</v>
      </c>
      <c r="AR606" s="1">
        <v>0</v>
      </c>
      <c r="AS606" s="1">
        <v>31129</v>
      </c>
      <c r="AT606" s="1">
        <v>30172</v>
      </c>
      <c r="AU606" s="1">
        <v>29491</v>
      </c>
      <c r="AV606" s="1">
        <v>32010</v>
      </c>
      <c r="AW606" s="1">
        <v>0</v>
      </c>
      <c r="AX606" s="1">
        <v>0</v>
      </c>
      <c r="AY606" s="1"/>
      <c r="BA606" s="21">
        <f t="shared" si="558"/>
        <v>0</v>
      </c>
      <c r="BB606" s="22">
        <f t="shared" si="559"/>
        <v>0</v>
      </c>
      <c r="BD606" s="7">
        <f t="shared" si="560"/>
        <v>0</v>
      </c>
      <c r="BE606" s="7">
        <f t="shared" si="561"/>
        <v>0</v>
      </c>
      <c r="BF606" s="8" t="e">
        <f t="shared" si="562"/>
        <v>#DIV/0!</v>
      </c>
      <c r="BG606" s="7">
        <f t="shared" si="563"/>
        <v>0</v>
      </c>
      <c r="BI606" s="12">
        <f t="shared" si="564"/>
        <v>0</v>
      </c>
      <c r="BJ606" s="12">
        <f t="shared" si="565"/>
        <v>0</v>
      </c>
      <c r="BK606" s="13" t="e">
        <f t="shared" si="566"/>
        <v>#DIV/0!</v>
      </c>
      <c r="BL606" s="24">
        <f t="shared" si="567"/>
        <v>0</v>
      </c>
      <c r="BM606" s="24">
        <f t="shared" si="568"/>
        <v>0</v>
      </c>
      <c r="BO606" s="17">
        <f t="shared" si="569"/>
        <v>195494</v>
      </c>
      <c r="BP606" s="17">
        <f t="shared" si="570"/>
        <v>195494</v>
      </c>
      <c r="BQ606" s="18" t="e">
        <f t="shared" si="571"/>
        <v>#DIV/0!</v>
      </c>
      <c r="BR606" s="25">
        <f t="shared" si="572"/>
        <v>16291.166666666666</v>
      </c>
    </row>
    <row r="607" spans="1:70">
      <c r="A607" t="s">
        <v>842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24020</v>
      </c>
      <c r="AP607" s="1">
        <v>21298</v>
      </c>
      <c r="AQ607" s="1">
        <v>27374</v>
      </c>
      <c r="AR607" s="1">
        <v>0</v>
      </c>
      <c r="AS607" s="1">
        <v>31129</v>
      </c>
      <c r="AT607" s="1">
        <v>30172</v>
      </c>
      <c r="AU607" s="1">
        <v>29491</v>
      </c>
      <c r="AV607" s="1">
        <v>32010</v>
      </c>
      <c r="AW607" s="1">
        <v>0</v>
      </c>
      <c r="AX607" s="1">
        <v>0</v>
      </c>
      <c r="AY607" s="1"/>
      <c r="BA607" s="21">
        <f t="shared" si="558"/>
        <v>0</v>
      </c>
      <c r="BB607" s="22">
        <f t="shared" si="559"/>
        <v>0</v>
      </c>
      <c r="BD607" s="7">
        <f t="shared" si="560"/>
        <v>0</v>
      </c>
      <c r="BE607" s="7">
        <f t="shared" si="561"/>
        <v>0</v>
      </c>
      <c r="BF607" s="8" t="e">
        <f t="shared" si="562"/>
        <v>#DIV/0!</v>
      </c>
      <c r="BG607" s="7">
        <f t="shared" si="563"/>
        <v>0</v>
      </c>
      <c r="BI607" s="12">
        <f t="shared" si="564"/>
        <v>0</v>
      </c>
      <c r="BJ607" s="12">
        <f t="shared" si="565"/>
        <v>0</v>
      </c>
      <c r="BK607" s="13" t="e">
        <f t="shared" si="566"/>
        <v>#DIV/0!</v>
      </c>
      <c r="BL607" s="24">
        <f t="shared" si="567"/>
        <v>0</v>
      </c>
      <c r="BM607" s="24">
        <f t="shared" si="568"/>
        <v>0</v>
      </c>
      <c r="BO607" s="17">
        <f t="shared" si="569"/>
        <v>195494</v>
      </c>
      <c r="BP607" s="17">
        <f t="shared" si="570"/>
        <v>195494</v>
      </c>
      <c r="BQ607" s="18" t="e">
        <f t="shared" si="571"/>
        <v>#DIV/0!</v>
      </c>
      <c r="BR607" s="25">
        <f t="shared" si="572"/>
        <v>16291.166666666666</v>
      </c>
    </row>
    <row r="608" spans="1:70">
      <c r="A608" t="s">
        <v>843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24020</v>
      </c>
      <c r="AP608" s="1">
        <v>21298</v>
      </c>
      <c r="AQ608" s="1">
        <v>27374</v>
      </c>
      <c r="AR608" s="1">
        <v>0</v>
      </c>
      <c r="AS608" s="1">
        <v>31129</v>
      </c>
      <c r="AT608" s="1">
        <v>30172</v>
      </c>
      <c r="AU608" s="1">
        <v>29491</v>
      </c>
      <c r="AV608" s="1">
        <v>32010</v>
      </c>
      <c r="AW608" s="1">
        <v>0</v>
      </c>
      <c r="AX608" s="1">
        <v>0</v>
      </c>
      <c r="AY608" s="1"/>
      <c r="BA608" s="21">
        <f t="shared" si="558"/>
        <v>0</v>
      </c>
      <c r="BB608" s="22">
        <f t="shared" si="559"/>
        <v>0</v>
      </c>
      <c r="BD608" s="7">
        <f t="shared" si="560"/>
        <v>0</v>
      </c>
      <c r="BE608" s="7">
        <f t="shared" si="561"/>
        <v>0</v>
      </c>
      <c r="BF608" s="8" t="e">
        <f t="shared" si="562"/>
        <v>#DIV/0!</v>
      </c>
      <c r="BG608" s="7">
        <f t="shared" si="563"/>
        <v>0</v>
      </c>
      <c r="BI608" s="12">
        <f t="shared" si="564"/>
        <v>0</v>
      </c>
      <c r="BJ608" s="12">
        <f t="shared" si="565"/>
        <v>0</v>
      </c>
      <c r="BK608" s="13" t="e">
        <f t="shared" si="566"/>
        <v>#DIV/0!</v>
      </c>
      <c r="BL608" s="24">
        <f t="shared" si="567"/>
        <v>0</v>
      </c>
      <c r="BM608" s="24">
        <f t="shared" si="568"/>
        <v>0</v>
      </c>
      <c r="BO608" s="17">
        <f t="shared" si="569"/>
        <v>195494</v>
      </c>
      <c r="BP608" s="17">
        <f t="shared" si="570"/>
        <v>195494</v>
      </c>
      <c r="BQ608" s="18" t="e">
        <f t="shared" si="571"/>
        <v>#DIV/0!</v>
      </c>
      <c r="BR608" s="25">
        <f t="shared" si="572"/>
        <v>16291.166666666666</v>
      </c>
    </row>
    <row r="609" spans="1:70">
      <c r="A609" t="s">
        <v>844</v>
      </c>
      <c r="B609">
        <v>430045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24020</v>
      </c>
      <c r="AP609" s="1">
        <v>21298</v>
      </c>
      <c r="AQ609" s="1">
        <v>27374</v>
      </c>
      <c r="AR609" s="1">
        <v>0</v>
      </c>
      <c r="AS609" s="1">
        <v>31129</v>
      </c>
      <c r="AT609" s="1">
        <v>30172</v>
      </c>
      <c r="AU609" s="1">
        <v>29491</v>
      </c>
      <c r="AV609" s="1">
        <v>32010</v>
      </c>
      <c r="AW609" s="1">
        <v>0</v>
      </c>
      <c r="AX609" s="1">
        <v>0</v>
      </c>
      <c r="AY609" s="1"/>
      <c r="BA609" s="21">
        <f t="shared" si="558"/>
        <v>0</v>
      </c>
      <c r="BB609" s="22">
        <f t="shared" si="559"/>
        <v>0</v>
      </c>
      <c r="BD609" s="7">
        <f t="shared" si="560"/>
        <v>0</v>
      </c>
      <c r="BE609" s="7">
        <f t="shared" si="561"/>
        <v>0</v>
      </c>
      <c r="BF609" s="8" t="e">
        <f t="shared" si="562"/>
        <v>#DIV/0!</v>
      </c>
      <c r="BG609" s="7">
        <f t="shared" si="563"/>
        <v>0</v>
      </c>
      <c r="BI609" s="12">
        <f t="shared" si="564"/>
        <v>0</v>
      </c>
      <c r="BJ609" s="12">
        <f t="shared" si="565"/>
        <v>0</v>
      </c>
      <c r="BK609" s="13" t="e">
        <f t="shared" si="566"/>
        <v>#DIV/0!</v>
      </c>
      <c r="BL609" s="24">
        <f t="shared" si="567"/>
        <v>0</v>
      </c>
      <c r="BM609" s="24">
        <f t="shared" si="568"/>
        <v>0</v>
      </c>
      <c r="BO609" s="17">
        <f t="shared" si="569"/>
        <v>195494</v>
      </c>
      <c r="BP609" s="17">
        <f t="shared" si="570"/>
        <v>195494</v>
      </c>
      <c r="BQ609" s="18" t="e">
        <f t="shared" si="571"/>
        <v>#DIV/0!</v>
      </c>
      <c r="BR609" s="25">
        <f t="shared" si="572"/>
        <v>16291.166666666666</v>
      </c>
    </row>
    <row r="610" spans="1:70">
      <c r="A610" t="s">
        <v>820</v>
      </c>
      <c r="B610">
        <v>430050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24020</v>
      </c>
      <c r="AP610" s="1">
        <v>21298</v>
      </c>
      <c r="AQ610" s="1">
        <v>27374</v>
      </c>
      <c r="AR610" s="1">
        <v>0</v>
      </c>
      <c r="AS610" s="1">
        <v>31129</v>
      </c>
      <c r="AT610" s="1">
        <v>30172</v>
      </c>
      <c r="AU610" s="1">
        <v>29491</v>
      </c>
      <c r="AV610" s="1">
        <v>32010</v>
      </c>
      <c r="AW610" s="1">
        <v>0</v>
      </c>
      <c r="AX610" s="1">
        <v>0</v>
      </c>
      <c r="AY610" s="1"/>
      <c r="BA610" s="21">
        <f t="shared" si="558"/>
        <v>0</v>
      </c>
      <c r="BB610" s="22">
        <f t="shared" si="559"/>
        <v>0</v>
      </c>
      <c r="BD610" s="7">
        <f t="shared" si="560"/>
        <v>0</v>
      </c>
      <c r="BE610" s="7">
        <f t="shared" si="561"/>
        <v>0</v>
      </c>
      <c r="BF610" s="8" t="e">
        <f t="shared" si="562"/>
        <v>#DIV/0!</v>
      </c>
      <c r="BG610" s="7">
        <f t="shared" si="563"/>
        <v>0</v>
      </c>
      <c r="BI610" s="12">
        <f t="shared" si="564"/>
        <v>0</v>
      </c>
      <c r="BJ610" s="12">
        <f t="shared" si="565"/>
        <v>0</v>
      </c>
      <c r="BK610" s="13" t="e">
        <f t="shared" si="566"/>
        <v>#DIV/0!</v>
      </c>
      <c r="BL610" s="24">
        <f t="shared" si="567"/>
        <v>0</v>
      </c>
      <c r="BM610" s="24">
        <f t="shared" si="568"/>
        <v>0</v>
      </c>
      <c r="BO610" s="17">
        <f t="shared" si="569"/>
        <v>195494</v>
      </c>
      <c r="BP610" s="17">
        <f t="shared" si="570"/>
        <v>195494</v>
      </c>
      <c r="BQ610" s="18" t="e">
        <f t="shared" si="571"/>
        <v>#DIV/0!</v>
      </c>
      <c r="BR610" s="25">
        <f t="shared" si="572"/>
        <v>16291.166666666666</v>
      </c>
    </row>
    <row r="611" spans="1:70">
      <c r="A611" t="s">
        <v>845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24020</v>
      </c>
      <c r="AP611" s="1">
        <v>21298</v>
      </c>
      <c r="AQ611" s="1">
        <v>27374</v>
      </c>
      <c r="AR611" s="1">
        <v>0</v>
      </c>
      <c r="AS611" s="1">
        <v>31129</v>
      </c>
      <c r="AT611" s="1">
        <v>30172</v>
      </c>
      <c r="AU611" s="1">
        <v>29491</v>
      </c>
      <c r="AV611" s="1">
        <v>32010</v>
      </c>
      <c r="AW611" s="1">
        <v>0</v>
      </c>
      <c r="AX611" s="1">
        <v>0</v>
      </c>
      <c r="AY611" s="1"/>
      <c r="BA611" s="21">
        <f t="shared" si="558"/>
        <v>0</v>
      </c>
      <c r="BB611" s="22">
        <f t="shared" si="559"/>
        <v>0</v>
      </c>
      <c r="BD611" s="7">
        <f t="shared" si="560"/>
        <v>0</v>
      </c>
      <c r="BE611" s="7">
        <f t="shared" si="561"/>
        <v>0</v>
      </c>
      <c r="BF611" s="8" t="e">
        <f t="shared" si="562"/>
        <v>#DIV/0!</v>
      </c>
      <c r="BG611" s="7">
        <f t="shared" si="563"/>
        <v>0</v>
      </c>
      <c r="BI611" s="12">
        <f t="shared" si="564"/>
        <v>0</v>
      </c>
      <c r="BJ611" s="12">
        <f t="shared" si="565"/>
        <v>0</v>
      </c>
      <c r="BK611" s="13" t="e">
        <f t="shared" si="566"/>
        <v>#DIV/0!</v>
      </c>
      <c r="BL611" s="24">
        <f t="shared" si="567"/>
        <v>0</v>
      </c>
      <c r="BM611" s="24">
        <f t="shared" si="568"/>
        <v>0</v>
      </c>
      <c r="BO611" s="17">
        <f t="shared" si="569"/>
        <v>195494</v>
      </c>
      <c r="BP611" s="17">
        <f t="shared" si="570"/>
        <v>195494</v>
      </c>
      <c r="BQ611" s="18" t="e">
        <f t="shared" si="571"/>
        <v>#DIV/0!</v>
      </c>
      <c r="BR611" s="25">
        <f t="shared" si="572"/>
        <v>16291.166666666666</v>
      </c>
    </row>
    <row r="612" spans="1:70">
      <c r="A612" t="s">
        <v>846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24020</v>
      </c>
      <c r="AP612" s="1">
        <v>21298</v>
      </c>
      <c r="AQ612" s="1">
        <v>27374</v>
      </c>
      <c r="AR612" s="1">
        <v>0</v>
      </c>
      <c r="AS612" s="1">
        <v>31129</v>
      </c>
      <c r="AT612" s="1">
        <v>30172</v>
      </c>
      <c r="AU612" s="1">
        <v>29491</v>
      </c>
      <c r="AV612" s="1">
        <v>32010</v>
      </c>
      <c r="AW612" s="1">
        <v>0</v>
      </c>
      <c r="AX612" s="1">
        <v>0</v>
      </c>
      <c r="AY612" s="1"/>
      <c r="BA612" s="21">
        <f t="shared" si="558"/>
        <v>0</v>
      </c>
      <c r="BB612" s="22">
        <f t="shared" si="559"/>
        <v>0</v>
      </c>
      <c r="BD612" s="7">
        <f t="shared" si="560"/>
        <v>0</v>
      </c>
      <c r="BE612" s="7">
        <f t="shared" si="561"/>
        <v>0</v>
      </c>
      <c r="BF612" s="8" t="e">
        <f t="shared" si="562"/>
        <v>#DIV/0!</v>
      </c>
      <c r="BG612" s="7">
        <f t="shared" si="563"/>
        <v>0</v>
      </c>
      <c r="BI612" s="12">
        <f t="shared" si="564"/>
        <v>0</v>
      </c>
      <c r="BJ612" s="12">
        <f t="shared" si="565"/>
        <v>0</v>
      </c>
      <c r="BK612" s="13" t="e">
        <f t="shared" si="566"/>
        <v>#DIV/0!</v>
      </c>
      <c r="BL612" s="24">
        <f t="shared" si="567"/>
        <v>0</v>
      </c>
      <c r="BM612" s="24">
        <f t="shared" si="568"/>
        <v>0</v>
      </c>
      <c r="BO612" s="17">
        <f t="shared" si="569"/>
        <v>195494</v>
      </c>
      <c r="BP612" s="17">
        <f t="shared" si="570"/>
        <v>195494</v>
      </c>
      <c r="BQ612" s="18" t="e">
        <f t="shared" si="571"/>
        <v>#DIV/0!</v>
      </c>
      <c r="BR612" s="25">
        <f t="shared" si="572"/>
        <v>16291.166666666666</v>
      </c>
    </row>
    <row r="613" spans="1:70">
      <c r="A613" t="s">
        <v>847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24020</v>
      </c>
      <c r="AP613" s="1">
        <v>21298</v>
      </c>
      <c r="AQ613" s="1">
        <v>27374</v>
      </c>
      <c r="AR613" s="1">
        <v>0</v>
      </c>
      <c r="AS613" s="1">
        <v>31129</v>
      </c>
      <c r="AT613" s="1">
        <v>30172</v>
      </c>
      <c r="AU613" s="1">
        <v>29491</v>
      </c>
      <c r="AV613" s="1">
        <v>32010</v>
      </c>
      <c r="AW613" s="1">
        <v>0</v>
      </c>
      <c r="AX613" s="1">
        <v>0</v>
      </c>
      <c r="AY613" s="1"/>
      <c r="BA613" s="21">
        <f t="shared" si="558"/>
        <v>0</v>
      </c>
      <c r="BB613" s="22">
        <f t="shared" si="559"/>
        <v>0</v>
      </c>
      <c r="BD613" s="7">
        <f t="shared" si="560"/>
        <v>0</v>
      </c>
      <c r="BE613" s="7">
        <f t="shared" si="561"/>
        <v>0</v>
      </c>
      <c r="BF613" s="8" t="e">
        <f t="shared" si="562"/>
        <v>#DIV/0!</v>
      </c>
      <c r="BG613" s="7">
        <f t="shared" si="563"/>
        <v>0</v>
      </c>
      <c r="BI613" s="12">
        <f t="shared" si="564"/>
        <v>0</v>
      </c>
      <c r="BJ613" s="12">
        <f t="shared" si="565"/>
        <v>0</v>
      </c>
      <c r="BK613" s="13" t="e">
        <f t="shared" si="566"/>
        <v>#DIV/0!</v>
      </c>
      <c r="BL613" s="24">
        <f t="shared" si="567"/>
        <v>0</v>
      </c>
      <c r="BM613" s="24">
        <f t="shared" si="568"/>
        <v>0</v>
      </c>
      <c r="BO613" s="17">
        <f t="shared" si="569"/>
        <v>195494</v>
      </c>
      <c r="BP613" s="17">
        <f t="shared" si="570"/>
        <v>195494</v>
      </c>
      <c r="BQ613" s="18" t="e">
        <f t="shared" si="571"/>
        <v>#DIV/0!</v>
      </c>
      <c r="BR613" s="25">
        <f t="shared" si="572"/>
        <v>16291.166666666666</v>
      </c>
    </row>
    <row r="614" spans="1:70">
      <c r="A614" t="s">
        <v>848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24020</v>
      </c>
      <c r="AP614" s="1">
        <v>21298</v>
      </c>
      <c r="AQ614" s="1">
        <v>27374</v>
      </c>
      <c r="AR614" s="1">
        <v>0</v>
      </c>
      <c r="AS614" s="1">
        <v>31129</v>
      </c>
      <c r="AT614" s="1">
        <v>30172</v>
      </c>
      <c r="AU614" s="1">
        <v>29491</v>
      </c>
      <c r="AV614" s="1">
        <v>32010</v>
      </c>
      <c r="AW614" s="1">
        <v>0</v>
      </c>
      <c r="AX614" s="1">
        <v>0</v>
      </c>
      <c r="AY614" s="1"/>
      <c r="BA614" s="21">
        <f t="shared" si="558"/>
        <v>0</v>
      </c>
      <c r="BB614" s="22">
        <f t="shared" si="559"/>
        <v>0</v>
      </c>
      <c r="BD614" s="7">
        <f t="shared" si="560"/>
        <v>0</v>
      </c>
      <c r="BE614" s="7">
        <f t="shared" si="561"/>
        <v>0</v>
      </c>
      <c r="BF614" s="8" t="e">
        <f t="shared" si="562"/>
        <v>#DIV/0!</v>
      </c>
      <c r="BG614" s="7">
        <f t="shared" si="563"/>
        <v>0</v>
      </c>
      <c r="BI614" s="12">
        <f t="shared" si="564"/>
        <v>0</v>
      </c>
      <c r="BJ614" s="12">
        <f t="shared" si="565"/>
        <v>0</v>
      </c>
      <c r="BK614" s="13" t="e">
        <f t="shared" si="566"/>
        <v>#DIV/0!</v>
      </c>
      <c r="BL614" s="24">
        <f t="shared" si="567"/>
        <v>0</v>
      </c>
      <c r="BM614" s="24">
        <f t="shared" si="568"/>
        <v>0</v>
      </c>
      <c r="BO614" s="17">
        <f t="shared" si="569"/>
        <v>195494</v>
      </c>
      <c r="BP614" s="17">
        <f t="shared" si="570"/>
        <v>195494</v>
      </c>
      <c r="BQ614" s="18" t="e">
        <f t="shared" si="571"/>
        <v>#DIV/0!</v>
      </c>
      <c r="BR614" s="25">
        <f t="shared" si="572"/>
        <v>16291.166666666666</v>
      </c>
    </row>
    <row r="615" spans="1:70">
      <c r="A615" t="s">
        <v>849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24020</v>
      </c>
      <c r="AP615" s="1">
        <v>21298</v>
      </c>
      <c r="AQ615" s="1">
        <v>27374</v>
      </c>
      <c r="AR615" s="1">
        <v>0</v>
      </c>
      <c r="AS615" s="1">
        <v>31129</v>
      </c>
      <c r="AT615" s="1">
        <v>30172</v>
      </c>
      <c r="AU615" s="1">
        <v>29491</v>
      </c>
      <c r="AV615" s="1">
        <v>32010</v>
      </c>
      <c r="AW615" s="1">
        <v>0</v>
      </c>
      <c r="AX615" s="1">
        <v>0</v>
      </c>
      <c r="AY615" s="1"/>
      <c r="BA615" s="21">
        <f t="shared" si="558"/>
        <v>0</v>
      </c>
      <c r="BB615" s="22">
        <f t="shared" si="559"/>
        <v>0</v>
      </c>
      <c r="BD615" s="7">
        <f t="shared" si="560"/>
        <v>0</v>
      </c>
      <c r="BE615" s="7">
        <f t="shared" si="561"/>
        <v>0</v>
      </c>
      <c r="BF615" s="8" t="e">
        <f t="shared" si="562"/>
        <v>#DIV/0!</v>
      </c>
      <c r="BG615" s="7">
        <f t="shared" si="563"/>
        <v>0</v>
      </c>
      <c r="BI615" s="12">
        <f t="shared" si="564"/>
        <v>0</v>
      </c>
      <c r="BJ615" s="12">
        <f t="shared" si="565"/>
        <v>0</v>
      </c>
      <c r="BK615" s="13" t="e">
        <f t="shared" si="566"/>
        <v>#DIV/0!</v>
      </c>
      <c r="BL615" s="24">
        <f t="shared" si="567"/>
        <v>0</v>
      </c>
      <c r="BM615" s="24">
        <f t="shared" si="568"/>
        <v>0</v>
      </c>
      <c r="BO615" s="17">
        <f t="shared" si="569"/>
        <v>195494</v>
      </c>
      <c r="BP615" s="17">
        <f t="shared" si="570"/>
        <v>195494</v>
      </c>
      <c r="BQ615" s="18" t="e">
        <f t="shared" si="571"/>
        <v>#DIV/0!</v>
      </c>
      <c r="BR615" s="25">
        <f t="shared" si="572"/>
        <v>16291.166666666666</v>
      </c>
    </row>
    <row r="616" spans="1:70">
      <c r="A616" t="s">
        <v>850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24020</v>
      </c>
      <c r="AP616" s="1">
        <v>21298</v>
      </c>
      <c r="AQ616" s="1">
        <v>27374</v>
      </c>
      <c r="AR616" s="1">
        <v>0</v>
      </c>
      <c r="AS616" s="1">
        <v>31129</v>
      </c>
      <c r="AT616" s="1">
        <v>30172</v>
      </c>
      <c r="AU616" s="1">
        <v>29491</v>
      </c>
      <c r="AV616" s="1">
        <v>32010</v>
      </c>
      <c r="AW616" s="1">
        <v>0</v>
      </c>
      <c r="AX616" s="1">
        <v>0</v>
      </c>
      <c r="AY616" s="1"/>
      <c r="BA616" s="21">
        <f t="shared" si="558"/>
        <v>0</v>
      </c>
      <c r="BB616" s="22">
        <f t="shared" si="559"/>
        <v>0</v>
      </c>
      <c r="BD616" s="7">
        <f t="shared" si="560"/>
        <v>0</v>
      </c>
      <c r="BE616" s="7">
        <f t="shared" si="561"/>
        <v>0</v>
      </c>
      <c r="BF616" s="8" t="e">
        <f t="shared" si="562"/>
        <v>#DIV/0!</v>
      </c>
      <c r="BG616" s="7">
        <f t="shared" si="563"/>
        <v>0</v>
      </c>
      <c r="BI616" s="12">
        <f t="shared" si="564"/>
        <v>0</v>
      </c>
      <c r="BJ616" s="12">
        <f t="shared" si="565"/>
        <v>0</v>
      </c>
      <c r="BK616" s="13" t="e">
        <f t="shared" si="566"/>
        <v>#DIV/0!</v>
      </c>
      <c r="BL616" s="24">
        <f t="shared" si="567"/>
        <v>0</v>
      </c>
      <c r="BM616" s="24">
        <f t="shared" si="568"/>
        <v>0</v>
      </c>
      <c r="BO616" s="17">
        <f t="shared" si="569"/>
        <v>195494</v>
      </c>
      <c r="BP616" s="17">
        <f t="shared" si="570"/>
        <v>195494</v>
      </c>
      <c r="BQ616" s="18" t="e">
        <f t="shared" si="571"/>
        <v>#DIV/0!</v>
      </c>
      <c r="BR616" s="25">
        <f t="shared" si="572"/>
        <v>16291.166666666666</v>
      </c>
    </row>
    <row r="617" spans="1:70">
      <c r="A617" t="s">
        <v>851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24020</v>
      </c>
      <c r="AP617" s="1">
        <v>21298</v>
      </c>
      <c r="AQ617" s="1">
        <v>27374</v>
      </c>
      <c r="AR617" s="1">
        <v>0</v>
      </c>
      <c r="AS617" s="1">
        <v>31129</v>
      </c>
      <c r="AT617" s="1">
        <v>30172</v>
      </c>
      <c r="AU617" s="1">
        <v>29491</v>
      </c>
      <c r="AV617" s="1">
        <v>32010</v>
      </c>
      <c r="AW617" s="1">
        <v>0</v>
      </c>
      <c r="AX617" s="1">
        <v>0</v>
      </c>
      <c r="AY617" s="1"/>
      <c r="BA617" s="21">
        <f t="shared" si="558"/>
        <v>0</v>
      </c>
      <c r="BB617" s="22">
        <f t="shared" si="559"/>
        <v>0</v>
      </c>
      <c r="BD617" s="7">
        <f t="shared" si="560"/>
        <v>0</v>
      </c>
      <c r="BE617" s="7">
        <f t="shared" si="561"/>
        <v>0</v>
      </c>
      <c r="BF617" s="8" t="e">
        <f t="shared" si="562"/>
        <v>#DIV/0!</v>
      </c>
      <c r="BG617" s="7">
        <f t="shared" si="563"/>
        <v>0</v>
      </c>
      <c r="BI617" s="12">
        <f t="shared" si="564"/>
        <v>0</v>
      </c>
      <c r="BJ617" s="12">
        <f t="shared" si="565"/>
        <v>0</v>
      </c>
      <c r="BK617" s="13" t="e">
        <f t="shared" si="566"/>
        <v>#DIV/0!</v>
      </c>
      <c r="BL617" s="24">
        <f t="shared" si="567"/>
        <v>0</v>
      </c>
      <c r="BM617" s="24">
        <f t="shared" si="568"/>
        <v>0</v>
      </c>
      <c r="BO617" s="17">
        <f t="shared" si="569"/>
        <v>195494</v>
      </c>
      <c r="BP617" s="17">
        <f t="shared" si="570"/>
        <v>195494</v>
      </c>
      <c r="BQ617" s="18" t="e">
        <f t="shared" si="571"/>
        <v>#DIV/0!</v>
      </c>
      <c r="BR617" s="25">
        <f t="shared" si="572"/>
        <v>16291.166666666666</v>
      </c>
    </row>
    <row r="618" spans="1:70">
      <c r="A618" t="s">
        <v>852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24020</v>
      </c>
      <c r="AP618" s="1">
        <v>21298</v>
      </c>
      <c r="AQ618" s="1">
        <v>27374</v>
      </c>
      <c r="AR618" s="1">
        <v>0</v>
      </c>
      <c r="AS618" s="1">
        <v>31129</v>
      </c>
      <c r="AT618" s="1">
        <v>30172</v>
      </c>
      <c r="AU618" s="1">
        <v>29491</v>
      </c>
      <c r="AV618" s="1">
        <v>32010</v>
      </c>
      <c r="AW618" s="1">
        <v>0</v>
      </c>
      <c r="AX618" s="1">
        <v>0</v>
      </c>
      <c r="AY618" s="1"/>
      <c r="BA618" s="21">
        <f t="shared" si="558"/>
        <v>0</v>
      </c>
      <c r="BB618" s="22">
        <f t="shared" si="559"/>
        <v>0</v>
      </c>
      <c r="BD618" s="7">
        <f t="shared" si="560"/>
        <v>0</v>
      </c>
      <c r="BE618" s="7">
        <f t="shared" si="561"/>
        <v>0</v>
      </c>
      <c r="BF618" s="8" t="e">
        <f t="shared" si="562"/>
        <v>#DIV/0!</v>
      </c>
      <c r="BG618" s="7">
        <f t="shared" si="563"/>
        <v>0</v>
      </c>
      <c r="BI618" s="12">
        <f t="shared" si="564"/>
        <v>0</v>
      </c>
      <c r="BJ618" s="12">
        <f t="shared" si="565"/>
        <v>0</v>
      </c>
      <c r="BK618" s="13" t="e">
        <f t="shared" si="566"/>
        <v>#DIV/0!</v>
      </c>
      <c r="BL618" s="24">
        <f t="shared" si="567"/>
        <v>0</v>
      </c>
      <c r="BM618" s="24">
        <f t="shared" si="568"/>
        <v>0</v>
      </c>
      <c r="BO618" s="17">
        <f t="shared" si="569"/>
        <v>195494</v>
      </c>
      <c r="BP618" s="17">
        <f t="shared" si="570"/>
        <v>195494</v>
      </c>
      <c r="BQ618" s="18" t="e">
        <f t="shared" si="571"/>
        <v>#DIV/0!</v>
      </c>
      <c r="BR618" s="25">
        <f t="shared" si="572"/>
        <v>16291.166666666666</v>
      </c>
    </row>
    <row r="619" spans="1:70">
      <c r="A619" t="s">
        <v>853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24020</v>
      </c>
      <c r="AP619" s="1">
        <v>21298</v>
      </c>
      <c r="AQ619" s="1">
        <v>27374</v>
      </c>
      <c r="AR619" s="1">
        <v>0</v>
      </c>
      <c r="AS619" s="1">
        <v>31129</v>
      </c>
      <c r="AT619" s="1">
        <v>30172</v>
      </c>
      <c r="AU619" s="1">
        <v>29491</v>
      </c>
      <c r="AV619" s="1">
        <v>32010</v>
      </c>
      <c r="AW619" s="1">
        <v>0</v>
      </c>
      <c r="AX619" s="1">
        <v>0</v>
      </c>
      <c r="AY619" s="1"/>
      <c r="BA619" s="21">
        <f t="shared" si="558"/>
        <v>0</v>
      </c>
      <c r="BB619" s="22">
        <f t="shared" si="559"/>
        <v>0</v>
      </c>
      <c r="BD619" s="7">
        <f t="shared" si="560"/>
        <v>0</v>
      </c>
      <c r="BE619" s="7">
        <f t="shared" si="561"/>
        <v>0</v>
      </c>
      <c r="BF619" s="8" t="e">
        <f t="shared" si="562"/>
        <v>#DIV/0!</v>
      </c>
      <c r="BG619" s="7">
        <f t="shared" si="563"/>
        <v>0</v>
      </c>
      <c r="BI619" s="12">
        <f t="shared" si="564"/>
        <v>0</v>
      </c>
      <c r="BJ619" s="12">
        <f t="shared" si="565"/>
        <v>0</v>
      </c>
      <c r="BK619" s="13" t="e">
        <f t="shared" si="566"/>
        <v>#DIV/0!</v>
      </c>
      <c r="BL619" s="24">
        <f t="shared" si="567"/>
        <v>0</v>
      </c>
      <c r="BM619" s="24">
        <f t="shared" si="568"/>
        <v>0</v>
      </c>
      <c r="BO619" s="17">
        <f t="shared" si="569"/>
        <v>195494</v>
      </c>
      <c r="BP619" s="17">
        <f t="shared" si="570"/>
        <v>195494</v>
      </c>
      <c r="BQ619" s="18" t="e">
        <f t="shared" si="571"/>
        <v>#DIV/0!</v>
      </c>
      <c r="BR619" s="25">
        <f t="shared" si="572"/>
        <v>16291.166666666666</v>
      </c>
    </row>
    <row r="620" spans="1:70">
      <c r="A620" t="s">
        <v>854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24020</v>
      </c>
      <c r="AP620" s="1">
        <v>21298</v>
      </c>
      <c r="AQ620" s="1">
        <v>27374</v>
      </c>
      <c r="AR620" s="1">
        <v>0</v>
      </c>
      <c r="AS620" s="1">
        <v>31129</v>
      </c>
      <c r="AT620" s="1">
        <v>30172</v>
      </c>
      <c r="AU620" s="1">
        <v>29491</v>
      </c>
      <c r="AV620" s="1">
        <v>32010</v>
      </c>
      <c r="AW620" s="1">
        <v>0</v>
      </c>
      <c r="AX620" s="1">
        <v>0</v>
      </c>
      <c r="AY620" s="1"/>
      <c r="BA620" s="21">
        <f t="shared" si="558"/>
        <v>0</v>
      </c>
      <c r="BB620" s="22">
        <f t="shared" si="559"/>
        <v>0</v>
      </c>
      <c r="BD620" s="7">
        <f t="shared" si="560"/>
        <v>0</v>
      </c>
      <c r="BE620" s="7">
        <f t="shared" si="561"/>
        <v>0</v>
      </c>
      <c r="BF620" s="8" t="e">
        <f t="shared" si="562"/>
        <v>#DIV/0!</v>
      </c>
      <c r="BG620" s="7">
        <f t="shared" si="563"/>
        <v>0</v>
      </c>
      <c r="BI620" s="12">
        <f t="shared" si="564"/>
        <v>0</v>
      </c>
      <c r="BJ620" s="12">
        <f t="shared" si="565"/>
        <v>0</v>
      </c>
      <c r="BK620" s="13" t="e">
        <f t="shared" si="566"/>
        <v>#DIV/0!</v>
      </c>
      <c r="BL620" s="24">
        <f t="shared" si="567"/>
        <v>0</v>
      </c>
      <c r="BM620" s="24">
        <f t="shared" si="568"/>
        <v>0</v>
      </c>
      <c r="BO620" s="17">
        <f t="shared" si="569"/>
        <v>195494</v>
      </c>
      <c r="BP620" s="17">
        <f t="shared" si="570"/>
        <v>195494</v>
      </c>
      <c r="BQ620" s="18" t="e">
        <f t="shared" si="571"/>
        <v>#DIV/0!</v>
      </c>
      <c r="BR620" s="25">
        <f t="shared" si="572"/>
        <v>16291.166666666666</v>
      </c>
    </row>
    <row r="621" spans="1:70">
      <c r="A621" t="s">
        <v>855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24020</v>
      </c>
      <c r="AP621" s="1">
        <v>21298</v>
      </c>
      <c r="AQ621" s="1">
        <v>27374</v>
      </c>
      <c r="AR621" s="1">
        <v>0</v>
      </c>
      <c r="AS621" s="1">
        <v>31129</v>
      </c>
      <c r="AT621" s="1">
        <v>30172</v>
      </c>
      <c r="AU621" s="1">
        <v>29491</v>
      </c>
      <c r="AV621" s="1">
        <v>32010</v>
      </c>
      <c r="AW621" s="1">
        <v>0</v>
      </c>
      <c r="AX621" s="1">
        <v>0</v>
      </c>
      <c r="AY621" s="1"/>
      <c r="BA621" s="21">
        <f t="shared" si="558"/>
        <v>0</v>
      </c>
      <c r="BB621" s="22">
        <f t="shared" si="559"/>
        <v>0</v>
      </c>
      <c r="BD621" s="7">
        <f t="shared" si="560"/>
        <v>0</v>
      </c>
      <c r="BE621" s="7">
        <f t="shared" si="561"/>
        <v>0</v>
      </c>
      <c r="BF621" s="8" t="e">
        <f t="shared" si="562"/>
        <v>#DIV/0!</v>
      </c>
      <c r="BG621" s="7">
        <f t="shared" si="563"/>
        <v>0</v>
      </c>
      <c r="BI621" s="12">
        <f t="shared" si="564"/>
        <v>0</v>
      </c>
      <c r="BJ621" s="12">
        <f t="shared" si="565"/>
        <v>0</v>
      </c>
      <c r="BK621" s="13" t="e">
        <f t="shared" si="566"/>
        <v>#DIV/0!</v>
      </c>
      <c r="BL621" s="24">
        <f t="shared" si="567"/>
        <v>0</v>
      </c>
      <c r="BM621" s="24">
        <f t="shared" si="568"/>
        <v>0</v>
      </c>
      <c r="BO621" s="17">
        <f t="shared" si="569"/>
        <v>195494</v>
      </c>
      <c r="BP621" s="17">
        <f t="shared" si="570"/>
        <v>195494</v>
      </c>
      <c r="BQ621" s="18" t="e">
        <f t="shared" si="571"/>
        <v>#DIV/0!</v>
      </c>
      <c r="BR621" s="25">
        <f t="shared" si="572"/>
        <v>16291.166666666666</v>
      </c>
    </row>
    <row r="622" spans="1:70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BA622" s="21"/>
      <c r="BB622" s="22"/>
      <c r="BD622" s="7"/>
      <c r="BE622" s="7"/>
      <c r="BF622" s="8"/>
      <c r="BG622" s="7"/>
      <c r="BI622" s="12"/>
      <c r="BJ622" s="12"/>
      <c r="BK622" s="13"/>
      <c r="BL622" s="24"/>
      <c r="BM622" s="24"/>
      <c r="BO622" s="17"/>
      <c r="BP622" s="17"/>
      <c r="BQ622" s="18"/>
      <c r="BR622" s="25"/>
    </row>
    <row r="623" spans="1:70">
      <c r="A623" t="s">
        <v>11</v>
      </c>
      <c r="B623" t="s">
        <v>12</v>
      </c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BA623" s="21"/>
      <c r="BB623" s="22"/>
      <c r="BD623" s="7"/>
      <c r="BE623" s="7"/>
      <c r="BF623" s="8"/>
      <c r="BG623" s="7"/>
      <c r="BI623" s="12"/>
      <c r="BJ623" s="12"/>
      <c r="BK623" s="13"/>
      <c r="BL623" s="24"/>
      <c r="BM623" s="24"/>
      <c r="BO623" s="17"/>
      <c r="BP623" s="17"/>
      <c r="BQ623" s="18"/>
      <c r="BR623" s="25"/>
    </row>
    <row r="624" spans="1:70">
      <c r="A624" t="s">
        <v>856</v>
      </c>
      <c r="C624" s="1">
        <v>296191</v>
      </c>
      <c r="D624" s="1">
        <v>470051</v>
      </c>
      <c r="E624" s="1">
        <v>403679</v>
      </c>
      <c r="F624" s="1">
        <v>566102</v>
      </c>
      <c r="G624" s="1">
        <v>634823</v>
      </c>
      <c r="H624" s="1">
        <v>497460</v>
      </c>
      <c r="I624" s="1">
        <v>454520</v>
      </c>
      <c r="J624" s="1">
        <v>550494</v>
      </c>
      <c r="K624" s="1">
        <v>582242</v>
      </c>
      <c r="L624" s="1">
        <v>446260</v>
      </c>
      <c r="M624" s="1">
        <v>401863</v>
      </c>
      <c r="N624" s="1">
        <v>529563</v>
      </c>
      <c r="O624" s="1">
        <v>421047</v>
      </c>
      <c r="P624" s="1">
        <v>455374</v>
      </c>
      <c r="Q624" s="1">
        <v>301474</v>
      </c>
      <c r="R624" s="1">
        <v>411452</v>
      </c>
      <c r="S624" s="1">
        <v>506119</v>
      </c>
      <c r="T624" s="1">
        <v>445588</v>
      </c>
      <c r="U624" s="1">
        <v>497947</v>
      </c>
      <c r="V624" s="1">
        <v>866849</v>
      </c>
      <c r="W624" s="1">
        <v>418750</v>
      </c>
      <c r="X624" s="1">
        <v>418487</v>
      </c>
      <c r="Y624" s="1">
        <v>595660</v>
      </c>
      <c r="Z624" s="1">
        <v>704120</v>
      </c>
      <c r="AA624" s="1">
        <v>359226</v>
      </c>
      <c r="AB624" s="1">
        <v>541894</v>
      </c>
      <c r="AC624" s="1">
        <v>491536</v>
      </c>
      <c r="AD624" s="1">
        <v>482102</v>
      </c>
      <c r="AE624" s="1">
        <v>437677</v>
      </c>
      <c r="AF624" s="1">
        <v>859342</v>
      </c>
      <c r="AG624" s="1">
        <v>552399</v>
      </c>
      <c r="AH624" s="1">
        <v>595067</v>
      </c>
      <c r="AI624" s="1">
        <v>781601</v>
      </c>
      <c r="AJ624" s="1">
        <v>856802</v>
      </c>
      <c r="AK624" s="1">
        <v>484313</v>
      </c>
      <c r="AL624" s="1">
        <v>502817</v>
      </c>
      <c r="AM624" s="50">
        <v>607030</v>
      </c>
      <c r="AN624" s="1">
        <v>612764</v>
      </c>
      <c r="AO624" s="1">
        <v>648553</v>
      </c>
      <c r="AP624" s="1">
        <v>575058</v>
      </c>
      <c r="AQ624" s="1">
        <v>739109</v>
      </c>
      <c r="AR624" s="1">
        <v>600458</v>
      </c>
      <c r="AS624" s="1">
        <v>840470</v>
      </c>
      <c r="AT624" s="1">
        <v>814645</v>
      </c>
      <c r="AU624" s="1">
        <v>796263</v>
      </c>
      <c r="AV624" s="1">
        <v>864263</v>
      </c>
      <c r="AW624" s="1">
        <v>900674</v>
      </c>
      <c r="AX624" s="1">
        <v>847764</v>
      </c>
      <c r="AY624" s="1"/>
      <c r="BA624" s="21">
        <f>SUM(C624:N624)</f>
        <v>5833248</v>
      </c>
      <c r="BB624" s="22">
        <f t="shared" ref="BB624" si="573">+BA624/12</f>
        <v>486104</v>
      </c>
      <c r="BD624" s="7">
        <f>SUM(O624:Z624)</f>
        <v>6042867</v>
      </c>
      <c r="BE624" s="7">
        <f t="shared" ref="BE624" si="574">+BD624-BA624</f>
        <v>209619</v>
      </c>
      <c r="BF624" s="8">
        <f t="shared" ref="BF624" si="575">(BD624/BA624)-1</f>
        <v>3.593521139509237E-2</v>
      </c>
      <c r="BG624" s="7">
        <f t="shared" ref="BG624" si="576">BD624/12</f>
        <v>503572.25</v>
      </c>
      <c r="BI624" s="12">
        <f>+SUM(AA624:AL624)</f>
        <v>6944776</v>
      </c>
      <c r="BJ624" s="12">
        <f t="shared" ref="BJ624" si="577">+BI624-BD624</f>
        <v>901909</v>
      </c>
      <c r="BK624" s="13">
        <f t="shared" ref="BK624" si="578">(BI624/BD624)-1</f>
        <v>0.1492518369178073</v>
      </c>
      <c r="BL624" s="24">
        <f>SUM(AA624:AH624)/8</f>
        <v>539905.375</v>
      </c>
      <c r="BM624" s="24">
        <f>SUM(AI624:AL624)/4</f>
        <v>656383.25</v>
      </c>
      <c r="BO624" s="17">
        <f>+SUM(AM624:AX624)</f>
        <v>8847051</v>
      </c>
      <c r="BP624" s="17">
        <f t="shared" ref="BP624" si="579">+BO624-BI624</f>
        <v>1902275</v>
      </c>
      <c r="BQ624" s="18">
        <f t="shared" ref="BQ624" si="580">(BO624/BI624)-1</f>
        <v>0.27391452222505097</v>
      </c>
      <c r="BR624" s="25">
        <f t="shared" ref="BR624" si="581">BO624/12</f>
        <v>737254.25</v>
      </c>
    </row>
    <row r="625" spans="1:70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BA625" s="21"/>
      <c r="BB625" s="22"/>
      <c r="BD625" s="7"/>
      <c r="BE625" s="7"/>
      <c r="BF625" s="8"/>
      <c r="BG625" s="7"/>
      <c r="BI625" s="12"/>
      <c r="BJ625" s="12"/>
      <c r="BK625" s="13"/>
      <c r="BL625" s="24"/>
      <c r="BM625" s="24"/>
      <c r="BO625" s="17"/>
      <c r="BP625" s="17"/>
      <c r="BQ625" s="18"/>
      <c r="BR625" s="25"/>
    </row>
    <row r="626" spans="1:70">
      <c r="A626" t="s">
        <v>857</v>
      </c>
      <c r="B626">
        <v>440005</v>
      </c>
      <c r="C626" s="1">
        <v>158024</v>
      </c>
      <c r="D626" s="1">
        <v>172621</v>
      </c>
      <c r="E626" s="1">
        <v>148408</v>
      </c>
      <c r="F626" s="1">
        <v>177769</v>
      </c>
      <c r="G626" s="1">
        <v>177438</v>
      </c>
      <c r="H626" s="1">
        <v>216968</v>
      </c>
      <c r="I626" s="1">
        <v>314904</v>
      </c>
      <c r="J626" s="1">
        <v>154025</v>
      </c>
      <c r="K626" s="1">
        <v>220789</v>
      </c>
      <c r="L626" s="1">
        <v>199233</v>
      </c>
      <c r="M626" s="1">
        <v>186364</v>
      </c>
      <c r="N626" s="1">
        <v>425360</v>
      </c>
      <c r="O626" s="1">
        <v>170438</v>
      </c>
      <c r="P626" s="1">
        <v>164992</v>
      </c>
      <c r="Q626" s="1">
        <v>154518</v>
      </c>
      <c r="R626" s="1">
        <v>213844</v>
      </c>
      <c r="S626" s="1">
        <v>148344</v>
      </c>
      <c r="T626" s="1">
        <v>140801</v>
      </c>
      <c r="U626" s="1">
        <v>143500</v>
      </c>
      <c r="V626" s="1">
        <v>288872</v>
      </c>
      <c r="W626" s="1">
        <v>202706</v>
      </c>
      <c r="X626" s="1">
        <v>179279</v>
      </c>
      <c r="Y626" s="1">
        <v>180715</v>
      </c>
      <c r="Z626" s="1">
        <v>133702</v>
      </c>
      <c r="AA626" s="1">
        <v>114377</v>
      </c>
      <c r="AB626" s="1">
        <v>197403</v>
      </c>
      <c r="AC626" s="1">
        <v>203361</v>
      </c>
      <c r="AD626" s="1">
        <v>286861</v>
      </c>
      <c r="AE626" s="1">
        <v>216148</v>
      </c>
      <c r="AF626" s="1">
        <v>228249</v>
      </c>
      <c r="AG626" s="1">
        <v>141910</v>
      </c>
      <c r="AH626" s="1">
        <v>155044</v>
      </c>
      <c r="AI626" s="1">
        <v>215448</v>
      </c>
      <c r="AJ626" s="1">
        <v>86849</v>
      </c>
      <c r="AK626" s="1">
        <v>270000</v>
      </c>
      <c r="AL626" s="1">
        <v>193257</v>
      </c>
      <c r="AM626" s="1">
        <v>103048</v>
      </c>
      <c r="AN626" s="1">
        <v>103048</v>
      </c>
      <c r="AO626" s="1">
        <v>103048</v>
      </c>
      <c r="AP626" s="1">
        <v>109696</v>
      </c>
      <c r="AQ626" s="1">
        <v>109696</v>
      </c>
      <c r="AR626" s="1">
        <v>109696</v>
      </c>
      <c r="AS626" s="1">
        <v>116344</v>
      </c>
      <c r="AT626" s="1">
        <v>116344</v>
      </c>
      <c r="AU626" s="1">
        <v>116344</v>
      </c>
      <c r="AV626" s="1">
        <v>122992</v>
      </c>
      <c r="AW626" s="1">
        <v>122992</v>
      </c>
      <c r="AX626" s="1">
        <v>122992</v>
      </c>
      <c r="AY626" s="1"/>
      <c r="BA626" s="21">
        <f t="shared" ref="BA626:BA633" si="582">SUM(C626:N626)</f>
        <v>2551903</v>
      </c>
      <c r="BB626" s="22">
        <f t="shared" ref="BB626:BB633" si="583">+BA626/12</f>
        <v>212658.58333333334</v>
      </c>
      <c r="BD626" s="7">
        <f t="shared" ref="BD626:BD633" si="584">SUM(O626:Z626)</f>
        <v>2121711</v>
      </c>
      <c r="BE626" s="7">
        <f t="shared" ref="BE626:BE633" si="585">+BD626-BA626</f>
        <v>-430192</v>
      </c>
      <c r="BF626" s="8">
        <f t="shared" ref="BF626:BF633" si="586">(BD626/BA626)-1</f>
        <v>-0.1685769404244597</v>
      </c>
      <c r="BG626" s="7">
        <f t="shared" ref="BG626:BG633" si="587">BD626/12</f>
        <v>176809.25</v>
      </c>
      <c r="BI626" s="12">
        <f t="shared" ref="BI626:BI633" si="588">+SUM(AA626:AL626)</f>
        <v>2308907</v>
      </c>
      <c r="BJ626" s="12">
        <f t="shared" ref="BJ626:BJ633" si="589">+BI626-BD626</f>
        <v>187196</v>
      </c>
      <c r="BK626" s="13">
        <f t="shared" ref="BK626:BK633" si="590">(BI626/BD626)-1</f>
        <v>8.8228792705509873E-2</v>
      </c>
      <c r="BL626" s="24">
        <f t="shared" ref="BL626:BL633" si="591">SUM(AA626:AH626)/8</f>
        <v>192919.125</v>
      </c>
      <c r="BM626" s="24">
        <f t="shared" ref="BM626:BM633" si="592">SUM(AI626:AL626)/4</f>
        <v>191388.5</v>
      </c>
      <c r="BO626" s="17">
        <f t="shared" ref="BO626:BO633" si="593">+SUM(AM626:AX626)</f>
        <v>1356240</v>
      </c>
      <c r="BP626" s="17">
        <f t="shared" ref="BP626:BP633" si="594">+BO626-BI626</f>
        <v>-952667</v>
      </c>
      <c r="BQ626" s="18">
        <f t="shared" ref="BQ626:BQ633" si="595">(BO626/BI626)-1</f>
        <v>-0.41260518505076216</v>
      </c>
      <c r="BR626" s="25">
        <f t="shared" ref="BR626:BR633" si="596">BO626/12</f>
        <v>113020</v>
      </c>
    </row>
    <row r="627" spans="1:70">
      <c r="A627" t="s">
        <v>858</v>
      </c>
      <c r="B627">
        <v>440010</v>
      </c>
      <c r="C627" s="1">
        <v>34451</v>
      </c>
      <c r="D627" s="1">
        <v>99878</v>
      </c>
      <c r="E627" s="1">
        <v>82748</v>
      </c>
      <c r="F627" s="1">
        <v>111263</v>
      </c>
      <c r="G627" s="1">
        <v>38451</v>
      </c>
      <c r="H627" s="1">
        <v>7990</v>
      </c>
      <c r="I627" s="1">
        <v>64858</v>
      </c>
      <c r="J627" s="1">
        <v>40928</v>
      </c>
      <c r="K627" s="1">
        <v>42196</v>
      </c>
      <c r="L627" s="1">
        <v>-61349</v>
      </c>
      <c r="M627" s="1">
        <v>42725</v>
      </c>
      <c r="N627" s="1">
        <v>-81955</v>
      </c>
      <c r="O627" s="1">
        <v>48830</v>
      </c>
      <c r="P627" s="1">
        <v>17982</v>
      </c>
      <c r="Q627" s="1">
        <v>38222</v>
      </c>
      <c r="R627" s="1">
        <v>40481</v>
      </c>
      <c r="S627" s="1">
        <v>40295</v>
      </c>
      <c r="T627" s="1">
        <v>49791</v>
      </c>
      <c r="U627" s="1">
        <v>87163</v>
      </c>
      <c r="V627" s="1">
        <v>116500</v>
      </c>
      <c r="W627" s="1">
        <v>15874</v>
      </c>
      <c r="X627" s="1">
        <v>23368</v>
      </c>
      <c r="Y627" s="1">
        <v>19958</v>
      </c>
      <c r="Z627" s="1">
        <v>24980</v>
      </c>
      <c r="AA627" s="1">
        <v>40658</v>
      </c>
      <c r="AB627" s="1">
        <v>61072</v>
      </c>
      <c r="AC627" s="1">
        <v>45224</v>
      </c>
      <c r="AD627" s="1">
        <v>68327</v>
      </c>
      <c r="AE627" s="1">
        <v>-118930</v>
      </c>
      <c r="AF627" s="1">
        <v>36157</v>
      </c>
      <c r="AG627" s="1">
        <v>51719</v>
      </c>
      <c r="AH627" s="1">
        <v>40316</v>
      </c>
      <c r="AI627" s="1">
        <v>71519</v>
      </c>
      <c r="AJ627" s="1">
        <v>16725</v>
      </c>
      <c r="AK627" s="1">
        <v>56250</v>
      </c>
      <c r="AL627" s="1">
        <v>40262</v>
      </c>
      <c r="AM627" s="1">
        <v>107387</v>
      </c>
      <c r="AN627" s="1">
        <v>107387</v>
      </c>
      <c r="AO627" s="1">
        <v>107387</v>
      </c>
      <c r="AP627" s="1">
        <v>107387</v>
      </c>
      <c r="AQ627" s="1">
        <v>107390</v>
      </c>
      <c r="AR627" s="1">
        <v>107390</v>
      </c>
      <c r="AS627" s="1">
        <v>107390</v>
      </c>
      <c r="AT627" s="1">
        <v>107390</v>
      </c>
      <c r="AU627" s="1">
        <v>107388</v>
      </c>
      <c r="AV627" s="1">
        <v>107388</v>
      </c>
      <c r="AW627" s="1">
        <v>120685</v>
      </c>
      <c r="AX627" s="1">
        <v>107417</v>
      </c>
      <c r="AY627" s="1"/>
      <c r="BA627" s="21">
        <f t="shared" si="582"/>
        <v>422184</v>
      </c>
      <c r="BB627" s="22">
        <f t="shared" si="583"/>
        <v>35182</v>
      </c>
      <c r="BD627" s="7">
        <f t="shared" si="584"/>
        <v>523444</v>
      </c>
      <c r="BE627" s="7">
        <f t="shared" si="585"/>
        <v>101260</v>
      </c>
      <c r="BF627" s="8">
        <f t="shared" si="586"/>
        <v>0.23984802834782948</v>
      </c>
      <c r="BG627" s="7">
        <f t="shared" si="587"/>
        <v>43620.333333333336</v>
      </c>
      <c r="BI627" s="12">
        <f t="shared" si="588"/>
        <v>409299</v>
      </c>
      <c r="BJ627" s="12">
        <f t="shared" si="589"/>
        <v>-114145</v>
      </c>
      <c r="BK627" s="13">
        <f t="shared" si="590"/>
        <v>-0.21806535178548225</v>
      </c>
      <c r="BL627" s="24">
        <f t="shared" si="591"/>
        <v>28067.875</v>
      </c>
      <c r="BM627" s="24">
        <f t="shared" si="592"/>
        <v>46189</v>
      </c>
      <c r="BO627" s="17">
        <f t="shared" si="593"/>
        <v>1301986</v>
      </c>
      <c r="BP627" s="17">
        <f t="shared" si="594"/>
        <v>892687</v>
      </c>
      <c r="BQ627" s="18">
        <f t="shared" si="595"/>
        <v>2.1810143684690164</v>
      </c>
      <c r="BR627" s="25">
        <f t="shared" si="596"/>
        <v>108498.83333333333</v>
      </c>
    </row>
    <row r="628" spans="1:70">
      <c r="A628" t="s">
        <v>859</v>
      </c>
      <c r="B628">
        <v>440015</v>
      </c>
      <c r="C628" s="1">
        <v>18010</v>
      </c>
      <c r="D628" s="1">
        <v>7152</v>
      </c>
      <c r="E628" s="1">
        <v>8773</v>
      </c>
      <c r="F628" s="1">
        <v>8583</v>
      </c>
      <c r="G628" s="1">
        <v>8105</v>
      </c>
      <c r="H628" s="1">
        <v>12665</v>
      </c>
      <c r="I628" s="1">
        <v>9385</v>
      </c>
      <c r="J628" s="1">
        <v>3958</v>
      </c>
      <c r="K628" s="1">
        <v>6296</v>
      </c>
      <c r="L628" s="1">
        <v>36152</v>
      </c>
      <c r="M628" s="1">
        <v>17654</v>
      </c>
      <c r="N628" s="1">
        <v>24031</v>
      </c>
      <c r="O628" s="1">
        <v>7025</v>
      </c>
      <c r="P628" s="1">
        <v>4728</v>
      </c>
      <c r="Q628" s="1">
        <v>9076</v>
      </c>
      <c r="R628" s="1">
        <v>4581</v>
      </c>
      <c r="S628" s="1">
        <v>12836</v>
      </c>
      <c r="T628" s="1">
        <v>677</v>
      </c>
      <c r="U628" s="1">
        <v>16457</v>
      </c>
      <c r="V628" s="1">
        <v>231</v>
      </c>
      <c r="W628" s="1">
        <v>1435</v>
      </c>
      <c r="X628" s="1">
        <v>12737</v>
      </c>
      <c r="Y628" s="1">
        <v>18368</v>
      </c>
      <c r="Z628" s="1">
        <v>19991</v>
      </c>
      <c r="AA628" s="1">
        <v>16513</v>
      </c>
      <c r="AB628" s="1">
        <v>-17126</v>
      </c>
      <c r="AC628" s="1">
        <v>132</v>
      </c>
      <c r="AD628" s="1">
        <v>13385</v>
      </c>
      <c r="AE628" s="1">
        <v>1836</v>
      </c>
      <c r="AF628" s="1">
        <v>8628</v>
      </c>
      <c r="AG628" s="1">
        <v>13236</v>
      </c>
      <c r="AH628" s="1">
        <v>4950</v>
      </c>
      <c r="AI628" s="1">
        <v>4891</v>
      </c>
      <c r="AJ628" s="1">
        <v>10075</v>
      </c>
      <c r="AK628" s="1">
        <v>5000</v>
      </c>
      <c r="AL628" s="1">
        <v>3579</v>
      </c>
      <c r="AM628" s="1">
        <v>3518</v>
      </c>
      <c r="AN628" s="1">
        <v>3518</v>
      </c>
      <c r="AO628" s="1">
        <v>3518</v>
      </c>
      <c r="AP628" s="1">
        <v>3518</v>
      </c>
      <c r="AQ628" s="1">
        <v>3518</v>
      </c>
      <c r="AR628" s="1">
        <v>3518</v>
      </c>
      <c r="AS628" s="1">
        <v>3518</v>
      </c>
      <c r="AT628" s="1">
        <v>3518</v>
      </c>
      <c r="AU628" s="1">
        <v>3518</v>
      </c>
      <c r="AV628" s="1">
        <v>3518</v>
      </c>
      <c r="AW628" s="1">
        <v>3518</v>
      </c>
      <c r="AX628" s="1">
        <v>3523</v>
      </c>
      <c r="AY628" s="1"/>
      <c r="BA628" s="21">
        <f t="shared" si="582"/>
        <v>160764</v>
      </c>
      <c r="BB628" s="22">
        <f t="shared" si="583"/>
        <v>13397</v>
      </c>
      <c r="BD628" s="7">
        <f t="shared" si="584"/>
        <v>108142</v>
      </c>
      <c r="BE628" s="7">
        <f t="shared" si="585"/>
        <v>-52622</v>
      </c>
      <c r="BF628" s="8">
        <f t="shared" si="586"/>
        <v>-0.32732452539125678</v>
      </c>
      <c r="BG628" s="7">
        <f t="shared" si="587"/>
        <v>9011.8333333333339</v>
      </c>
      <c r="BI628" s="12">
        <f t="shared" si="588"/>
        <v>65099</v>
      </c>
      <c r="BJ628" s="12">
        <f t="shared" si="589"/>
        <v>-43043</v>
      </c>
      <c r="BK628" s="13">
        <f t="shared" si="590"/>
        <v>-0.39802296979896801</v>
      </c>
      <c r="BL628" s="24">
        <f t="shared" si="591"/>
        <v>5194.25</v>
      </c>
      <c r="BM628" s="24">
        <f t="shared" si="592"/>
        <v>5886.25</v>
      </c>
      <c r="BO628" s="17">
        <f t="shared" si="593"/>
        <v>42221</v>
      </c>
      <c r="BP628" s="17">
        <f t="shared" si="594"/>
        <v>-22878</v>
      </c>
      <c r="BQ628" s="18">
        <f t="shared" si="595"/>
        <v>-0.35143396979984332</v>
      </c>
      <c r="BR628" s="25">
        <f t="shared" si="596"/>
        <v>3518.4166666666665</v>
      </c>
    </row>
    <row r="629" spans="1:70">
      <c r="A629" t="s">
        <v>860</v>
      </c>
      <c r="B629">
        <v>440016</v>
      </c>
      <c r="C629" s="1">
        <v>69636</v>
      </c>
      <c r="D629" s="1">
        <v>150222</v>
      </c>
      <c r="E629" s="1">
        <v>144423</v>
      </c>
      <c r="F629" s="1">
        <v>163593</v>
      </c>
      <c r="G629" s="1">
        <v>114808</v>
      </c>
      <c r="H629" s="1">
        <v>169794</v>
      </c>
      <c r="I629" s="1">
        <v>135739</v>
      </c>
      <c r="J629" s="1">
        <v>127805</v>
      </c>
      <c r="K629" s="1">
        <v>115447</v>
      </c>
      <c r="L629" s="1">
        <v>112177</v>
      </c>
      <c r="M629" s="1">
        <v>127974</v>
      </c>
      <c r="N629" s="1">
        <v>108033</v>
      </c>
      <c r="O629" s="1">
        <v>46047</v>
      </c>
      <c r="P629" s="1">
        <v>41780</v>
      </c>
      <c r="Q629" s="1">
        <v>25974</v>
      </c>
      <c r="R629" s="1">
        <v>58103</v>
      </c>
      <c r="S629" s="1">
        <v>92850</v>
      </c>
      <c r="T629" s="1">
        <v>47101</v>
      </c>
      <c r="U629" s="1">
        <v>94695</v>
      </c>
      <c r="V629" s="1">
        <v>5334</v>
      </c>
      <c r="W629" s="1">
        <v>24777</v>
      </c>
      <c r="X629" s="1">
        <v>48874</v>
      </c>
      <c r="Y629" s="1">
        <v>-3432</v>
      </c>
      <c r="Z629" s="1">
        <v>89661</v>
      </c>
      <c r="AA629" s="1">
        <v>145635</v>
      </c>
      <c r="AB629" s="1">
        <v>82186</v>
      </c>
      <c r="AC629" s="1">
        <v>-14655</v>
      </c>
      <c r="AD629" s="1">
        <v>-17083</v>
      </c>
      <c r="AE629" s="1">
        <v>30950</v>
      </c>
      <c r="AF629" s="1">
        <v>44739</v>
      </c>
      <c r="AG629" s="1">
        <v>19740</v>
      </c>
      <c r="AH629" s="1">
        <v>-15504</v>
      </c>
      <c r="AI629" s="1">
        <v>71845</v>
      </c>
      <c r="AJ629" s="1">
        <v>144366</v>
      </c>
      <c r="AK629" s="1">
        <v>52000</v>
      </c>
      <c r="AL629" s="1">
        <v>241428</v>
      </c>
      <c r="AM629" s="1">
        <v>53186</v>
      </c>
      <c r="AN629" s="1">
        <v>53186</v>
      </c>
      <c r="AO629" s="1">
        <v>53186</v>
      </c>
      <c r="AP629" s="1">
        <v>56510</v>
      </c>
      <c r="AQ629" s="1">
        <v>56510</v>
      </c>
      <c r="AR629" s="1">
        <v>56510</v>
      </c>
      <c r="AS629" s="1">
        <v>63158</v>
      </c>
      <c r="AT629" s="1">
        <v>63158</v>
      </c>
      <c r="AU629" s="1">
        <v>63158</v>
      </c>
      <c r="AV629" s="1">
        <v>73131</v>
      </c>
      <c r="AW629" s="1">
        <v>69806</v>
      </c>
      <c r="AX629" s="1">
        <v>69806</v>
      </c>
      <c r="AY629" s="1"/>
      <c r="BA629" s="21">
        <f t="shared" si="582"/>
        <v>1539651</v>
      </c>
      <c r="BB629" s="22">
        <f t="shared" si="583"/>
        <v>128304.25</v>
      </c>
      <c r="BD629" s="7">
        <f t="shared" si="584"/>
        <v>571764</v>
      </c>
      <c r="BE629" s="7">
        <f t="shared" si="585"/>
        <v>-967887</v>
      </c>
      <c r="BF629" s="8">
        <f t="shared" si="586"/>
        <v>-0.62864051658460263</v>
      </c>
      <c r="BG629" s="7">
        <f t="shared" si="587"/>
        <v>47647</v>
      </c>
      <c r="BI629" s="12">
        <f t="shared" si="588"/>
        <v>785647</v>
      </c>
      <c r="BJ629" s="12">
        <f t="shared" si="589"/>
        <v>213883</v>
      </c>
      <c r="BK629" s="13">
        <f t="shared" si="590"/>
        <v>0.37407566758312871</v>
      </c>
      <c r="BL629" s="24">
        <f t="shared" si="591"/>
        <v>34501</v>
      </c>
      <c r="BM629" s="24">
        <f t="shared" si="592"/>
        <v>127409.75</v>
      </c>
      <c r="BO629" s="17">
        <f t="shared" si="593"/>
        <v>731305</v>
      </c>
      <c r="BP629" s="17">
        <f t="shared" si="594"/>
        <v>-54342</v>
      </c>
      <c r="BQ629" s="18">
        <f t="shared" si="595"/>
        <v>-6.916846879069094E-2</v>
      </c>
      <c r="BR629" s="25">
        <f t="shared" si="596"/>
        <v>60942.083333333336</v>
      </c>
    </row>
    <row r="630" spans="1:70">
      <c r="A630" t="s">
        <v>861</v>
      </c>
      <c r="B630">
        <v>440020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166667</v>
      </c>
      <c r="AF630" s="1">
        <v>33333</v>
      </c>
      <c r="AG630" s="1">
        <v>8333</v>
      </c>
      <c r="AH630" s="1">
        <v>8333</v>
      </c>
      <c r="AI630" s="1">
        <v>8333</v>
      </c>
      <c r="AJ630" s="1">
        <v>27766</v>
      </c>
      <c r="AK630" s="1">
        <v>8334</v>
      </c>
      <c r="AL630" s="1">
        <v>5965</v>
      </c>
      <c r="AM630" s="1">
        <v>13850</v>
      </c>
      <c r="AN630" s="1">
        <v>13850</v>
      </c>
      <c r="AO630" s="1">
        <v>13850</v>
      </c>
      <c r="AP630" s="1">
        <v>13850</v>
      </c>
      <c r="AQ630" s="1">
        <v>13850</v>
      </c>
      <c r="AR630" s="1">
        <v>13850</v>
      </c>
      <c r="AS630" s="1">
        <v>13850</v>
      </c>
      <c r="AT630" s="1">
        <v>13850</v>
      </c>
      <c r="AU630" s="1">
        <v>13850</v>
      </c>
      <c r="AV630" s="1">
        <v>13850</v>
      </c>
      <c r="AW630" s="1">
        <v>13850</v>
      </c>
      <c r="AX630" s="1">
        <v>13853</v>
      </c>
      <c r="AY630" s="1"/>
      <c r="BA630" s="21">
        <f t="shared" si="582"/>
        <v>0</v>
      </c>
      <c r="BB630" s="22">
        <f t="shared" si="583"/>
        <v>0</v>
      </c>
      <c r="BD630" s="7">
        <f t="shared" si="584"/>
        <v>0</v>
      </c>
      <c r="BE630" s="7">
        <f t="shared" si="585"/>
        <v>0</v>
      </c>
      <c r="BF630" s="8" t="e">
        <f t="shared" si="586"/>
        <v>#DIV/0!</v>
      </c>
      <c r="BG630" s="7">
        <f t="shared" si="587"/>
        <v>0</v>
      </c>
      <c r="BI630" s="12">
        <f t="shared" si="588"/>
        <v>267064</v>
      </c>
      <c r="BJ630" s="12">
        <f t="shared" si="589"/>
        <v>267064</v>
      </c>
      <c r="BK630" s="13" t="e">
        <f t="shared" si="590"/>
        <v>#DIV/0!</v>
      </c>
      <c r="BL630" s="24">
        <f t="shared" si="591"/>
        <v>27083.25</v>
      </c>
      <c r="BM630" s="24">
        <f t="shared" si="592"/>
        <v>12599.5</v>
      </c>
      <c r="BO630" s="17">
        <f t="shared" si="593"/>
        <v>166203</v>
      </c>
      <c r="BP630" s="17">
        <f t="shared" si="594"/>
        <v>-100861</v>
      </c>
      <c r="BQ630" s="18">
        <f t="shared" si="595"/>
        <v>-0.37766602761884793</v>
      </c>
      <c r="BR630" s="25">
        <f t="shared" si="596"/>
        <v>13850.25</v>
      </c>
    </row>
    <row r="631" spans="1:70">
      <c r="A631" t="s">
        <v>862</v>
      </c>
      <c r="B631">
        <v>440025</v>
      </c>
      <c r="C631" s="1">
        <v>0</v>
      </c>
      <c r="D631" s="1">
        <v>0</v>
      </c>
      <c r="E631" s="1">
        <v>1000</v>
      </c>
      <c r="F631" s="1">
        <v>-209</v>
      </c>
      <c r="G631" s="1">
        <v>365</v>
      </c>
      <c r="H631" s="1">
        <v>656</v>
      </c>
      <c r="I631" s="1">
        <v>140</v>
      </c>
      <c r="J631" s="1">
        <v>451</v>
      </c>
      <c r="K631" s="1">
        <v>16</v>
      </c>
      <c r="L631" s="1">
        <v>1336</v>
      </c>
      <c r="M631" s="1">
        <v>0</v>
      </c>
      <c r="N631" s="1">
        <v>1321</v>
      </c>
      <c r="O631" s="1">
        <v>0</v>
      </c>
      <c r="P631" s="1">
        <v>2787</v>
      </c>
      <c r="Q631" s="1">
        <v>365</v>
      </c>
      <c r="R631" s="1">
        <v>-365</v>
      </c>
      <c r="S631" s="1">
        <v>470</v>
      </c>
      <c r="T631" s="1">
        <v>1320</v>
      </c>
      <c r="U631" s="1">
        <v>789</v>
      </c>
      <c r="V631" s="1">
        <v>598</v>
      </c>
      <c r="W631" s="1">
        <v>0</v>
      </c>
      <c r="X631" s="1">
        <v>626</v>
      </c>
      <c r="Y631" s="1">
        <v>0</v>
      </c>
      <c r="Z631" s="1">
        <v>1354</v>
      </c>
      <c r="AA631" s="1">
        <v>0</v>
      </c>
      <c r="AB631" s="1">
        <v>0</v>
      </c>
      <c r="AC631" s="1">
        <v>0</v>
      </c>
      <c r="AD631" s="1">
        <v>392</v>
      </c>
      <c r="AE631" s="1">
        <v>810</v>
      </c>
      <c r="AF631" s="1">
        <v>2032</v>
      </c>
      <c r="AG631" s="1">
        <v>127</v>
      </c>
      <c r="AH631" s="1">
        <v>67</v>
      </c>
      <c r="AI631" s="1">
        <v>1243</v>
      </c>
      <c r="AJ631" s="1">
        <v>333</v>
      </c>
      <c r="AK631" s="1">
        <v>100</v>
      </c>
      <c r="AL631" s="1">
        <v>72</v>
      </c>
      <c r="AM631" s="1">
        <v>436</v>
      </c>
      <c r="AN631" s="1">
        <v>436</v>
      </c>
      <c r="AO631" s="1">
        <v>436</v>
      </c>
      <c r="AP631" s="1">
        <v>436</v>
      </c>
      <c r="AQ631" s="1">
        <v>436</v>
      </c>
      <c r="AR631" s="1">
        <v>436</v>
      </c>
      <c r="AS631" s="1">
        <v>436</v>
      </c>
      <c r="AT631" s="1">
        <v>436</v>
      </c>
      <c r="AU631" s="1">
        <v>436</v>
      </c>
      <c r="AV631" s="1">
        <v>436</v>
      </c>
      <c r="AW631" s="1">
        <v>436</v>
      </c>
      <c r="AX631" s="1">
        <v>445</v>
      </c>
      <c r="AY631" s="1"/>
      <c r="BA631" s="21">
        <f t="shared" si="582"/>
        <v>5076</v>
      </c>
      <c r="BB631" s="22">
        <f t="shared" si="583"/>
        <v>423</v>
      </c>
      <c r="BD631" s="7">
        <f t="shared" si="584"/>
        <v>7944</v>
      </c>
      <c r="BE631" s="7">
        <f t="shared" si="585"/>
        <v>2868</v>
      </c>
      <c r="BF631" s="8">
        <f t="shared" si="586"/>
        <v>0.56501182033096931</v>
      </c>
      <c r="BG631" s="7">
        <f t="shared" si="587"/>
        <v>662</v>
      </c>
      <c r="BI631" s="12">
        <f t="shared" si="588"/>
        <v>5176</v>
      </c>
      <c r="BJ631" s="12">
        <f t="shared" si="589"/>
        <v>-2768</v>
      </c>
      <c r="BK631" s="13">
        <f t="shared" si="590"/>
        <v>-0.34843907351460224</v>
      </c>
      <c r="BL631" s="24">
        <f t="shared" si="591"/>
        <v>428.5</v>
      </c>
      <c r="BM631" s="24">
        <f t="shared" si="592"/>
        <v>437</v>
      </c>
      <c r="BO631" s="17">
        <f t="shared" si="593"/>
        <v>5241</v>
      </c>
      <c r="BP631" s="17">
        <f t="shared" si="594"/>
        <v>65</v>
      </c>
      <c r="BQ631" s="18">
        <f t="shared" si="595"/>
        <v>1.2557959814528674E-2</v>
      </c>
      <c r="BR631" s="25">
        <f t="shared" si="596"/>
        <v>436.75</v>
      </c>
    </row>
    <row r="632" spans="1:70">
      <c r="A632" t="s">
        <v>863</v>
      </c>
      <c r="B632">
        <v>440030</v>
      </c>
      <c r="C632" s="1">
        <v>13260</v>
      </c>
      <c r="D632" s="1">
        <v>25696</v>
      </c>
      <c r="E632" s="1">
        <v>2709</v>
      </c>
      <c r="F632" s="1">
        <v>1299</v>
      </c>
      <c r="G632" s="1">
        <v>5543</v>
      </c>
      <c r="H632" s="1">
        <v>2683</v>
      </c>
      <c r="I632" s="1">
        <v>10913</v>
      </c>
      <c r="J632" s="1">
        <v>4580</v>
      </c>
      <c r="K632" s="1">
        <v>2306</v>
      </c>
      <c r="L632" s="1">
        <v>2429</v>
      </c>
      <c r="M632" s="1">
        <v>5245</v>
      </c>
      <c r="N632" s="1">
        <v>34308</v>
      </c>
      <c r="O632" s="1">
        <v>8333</v>
      </c>
      <c r="P632" s="1">
        <v>27042</v>
      </c>
      <c r="Q632" s="1">
        <v>1574</v>
      </c>
      <c r="R632" s="1">
        <v>10445</v>
      </c>
      <c r="S632" s="1">
        <v>37169</v>
      </c>
      <c r="T632" s="1">
        <v>41120</v>
      </c>
      <c r="U632" s="1">
        <v>34404</v>
      </c>
      <c r="V632" s="1">
        <v>8000</v>
      </c>
      <c r="W632" s="1">
        <v>15138</v>
      </c>
      <c r="X632" s="1">
        <v>14560</v>
      </c>
      <c r="Y632" s="1">
        <v>17603</v>
      </c>
      <c r="Z632" s="1">
        <v>10027</v>
      </c>
      <c r="AA632" s="1">
        <v>2357</v>
      </c>
      <c r="AB632" s="1">
        <v>3072</v>
      </c>
      <c r="AC632" s="1">
        <v>10924</v>
      </c>
      <c r="AD632" s="1">
        <v>24581</v>
      </c>
      <c r="AE632" s="1">
        <v>3557</v>
      </c>
      <c r="AF632" s="1">
        <v>30119</v>
      </c>
      <c r="AG632" s="1">
        <v>2013</v>
      </c>
      <c r="AH632" s="1">
        <v>8215</v>
      </c>
      <c r="AI632" s="1">
        <v>2048</v>
      </c>
      <c r="AJ632" s="1">
        <v>42412</v>
      </c>
      <c r="AK632" s="1">
        <v>26666</v>
      </c>
      <c r="AL632" s="1">
        <v>19087</v>
      </c>
      <c r="AM632" s="1">
        <v>16654</v>
      </c>
      <c r="AN632" s="1">
        <v>16654</v>
      </c>
      <c r="AO632" s="1">
        <v>16654</v>
      </c>
      <c r="AP632" s="1">
        <v>16654</v>
      </c>
      <c r="AQ632" s="1">
        <v>16654</v>
      </c>
      <c r="AR632" s="1">
        <v>16654</v>
      </c>
      <c r="AS632" s="1">
        <v>16654</v>
      </c>
      <c r="AT632" s="1">
        <v>16654</v>
      </c>
      <c r="AU632" s="1">
        <v>16654</v>
      </c>
      <c r="AV632" s="1">
        <v>16654</v>
      </c>
      <c r="AW632" s="1">
        <v>16654</v>
      </c>
      <c r="AX632" s="1">
        <v>16654</v>
      </c>
      <c r="AY632" s="1"/>
      <c r="BA632" s="21">
        <f t="shared" si="582"/>
        <v>110971</v>
      </c>
      <c r="BB632" s="22">
        <f t="shared" si="583"/>
        <v>9247.5833333333339</v>
      </c>
      <c r="BD632" s="7">
        <f t="shared" si="584"/>
        <v>225415</v>
      </c>
      <c r="BE632" s="7">
        <f t="shared" si="585"/>
        <v>114444</v>
      </c>
      <c r="BF632" s="8">
        <f t="shared" si="586"/>
        <v>1.0312964648421659</v>
      </c>
      <c r="BG632" s="7">
        <f t="shared" si="587"/>
        <v>18784.583333333332</v>
      </c>
      <c r="BI632" s="12">
        <f t="shared" si="588"/>
        <v>175051</v>
      </c>
      <c r="BJ632" s="12">
        <f t="shared" si="589"/>
        <v>-50364</v>
      </c>
      <c r="BK632" s="13">
        <f t="shared" si="590"/>
        <v>-0.22342789965175347</v>
      </c>
      <c r="BL632" s="24">
        <f t="shared" si="591"/>
        <v>10604.75</v>
      </c>
      <c r="BM632" s="24">
        <f t="shared" si="592"/>
        <v>22553.25</v>
      </c>
      <c r="BO632" s="17">
        <f t="shared" si="593"/>
        <v>199848</v>
      </c>
      <c r="BP632" s="17">
        <f t="shared" si="594"/>
        <v>24797</v>
      </c>
      <c r="BQ632" s="18">
        <f t="shared" si="595"/>
        <v>0.14165586029214339</v>
      </c>
      <c r="BR632" s="25">
        <f t="shared" si="596"/>
        <v>16654</v>
      </c>
    </row>
    <row r="633" spans="1:70">
      <c r="A633" t="s">
        <v>864</v>
      </c>
      <c r="B633">
        <v>440035</v>
      </c>
      <c r="C633" s="1">
        <v>8691</v>
      </c>
      <c r="D633" s="1">
        <v>969</v>
      </c>
      <c r="E633" s="1">
        <v>1612</v>
      </c>
      <c r="F633" s="1">
        <v>1731</v>
      </c>
      <c r="G633" s="1">
        <v>961</v>
      </c>
      <c r="H633" s="1">
        <v>2609</v>
      </c>
      <c r="I633" s="1">
        <v>2941</v>
      </c>
      <c r="J633" s="1">
        <v>2247</v>
      </c>
      <c r="K633" s="1">
        <v>440</v>
      </c>
      <c r="L633" s="1">
        <v>434</v>
      </c>
      <c r="M633" s="1">
        <v>0</v>
      </c>
      <c r="N633" s="1">
        <v>22000</v>
      </c>
      <c r="O633" s="1">
        <v>0</v>
      </c>
      <c r="P633" s="1">
        <v>-12402</v>
      </c>
      <c r="Q633" s="1">
        <v>0</v>
      </c>
      <c r="R633" s="1">
        <v>0</v>
      </c>
      <c r="S633" s="1">
        <v>0</v>
      </c>
      <c r="T633" s="1">
        <v>1000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55401</v>
      </c>
      <c r="AN633" s="1">
        <v>55401</v>
      </c>
      <c r="AO633" s="1">
        <v>55401</v>
      </c>
      <c r="AP633" s="1">
        <v>55401</v>
      </c>
      <c r="AQ633" s="1">
        <v>55401</v>
      </c>
      <c r="AR633" s="1">
        <v>55401</v>
      </c>
      <c r="AS633" s="1">
        <v>55401</v>
      </c>
      <c r="AT633" s="1">
        <v>55401</v>
      </c>
      <c r="AU633" s="1">
        <v>55401</v>
      </c>
      <c r="AV633" s="1">
        <v>55401</v>
      </c>
      <c r="AW633" s="1">
        <v>55401</v>
      </c>
      <c r="AX633" s="1">
        <v>55412</v>
      </c>
      <c r="AY633" s="1"/>
      <c r="BA633" s="21">
        <f t="shared" si="582"/>
        <v>44635</v>
      </c>
      <c r="BB633" s="22">
        <f t="shared" si="583"/>
        <v>3719.5833333333335</v>
      </c>
      <c r="BD633" s="7">
        <f t="shared" si="584"/>
        <v>-11402</v>
      </c>
      <c r="BE633" s="7">
        <f t="shared" si="585"/>
        <v>-56037</v>
      </c>
      <c r="BF633" s="8">
        <f t="shared" si="586"/>
        <v>-1.2554497591576117</v>
      </c>
      <c r="BG633" s="7">
        <f t="shared" si="587"/>
        <v>-950.16666666666663</v>
      </c>
      <c r="BI633" s="12">
        <f t="shared" si="588"/>
        <v>0</v>
      </c>
      <c r="BJ633" s="12">
        <f t="shared" si="589"/>
        <v>11402</v>
      </c>
      <c r="BK633" s="13">
        <f t="shared" si="590"/>
        <v>-1</v>
      </c>
      <c r="BL633" s="24">
        <f t="shared" si="591"/>
        <v>0</v>
      </c>
      <c r="BM633" s="24">
        <f t="shared" si="592"/>
        <v>0</v>
      </c>
      <c r="BO633" s="17">
        <f t="shared" si="593"/>
        <v>664823</v>
      </c>
      <c r="BP633" s="17">
        <f t="shared" si="594"/>
        <v>664823</v>
      </c>
      <c r="BQ633" s="18" t="e">
        <f t="shared" si="595"/>
        <v>#DIV/0!</v>
      </c>
      <c r="BR633" s="25">
        <f t="shared" si="596"/>
        <v>55401.916666666664</v>
      </c>
    </row>
    <row r="634" spans="1:70">
      <c r="A634" t="s">
        <v>11</v>
      </c>
      <c r="B634" t="s">
        <v>12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BA634" s="21"/>
      <c r="BB634" s="22"/>
      <c r="BD634" s="7"/>
      <c r="BE634" s="7"/>
      <c r="BF634" s="8"/>
      <c r="BG634" s="7"/>
      <c r="BI634" s="12"/>
      <c r="BJ634" s="12"/>
      <c r="BK634" s="13"/>
      <c r="BL634" s="24"/>
      <c r="BM634" s="24"/>
      <c r="BO634" s="17"/>
      <c r="BP634" s="17"/>
      <c r="BQ634" s="18"/>
      <c r="BR634" s="25"/>
    </row>
    <row r="635" spans="1:70">
      <c r="A635" t="s">
        <v>865</v>
      </c>
      <c r="C635" s="1">
        <v>302071</v>
      </c>
      <c r="D635" s="1">
        <v>456539</v>
      </c>
      <c r="E635" s="1">
        <v>389674</v>
      </c>
      <c r="F635" s="1">
        <v>464029</v>
      </c>
      <c r="G635" s="1">
        <v>345671</v>
      </c>
      <c r="H635" s="1">
        <v>413366</v>
      </c>
      <c r="I635" s="1">
        <v>538879</v>
      </c>
      <c r="J635" s="1">
        <v>333996</v>
      </c>
      <c r="K635" s="1">
        <v>387491</v>
      </c>
      <c r="L635" s="1">
        <v>290412</v>
      </c>
      <c r="M635" s="1">
        <v>379962</v>
      </c>
      <c r="N635" s="1">
        <v>533098</v>
      </c>
      <c r="O635" s="1">
        <v>280673</v>
      </c>
      <c r="P635" s="1">
        <v>246910</v>
      </c>
      <c r="Q635" s="1">
        <v>229730</v>
      </c>
      <c r="R635" s="1">
        <v>327089</v>
      </c>
      <c r="S635" s="1">
        <v>331963</v>
      </c>
      <c r="T635" s="1">
        <v>281810</v>
      </c>
      <c r="U635" s="1">
        <v>377008</v>
      </c>
      <c r="V635" s="1">
        <v>419536</v>
      </c>
      <c r="W635" s="1">
        <v>259930</v>
      </c>
      <c r="X635" s="1">
        <v>279444</v>
      </c>
      <c r="Y635" s="1">
        <v>233210</v>
      </c>
      <c r="Z635" s="1">
        <v>279715</v>
      </c>
      <c r="AA635" s="1">
        <v>319539</v>
      </c>
      <c r="AB635" s="1">
        <v>326607</v>
      </c>
      <c r="AC635" s="1">
        <v>244987</v>
      </c>
      <c r="AD635" s="1">
        <v>376463</v>
      </c>
      <c r="AE635" s="1">
        <v>301037</v>
      </c>
      <c r="AF635" s="1">
        <v>383257</v>
      </c>
      <c r="AG635" s="1">
        <v>237078</v>
      </c>
      <c r="AH635" s="1">
        <v>201421</v>
      </c>
      <c r="AI635" s="1">
        <v>375327</v>
      </c>
      <c r="AJ635" s="1">
        <v>328525</v>
      </c>
      <c r="AK635" s="1">
        <v>418350</v>
      </c>
      <c r="AL635" s="1">
        <v>503650</v>
      </c>
      <c r="AM635" s="50">
        <v>353479</v>
      </c>
      <c r="AN635" s="1">
        <v>353479</v>
      </c>
      <c r="AO635" s="1">
        <v>353479</v>
      </c>
      <c r="AP635" s="1">
        <v>363451</v>
      </c>
      <c r="AQ635" s="1">
        <v>363454</v>
      </c>
      <c r="AR635" s="1">
        <v>363454</v>
      </c>
      <c r="AS635" s="1">
        <v>376751</v>
      </c>
      <c r="AT635" s="1">
        <v>376751</v>
      </c>
      <c r="AU635" s="1">
        <v>376749</v>
      </c>
      <c r="AV635" s="1">
        <v>393370</v>
      </c>
      <c r="AW635" s="1">
        <v>403342</v>
      </c>
      <c r="AX635" s="1">
        <v>390103</v>
      </c>
      <c r="AY635" s="1"/>
      <c r="BA635" s="21">
        <f>SUM(C635:N635)</f>
        <v>4835188</v>
      </c>
      <c r="BB635" s="22">
        <f t="shared" ref="BB635" si="597">+BA635/12</f>
        <v>402932.33333333331</v>
      </c>
      <c r="BD635" s="7">
        <f>SUM(O635:Z635)</f>
        <v>3547018</v>
      </c>
      <c r="BE635" s="7">
        <f t="shared" ref="BE635" si="598">+BD635-BA635</f>
        <v>-1288170</v>
      </c>
      <c r="BF635" s="8">
        <f t="shared" ref="BF635" si="599">(BD635/BA635)-1</f>
        <v>-0.26641570089932387</v>
      </c>
      <c r="BG635" s="7">
        <f t="shared" ref="BG635" si="600">BD635/12</f>
        <v>295584.83333333331</v>
      </c>
      <c r="BI635" s="12">
        <f>+SUM(AA635:AL635)</f>
        <v>4016241</v>
      </c>
      <c r="BJ635" s="12">
        <f t="shared" ref="BJ635" si="601">+BI635-BD635</f>
        <v>469223</v>
      </c>
      <c r="BK635" s="13">
        <f t="shared" ref="BK635" si="602">(BI635/BD635)-1</f>
        <v>0.13228661371326567</v>
      </c>
      <c r="BL635" s="24">
        <f>SUM(AA635:AH635)/8</f>
        <v>298798.625</v>
      </c>
      <c r="BM635" s="24">
        <f>SUM(AI635:AL635)/4</f>
        <v>406463</v>
      </c>
      <c r="BO635" s="17">
        <f>+SUM(AM635:AX635)</f>
        <v>4467862</v>
      </c>
      <c r="BP635" s="17">
        <f t="shared" ref="BP635" si="603">+BO635-BI635</f>
        <v>451621</v>
      </c>
      <c r="BQ635" s="18">
        <f t="shared" ref="BQ635" si="604">(BO635/BI635)-1</f>
        <v>0.11244868024603116</v>
      </c>
      <c r="BR635" s="25">
        <f t="shared" ref="BR635" si="605">BO635/12</f>
        <v>372321.83333333331</v>
      </c>
    </row>
    <row r="636" spans="1:70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BA636" s="21"/>
      <c r="BB636" s="22"/>
      <c r="BD636" s="7"/>
      <c r="BE636" s="7"/>
      <c r="BF636" s="8"/>
      <c r="BG636" s="7"/>
      <c r="BI636" s="12"/>
      <c r="BJ636" s="12"/>
      <c r="BK636" s="13"/>
      <c r="BL636" s="24"/>
      <c r="BM636" s="24"/>
      <c r="BO636" s="17"/>
      <c r="BP636" s="17"/>
      <c r="BQ636" s="18"/>
      <c r="BR636" s="25"/>
    </row>
    <row r="637" spans="1:70">
      <c r="A637" t="s">
        <v>866</v>
      </c>
      <c r="B637">
        <v>450005</v>
      </c>
      <c r="C637" s="1">
        <v>4635</v>
      </c>
      <c r="D637" s="1">
        <v>0</v>
      </c>
      <c r="E637" s="1">
        <v>0</v>
      </c>
      <c r="F637" s="1">
        <v>4521</v>
      </c>
      <c r="G637" s="1">
        <v>0</v>
      </c>
      <c r="H637" s="1">
        <v>0</v>
      </c>
      <c r="I637" s="1">
        <v>4563</v>
      </c>
      <c r="J637" s="1">
        <v>0</v>
      </c>
      <c r="K637" s="1">
        <v>0</v>
      </c>
      <c r="L637" s="1">
        <v>5650</v>
      </c>
      <c r="M637" s="1">
        <v>446</v>
      </c>
      <c r="N637" s="1">
        <v>446</v>
      </c>
      <c r="O637" s="1">
        <v>4899</v>
      </c>
      <c r="P637" s="1">
        <v>446</v>
      </c>
      <c r="Q637" s="1">
        <v>446</v>
      </c>
      <c r="R637" s="1">
        <v>2312</v>
      </c>
      <c r="S637" s="1">
        <v>4328</v>
      </c>
      <c r="T637" s="1">
        <v>446</v>
      </c>
      <c r="U637" s="1">
        <v>6389</v>
      </c>
      <c r="V637" s="1">
        <v>446</v>
      </c>
      <c r="W637" s="1">
        <v>446</v>
      </c>
      <c r="X637" s="1">
        <v>6905</v>
      </c>
      <c r="Y637" s="1">
        <v>0</v>
      </c>
      <c r="Z637" s="1">
        <v>0</v>
      </c>
      <c r="AA637" s="1">
        <v>1903</v>
      </c>
      <c r="AB637" s="1">
        <v>4771</v>
      </c>
      <c r="AC637" s="1">
        <v>0</v>
      </c>
      <c r="AD637" s="1">
        <v>6153</v>
      </c>
      <c r="AE637" s="1">
        <v>0</v>
      </c>
      <c r="AF637" s="1">
        <v>0</v>
      </c>
      <c r="AG637" s="1">
        <v>5608</v>
      </c>
      <c r="AH637" s="1">
        <v>0</v>
      </c>
      <c r="AI637" s="1">
        <v>0</v>
      </c>
      <c r="AJ637" s="1">
        <v>5900</v>
      </c>
      <c r="AK637" s="1">
        <v>0</v>
      </c>
      <c r="AL637" s="1">
        <v>0</v>
      </c>
      <c r="AM637" s="1">
        <v>3366</v>
      </c>
      <c r="AN637" s="1">
        <v>1466</v>
      </c>
      <c r="AO637" s="1">
        <v>1466</v>
      </c>
      <c r="AP637" s="1">
        <v>3366</v>
      </c>
      <c r="AQ637" s="1">
        <v>1466</v>
      </c>
      <c r="AR637" s="1">
        <v>1466</v>
      </c>
      <c r="AS637" s="1">
        <v>3366</v>
      </c>
      <c r="AT637" s="1">
        <v>1466</v>
      </c>
      <c r="AU637" s="1">
        <v>1466</v>
      </c>
      <c r="AV637" s="1">
        <v>3366</v>
      </c>
      <c r="AW637" s="1">
        <v>1466</v>
      </c>
      <c r="AX637" s="1">
        <v>1476</v>
      </c>
      <c r="AY637" s="1"/>
      <c r="BA637" s="21">
        <f>SUM(C637:N637)</f>
        <v>20261</v>
      </c>
      <c r="BB637" s="22">
        <f t="shared" ref="BB637" si="606">+BA637/12</f>
        <v>1688.4166666666667</v>
      </c>
      <c r="BD637" s="7">
        <f>SUM(O637:Z637)</f>
        <v>27063</v>
      </c>
      <c r="BE637" s="7">
        <f t="shared" ref="BE637" si="607">+BD637-BA637</f>
        <v>6802</v>
      </c>
      <c r="BF637" s="8">
        <f t="shared" ref="BF637" si="608">(BD637/BA637)-1</f>
        <v>0.33571886876264756</v>
      </c>
      <c r="BG637" s="7">
        <f t="shared" ref="BG637" si="609">BD637/12</f>
        <v>2255.25</v>
      </c>
      <c r="BI637" s="12">
        <f>+SUM(AA637:AL637)</f>
        <v>24335</v>
      </c>
      <c r="BJ637" s="12">
        <f t="shared" ref="BJ637" si="610">+BI637-BD637</f>
        <v>-2728</v>
      </c>
      <c r="BK637" s="13">
        <f t="shared" ref="BK637" si="611">(BI637/BD637)-1</f>
        <v>-0.10080183276059562</v>
      </c>
      <c r="BL637" s="24">
        <f>SUM(AA637:AH637)/8</f>
        <v>2304.375</v>
      </c>
      <c r="BM637" s="24">
        <f>SUM(AI637:AL637)/4</f>
        <v>1475</v>
      </c>
      <c r="BO637" s="17">
        <f>+SUM(AM637:AX637)</f>
        <v>25202</v>
      </c>
      <c r="BP637" s="17">
        <f t="shared" ref="BP637" si="612">+BO637-BI637</f>
        <v>867</v>
      </c>
      <c r="BQ637" s="18">
        <f t="shared" ref="BQ637" si="613">(BO637/BI637)-1</f>
        <v>3.56276967331004E-2</v>
      </c>
      <c r="BR637" s="25">
        <f t="shared" ref="BR637" si="614">BO637/12</f>
        <v>2100.1666666666665</v>
      </c>
    </row>
    <row r="638" spans="1:70">
      <c r="A638" t="s">
        <v>11</v>
      </c>
      <c r="B638" t="s">
        <v>12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BA638" s="21"/>
      <c r="BB638" s="22"/>
      <c r="BD638" s="7"/>
      <c r="BE638" s="7"/>
      <c r="BF638" s="8"/>
      <c r="BG638" s="7"/>
      <c r="BI638" s="12"/>
      <c r="BJ638" s="12"/>
      <c r="BK638" s="13"/>
      <c r="BL638" s="24"/>
      <c r="BM638" s="24"/>
      <c r="BO638" s="17"/>
      <c r="BP638" s="17"/>
      <c r="BQ638" s="18"/>
      <c r="BR638" s="25"/>
    </row>
    <row r="639" spans="1:70">
      <c r="A639" t="s">
        <v>867</v>
      </c>
      <c r="C639" s="1">
        <v>4635</v>
      </c>
      <c r="D639" s="1">
        <v>0</v>
      </c>
      <c r="E639" s="1">
        <v>0</v>
      </c>
      <c r="F639" s="1">
        <v>4521</v>
      </c>
      <c r="G639" s="1">
        <v>0</v>
      </c>
      <c r="H639" s="1">
        <v>0</v>
      </c>
      <c r="I639" s="1">
        <v>4563</v>
      </c>
      <c r="J639" s="1">
        <v>0</v>
      </c>
      <c r="K639" s="1">
        <v>0</v>
      </c>
      <c r="L639" s="1">
        <v>5650</v>
      </c>
      <c r="M639" s="1">
        <v>446</v>
      </c>
      <c r="N639" s="1">
        <v>446</v>
      </c>
      <c r="O639" s="1">
        <v>4899</v>
      </c>
      <c r="P639" s="1">
        <v>446</v>
      </c>
      <c r="Q639" s="1">
        <v>446</v>
      </c>
      <c r="R639" s="1">
        <v>2312</v>
      </c>
      <c r="S639" s="1">
        <v>4328</v>
      </c>
      <c r="T639" s="1">
        <v>446</v>
      </c>
      <c r="U639" s="1">
        <v>6389</v>
      </c>
      <c r="V639" s="1">
        <v>446</v>
      </c>
      <c r="W639" s="1">
        <v>446</v>
      </c>
      <c r="X639" s="1">
        <v>6905</v>
      </c>
      <c r="Y639" s="1">
        <v>0</v>
      </c>
      <c r="Z639" s="1">
        <v>0</v>
      </c>
      <c r="AA639" s="1">
        <v>1903</v>
      </c>
      <c r="AB639" s="1">
        <v>4771</v>
      </c>
      <c r="AC639" s="1">
        <v>0</v>
      </c>
      <c r="AD639" s="1">
        <v>6153</v>
      </c>
      <c r="AE639" s="1">
        <v>0</v>
      </c>
      <c r="AF639" s="1">
        <v>0</v>
      </c>
      <c r="AG639" s="1">
        <v>5608</v>
      </c>
      <c r="AH639" s="1">
        <v>0</v>
      </c>
      <c r="AI639" s="1">
        <v>0</v>
      </c>
      <c r="AJ639" s="1">
        <v>5900</v>
      </c>
      <c r="AK639" s="1">
        <v>0</v>
      </c>
      <c r="AL639" s="1">
        <v>0</v>
      </c>
      <c r="AM639" s="50">
        <v>3366</v>
      </c>
      <c r="AN639" s="1">
        <v>1466</v>
      </c>
      <c r="AO639" s="1">
        <v>1466</v>
      </c>
      <c r="AP639" s="1">
        <v>3366</v>
      </c>
      <c r="AQ639" s="1">
        <v>1466</v>
      </c>
      <c r="AR639" s="1">
        <v>1466</v>
      </c>
      <c r="AS639" s="1">
        <v>3366</v>
      </c>
      <c r="AT639" s="1">
        <v>1466</v>
      </c>
      <c r="AU639" s="1">
        <v>1466</v>
      </c>
      <c r="AV639" s="1">
        <v>3366</v>
      </c>
      <c r="AW639" s="1">
        <v>1466</v>
      </c>
      <c r="AX639" s="1">
        <v>1476</v>
      </c>
      <c r="AY639" s="1"/>
      <c r="BA639" s="21">
        <f>SUM(C639:N639)</f>
        <v>20261</v>
      </c>
      <c r="BB639" s="22">
        <f t="shared" ref="BB639" si="615">+BA639/12</f>
        <v>1688.4166666666667</v>
      </c>
      <c r="BD639" s="7">
        <f>SUM(O639:Z639)</f>
        <v>27063</v>
      </c>
      <c r="BE639" s="7">
        <f t="shared" ref="BE639" si="616">+BD639-BA639</f>
        <v>6802</v>
      </c>
      <c r="BF639" s="8">
        <f t="shared" ref="BF639" si="617">(BD639/BA639)-1</f>
        <v>0.33571886876264756</v>
      </c>
      <c r="BG639" s="7">
        <f t="shared" ref="BG639" si="618">BD639/12</f>
        <v>2255.25</v>
      </c>
      <c r="BI639" s="12">
        <f>+SUM(AA639:AL639)</f>
        <v>24335</v>
      </c>
      <c r="BJ639" s="12">
        <f t="shared" ref="BJ639" si="619">+BI639-BD639</f>
        <v>-2728</v>
      </c>
      <c r="BK639" s="13">
        <f t="shared" ref="BK639" si="620">(BI639/BD639)-1</f>
        <v>-0.10080183276059562</v>
      </c>
      <c r="BL639" s="24">
        <f>SUM(AA639:AH639)/8</f>
        <v>2304.375</v>
      </c>
      <c r="BM639" s="24">
        <f>SUM(AI639:AL639)/4</f>
        <v>1475</v>
      </c>
      <c r="BO639" s="17">
        <f>+SUM(AM639:AX639)</f>
        <v>25202</v>
      </c>
      <c r="BP639" s="17">
        <f t="shared" ref="BP639" si="621">+BO639-BI639</f>
        <v>867</v>
      </c>
      <c r="BQ639" s="18">
        <f t="shared" ref="BQ639" si="622">(BO639/BI639)-1</f>
        <v>3.56276967331004E-2</v>
      </c>
      <c r="BR639" s="25">
        <f t="shared" ref="BR639" si="623">BO639/12</f>
        <v>2100.1666666666665</v>
      </c>
    </row>
    <row r="640" spans="1:70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BA640" s="21"/>
      <c r="BB640" s="22"/>
      <c r="BD640" s="7"/>
      <c r="BE640" s="7"/>
      <c r="BF640" s="8"/>
      <c r="BG640" s="7"/>
      <c r="BI640" s="12"/>
      <c r="BJ640" s="12"/>
      <c r="BK640" s="13"/>
      <c r="BL640" s="24"/>
      <c r="BM640" s="24"/>
      <c r="BO640" s="17"/>
      <c r="BP640" s="17"/>
      <c r="BQ640" s="18"/>
      <c r="BR640" s="25"/>
    </row>
    <row r="641" spans="1:70">
      <c r="A641" t="s">
        <v>868</v>
      </c>
      <c r="B641">
        <v>460005</v>
      </c>
      <c r="C641" s="1">
        <v>30297</v>
      </c>
      <c r="D641" s="1">
        <v>30732</v>
      </c>
      <c r="E641" s="1">
        <v>34634</v>
      </c>
      <c r="F641" s="1">
        <v>32738</v>
      </c>
      <c r="G641" s="1">
        <v>35602</v>
      </c>
      <c r="H641" s="1">
        <v>37473</v>
      </c>
      <c r="I641" s="1">
        <v>27551</v>
      </c>
      <c r="J641" s="1">
        <v>30063</v>
      </c>
      <c r="K641" s="1">
        <v>31787</v>
      </c>
      <c r="L641" s="1">
        <v>34321</v>
      </c>
      <c r="M641" s="1">
        <v>35911</v>
      </c>
      <c r="N641" s="1">
        <v>35531</v>
      </c>
      <c r="O641" s="1">
        <v>29205</v>
      </c>
      <c r="P641" s="1">
        <v>32231</v>
      </c>
      <c r="Q641" s="1">
        <v>31869</v>
      </c>
      <c r="R641" s="1">
        <v>37465</v>
      </c>
      <c r="S641" s="1">
        <v>35526</v>
      </c>
      <c r="T641" s="1">
        <v>35683</v>
      </c>
      <c r="U641" s="1">
        <v>45968</v>
      </c>
      <c r="V641" s="1">
        <v>45246</v>
      </c>
      <c r="W641" s="1">
        <v>42177</v>
      </c>
      <c r="X641" s="1">
        <v>32289</v>
      </c>
      <c r="Y641" s="1">
        <v>41214</v>
      </c>
      <c r="Z641" s="1">
        <v>27829</v>
      </c>
      <c r="AA641" s="1">
        <v>12985</v>
      </c>
      <c r="AB641" s="1">
        <v>35714</v>
      </c>
      <c r="AC641" s="1">
        <v>29875</v>
      </c>
      <c r="AD641" s="1">
        <v>46729</v>
      </c>
      <c r="AE641" s="1">
        <v>59585</v>
      </c>
      <c r="AF641" s="1">
        <v>39673</v>
      </c>
      <c r="AG641" s="1">
        <v>39835</v>
      </c>
      <c r="AH641" s="1">
        <v>35336</v>
      </c>
      <c r="AI641" s="1">
        <v>33724</v>
      </c>
      <c r="AJ641" s="1">
        <v>43738</v>
      </c>
      <c r="AK641" s="1">
        <v>40085</v>
      </c>
      <c r="AL641" s="1">
        <v>40085</v>
      </c>
      <c r="AM641" s="1">
        <v>18858</v>
      </c>
      <c r="AN641" s="1">
        <v>18858</v>
      </c>
      <c r="AO641" s="1">
        <v>18858</v>
      </c>
      <c r="AP641" s="1">
        <v>18858</v>
      </c>
      <c r="AQ641" s="1">
        <v>18858</v>
      </c>
      <c r="AR641" s="1">
        <v>18858</v>
      </c>
      <c r="AS641" s="1">
        <v>18858</v>
      </c>
      <c r="AT641" s="1">
        <v>18858</v>
      </c>
      <c r="AU641" s="1">
        <v>18859</v>
      </c>
      <c r="AV641" s="1">
        <v>18859</v>
      </c>
      <c r="AW641" s="1">
        <v>18859</v>
      </c>
      <c r="AX641" s="1">
        <v>18859</v>
      </c>
      <c r="AY641" s="1"/>
      <c r="BA641" s="21">
        <f t="shared" ref="BA641:BA663" si="624">SUM(C641:N641)</f>
        <v>396640</v>
      </c>
      <c r="BB641" s="22">
        <f t="shared" ref="BB641:BB664" si="625">+BA641/12</f>
        <v>33053.333333333336</v>
      </c>
      <c r="BD641" s="7">
        <f t="shared" ref="BD641:BD663" si="626">SUM(O641:Z641)</f>
        <v>436702</v>
      </c>
      <c r="BE641" s="7">
        <f t="shared" ref="BE641:BE664" si="627">+BD641-BA641</f>
        <v>40062</v>
      </c>
      <c r="BF641" s="8">
        <f t="shared" ref="BF641:BF664" si="628">(BD641/BA641)-1</f>
        <v>0.10100342880193636</v>
      </c>
      <c r="BG641" s="7">
        <f t="shared" ref="BG641:BG664" si="629">BD641/12</f>
        <v>36391.833333333336</v>
      </c>
      <c r="BI641" s="12">
        <f t="shared" ref="BI641:BI663" si="630">+SUM(AA641:AL641)</f>
        <v>457364</v>
      </c>
      <c r="BJ641" s="12">
        <f t="shared" ref="BJ641:BJ664" si="631">+BI641-BD641</f>
        <v>20662</v>
      </c>
      <c r="BK641" s="13">
        <f t="shared" ref="BK641:BK664" si="632">(BI641/BD641)-1</f>
        <v>4.7313728812783173E-2</v>
      </c>
      <c r="BL641" s="24">
        <f t="shared" ref="BL641:BL663" si="633">SUM(AA641:AH641)/8</f>
        <v>37466.5</v>
      </c>
      <c r="BM641" s="24">
        <f t="shared" ref="BM641:BM663" si="634">SUM(AI641:AL641)/4</f>
        <v>39408</v>
      </c>
      <c r="BO641" s="17">
        <f t="shared" ref="BO641:BO663" si="635">+SUM(AM641:AX641)</f>
        <v>226300</v>
      </c>
      <c r="BP641" s="17">
        <f t="shared" ref="BP641:BP664" si="636">+BO641-BI641</f>
        <v>-231064</v>
      </c>
      <c r="BQ641" s="18">
        <f t="shared" ref="BQ641:BQ664" si="637">(BO641/BI641)-1</f>
        <v>-0.50520810557892615</v>
      </c>
      <c r="BR641" s="25">
        <f t="shared" ref="BR641:BR664" si="638">BO641/12</f>
        <v>18858.333333333332</v>
      </c>
    </row>
    <row r="642" spans="1:70">
      <c r="A642" t="s">
        <v>869</v>
      </c>
      <c r="B642">
        <v>460020</v>
      </c>
      <c r="C642" s="1">
        <v>3392</v>
      </c>
      <c r="D642" s="1">
        <v>2934</v>
      </c>
      <c r="E642" s="1">
        <v>1328</v>
      </c>
      <c r="F642" s="1">
        <v>2188</v>
      </c>
      <c r="G642" s="1">
        <v>64</v>
      </c>
      <c r="H642" s="1">
        <v>531</v>
      </c>
      <c r="I642" s="1">
        <v>4157</v>
      </c>
      <c r="J642" s="1">
        <v>5220</v>
      </c>
      <c r="K642" s="1">
        <v>1008</v>
      </c>
      <c r="L642" s="1">
        <v>2903</v>
      </c>
      <c r="M642" s="1">
        <v>1823</v>
      </c>
      <c r="N642" s="1">
        <v>3839</v>
      </c>
      <c r="O642" s="1">
        <v>3362</v>
      </c>
      <c r="P642" s="1">
        <v>2435</v>
      </c>
      <c r="Q642" s="1">
        <v>2946</v>
      </c>
      <c r="R642" s="1">
        <v>4727</v>
      </c>
      <c r="S642" s="1">
        <v>3138</v>
      </c>
      <c r="T642" s="1">
        <v>4338</v>
      </c>
      <c r="U642" s="1">
        <v>1446</v>
      </c>
      <c r="V642" s="1">
        <v>-594</v>
      </c>
      <c r="W642" s="1">
        <v>1446</v>
      </c>
      <c r="X642" s="1">
        <v>2997</v>
      </c>
      <c r="Y642" s="1">
        <v>4037</v>
      </c>
      <c r="Z642" s="1">
        <v>2133</v>
      </c>
      <c r="AA642" s="1">
        <v>1076</v>
      </c>
      <c r="AB642" s="1">
        <v>1961</v>
      </c>
      <c r="AC642" s="1">
        <v>3597</v>
      </c>
      <c r="AD642" s="1">
        <v>3234</v>
      </c>
      <c r="AE642" s="1">
        <v>4298</v>
      </c>
      <c r="AF642" s="1">
        <v>2504</v>
      </c>
      <c r="AG642" s="1">
        <v>3543</v>
      </c>
      <c r="AH642" s="1">
        <v>2504</v>
      </c>
      <c r="AI642" s="1">
        <v>3320</v>
      </c>
      <c r="AJ642" s="1">
        <v>2732</v>
      </c>
      <c r="AK642" s="1">
        <v>2504</v>
      </c>
      <c r="AL642" s="1">
        <v>2504</v>
      </c>
      <c r="AM642" s="1">
        <v>2504</v>
      </c>
      <c r="AN642" s="1">
        <v>2504</v>
      </c>
      <c r="AO642" s="1">
        <v>2504</v>
      </c>
      <c r="AP642" s="1">
        <v>2504</v>
      </c>
      <c r="AQ642" s="1">
        <v>2504</v>
      </c>
      <c r="AR642" s="1">
        <v>2504</v>
      </c>
      <c r="AS642" s="1">
        <v>2504</v>
      </c>
      <c r="AT642" s="1">
        <v>2504</v>
      </c>
      <c r="AU642" s="1">
        <v>2504</v>
      </c>
      <c r="AV642" s="1">
        <v>2504</v>
      </c>
      <c r="AW642" s="1">
        <v>2504</v>
      </c>
      <c r="AX642" s="1">
        <v>2504</v>
      </c>
      <c r="AY642" s="1"/>
      <c r="BA642" s="21">
        <f t="shared" si="624"/>
        <v>29387</v>
      </c>
      <c r="BB642" s="22">
        <f t="shared" si="625"/>
        <v>2448.9166666666665</v>
      </c>
      <c r="BD642" s="7">
        <f t="shared" si="626"/>
        <v>32411</v>
      </c>
      <c r="BE642" s="7">
        <f t="shared" si="627"/>
        <v>3024</v>
      </c>
      <c r="BF642" s="8">
        <f t="shared" si="628"/>
        <v>0.10290264402627014</v>
      </c>
      <c r="BG642" s="7">
        <f t="shared" si="629"/>
        <v>2700.9166666666665</v>
      </c>
      <c r="BI642" s="12">
        <f t="shared" si="630"/>
        <v>33777</v>
      </c>
      <c r="BJ642" s="12">
        <f t="shared" si="631"/>
        <v>1366</v>
      </c>
      <c r="BK642" s="13">
        <f t="shared" si="632"/>
        <v>4.2146184937212672E-2</v>
      </c>
      <c r="BL642" s="24">
        <f t="shared" si="633"/>
        <v>2839.625</v>
      </c>
      <c r="BM642" s="24">
        <f t="shared" si="634"/>
        <v>2765</v>
      </c>
      <c r="BO642" s="17">
        <f t="shared" si="635"/>
        <v>30048</v>
      </c>
      <c r="BP642" s="17">
        <f t="shared" si="636"/>
        <v>-3729</v>
      </c>
      <c r="BQ642" s="18">
        <f t="shared" si="637"/>
        <v>-0.11040056843414159</v>
      </c>
      <c r="BR642" s="25">
        <f t="shared" si="638"/>
        <v>2504</v>
      </c>
    </row>
    <row r="643" spans="1:70">
      <c r="A643" t="s">
        <v>870</v>
      </c>
      <c r="B643">
        <v>460030</v>
      </c>
      <c r="C643" s="1">
        <v>901</v>
      </c>
      <c r="D643" s="1">
        <v>4755</v>
      </c>
      <c r="E643" s="1">
        <v>1411</v>
      </c>
      <c r="F643" s="1">
        <v>4966</v>
      </c>
      <c r="G643" s="1">
        <v>16774</v>
      </c>
      <c r="H643" s="1">
        <v>1941</v>
      </c>
      <c r="I643" s="1">
        <v>16759</v>
      </c>
      <c r="J643" s="1">
        <v>7272</v>
      </c>
      <c r="K643" s="1">
        <v>17468</v>
      </c>
      <c r="L643" s="1">
        <v>18395</v>
      </c>
      <c r="M643" s="1">
        <v>26572</v>
      </c>
      <c r="N643" s="1">
        <v>14709</v>
      </c>
      <c r="O643" s="1">
        <v>20073</v>
      </c>
      <c r="P643" s="1">
        <v>18015</v>
      </c>
      <c r="Q643" s="1">
        <v>25425</v>
      </c>
      <c r="R643" s="1">
        <v>16557</v>
      </c>
      <c r="S643" s="1">
        <v>19272</v>
      </c>
      <c r="T643" s="1">
        <v>13422</v>
      </c>
      <c r="U643" s="1">
        <v>13252</v>
      </c>
      <c r="V643" s="1">
        <v>19167</v>
      </c>
      <c r="W643" s="1">
        <v>30482</v>
      </c>
      <c r="X643" s="1">
        <v>18299</v>
      </c>
      <c r="Y643" s="1">
        <v>13448</v>
      </c>
      <c r="Z643" s="1">
        <v>14747</v>
      </c>
      <c r="AA643" s="1">
        <v>19739</v>
      </c>
      <c r="AB643" s="1">
        <v>7884</v>
      </c>
      <c r="AC643" s="1">
        <v>16042</v>
      </c>
      <c r="AD643" s="1">
        <v>17617</v>
      </c>
      <c r="AE643" s="1">
        <v>12393</v>
      </c>
      <c r="AF643" s="1">
        <v>11927</v>
      </c>
      <c r="AG643" s="1">
        <v>10849</v>
      </c>
      <c r="AH643" s="1">
        <v>21753</v>
      </c>
      <c r="AI643" s="1">
        <v>12565</v>
      </c>
      <c r="AJ643" s="1">
        <v>32734</v>
      </c>
      <c r="AK643" s="1">
        <v>30000</v>
      </c>
      <c r="AL643" s="1">
        <v>30000</v>
      </c>
      <c r="AM643" s="1">
        <v>30000</v>
      </c>
      <c r="AN643" s="1">
        <v>30000</v>
      </c>
      <c r="AO643" s="1">
        <v>30000</v>
      </c>
      <c r="AP643" s="1">
        <v>30000</v>
      </c>
      <c r="AQ643" s="1">
        <v>30000</v>
      </c>
      <c r="AR643" s="1">
        <v>30000</v>
      </c>
      <c r="AS643" s="1">
        <v>30000</v>
      </c>
      <c r="AT643" s="1">
        <v>30000</v>
      </c>
      <c r="AU643" s="1">
        <v>30000</v>
      </c>
      <c r="AV643" s="1">
        <v>30000</v>
      </c>
      <c r="AW643" s="1">
        <v>30000</v>
      </c>
      <c r="AX643" s="1">
        <v>30000</v>
      </c>
      <c r="AY643" s="1"/>
      <c r="BA643" s="21">
        <f t="shared" si="624"/>
        <v>131923</v>
      </c>
      <c r="BB643" s="22">
        <f t="shared" si="625"/>
        <v>10993.583333333334</v>
      </c>
      <c r="BD643" s="7">
        <f t="shared" si="626"/>
        <v>222159</v>
      </c>
      <c r="BE643" s="7">
        <f t="shared" si="627"/>
        <v>90236</v>
      </c>
      <c r="BF643" s="8">
        <f t="shared" si="628"/>
        <v>0.68400506355980384</v>
      </c>
      <c r="BG643" s="7">
        <f t="shared" si="629"/>
        <v>18513.25</v>
      </c>
      <c r="BI643" s="12">
        <f t="shared" si="630"/>
        <v>223503</v>
      </c>
      <c r="BJ643" s="12">
        <f t="shared" si="631"/>
        <v>1344</v>
      </c>
      <c r="BK643" s="13">
        <f t="shared" si="632"/>
        <v>6.0497211456660427E-3</v>
      </c>
      <c r="BL643" s="24">
        <f t="shared" si="633"/>
        <v>14775.5</v>
      </c>
      <c r="BM643" s="24">
        <f t="shared" si="634"/>
        <v>26324.75</v>
      </c>
      <c r="BO643" s="17">
        <f t="shared" si="635"/>
        <v>360000</v>
      </c>
      <c r="BP643" s="17">
        <f t="shared" si="636"/>
        <v>136497</v>
      </c>
      <c r="BQ643" s="18">
        <f t="shared" si="637"/>
        <v>0.61071663467604465</v>
      </c>
      <c r="BR643" s="25">
        <f t="shared" si="638"/>
        <v>30000</v>
      </c>
    </row>
    <row r="644" spans="1:70">
      <c r="A644" t="s">
        <v>871</v>
      </c>
      <c r="B644">
        <v>460035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1462</v>
      </c>
      <c r="S644" s="1">
        <v>1737</v>
      </c>
      <c r="T644" s="1">
        <v>-2915</v>
      </c>
      <c r="U644" s="1">
        <v>0</v>
      </c>
      <c r="V644" s="1">
        <v>0</v>
      </c>
      <c r="W644" s="1">
        <v>8</v>
      </c>
      <c r="X644" s="1">
        <v>10</v>
      </c>
      <c r="Y644" s="1">
        <v>20</v>
      </c>
      <c r="Z644" s="1">
        <v>1443</v>
      </c>
      <c r="AA644" s="1">
        <v>1199</v>
      </c>
      <c r="AB644" s="1">
        <v>250</v>
      </c>
      <c r="AC644" s="1">
        <v>1047</v>
      </c>
      <c r="AD644" s="1">
        <v>0</v>
      </c>
      <c r="AE644" s="1">
        <v>1816</v>
      </c>
      <c r="AF644" s="1">
        <v>1593</v>
      </c>
      <c r="AG644" s="1">
        <v>-1883</v>
      </c>
      <c r="AH644" s="1">
        <v>-2840</v>
      </c>
      <c r="AI644" s="1">
        <v>1103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/>
      <c r="BA644" s="21">
        <f t="shared" si="624"/>
        <v>0</v>
      </c>
      <c r="BB644" s="22">
        <f t="shared" si="625"/>
        <v>0</v>
      </c>
      <c r="BD644" s="7">
        <f t="shared" si="626"/>
        <v>1765</v>
      </c>
      <c r="BE644" s="7">
        <f t="shared" si="627"/>
        <v>1765</v>
      </c>
      <c r="BF644" s="8" t="e">
        <f t="shared" si="628"/>
        <v>#DIV/0!</v>
      </c>
      <c r="BG644" s="7">
        <f t="shared" si="629"/>
        <v>147.08333333333334</v>
      </c>
      <c r="BI644" s="12">
        <f t="shared" si="630"/>
        <v>2285</v>
      </c>
      <c r="BJ644" s="12">
        <f t="shared" si="631"/>
        <v>520</v>
      </c>
      <c r="BK644" s="13">
        <f t="shared" si="632"/>
        <v>0.29461756373937686</v>
      </c>
      <c r="BL644" s="24">
        <f t="shared" si="633"/>
        <v>147.75</v>
      </c>
      <c r="BM644" s="24">
        <f t="shared" si="634"/>
        <v>275.75</v>
      </c>
      <c r="BO644" s="17">
        <f t="shared" si="635"/>
        <v>0</v>
      </c>
      <c r="BP644" s="17">
        <f t="shared" si="636"/>
        <v>-2285</v>
      </c>
      <c r="BQ644" s="18">
        <f t="shared" si="637"/>
        <v>-1</v>
      </c>
      <c r="BR644" s="25">
        <f t="shared" si="638"/>
        <v>0</v>
      </c>
    </row>
    <row r="645" spans="1:70">
      <c r="A645" t="s">
        <v>872</v>
      </c>
      <c r="B645">
        <v>460040</v>
      </c>
      <c r="C645" s="1">
        <v>16783</v>
      </c>
      <c r="D645" s="1">
        <v>16101</v>
      </c>
      <c r="E645" s="1">
        <v>19827</v>
      </c>
      <c r="F645" s="1">
        <v>25731</v>
      </c>
      <c r="G645" s="1">
        <v>24654</v>
      </c>
      <c r="H645" s="1">
        <v>22911</v>
      </c>
      <c r="I645" s="1">
        <v>20014</v>
      </c>
      <c r="J645" s="1">
        <v>20628</v>
      </c>
      <c r="K645" s="1">
        <v>27318</v>
      </c>
      <c r="L645" s="1">
        <v>22378</v>
      </c>
      <c r="M645" s="1">
        <v>23497</v>
      </c>
      <c r="N645" s="1">
        <v>18826</v>
      </c>
      <c r="O645" s="1">
        <v>24269</v>
      </c>
      <c r="P645" s="1">
        <v>19757</v>
      </c>
      <c r="Q645" s="1">
        <v>22050</v>
      </c>
      <c r="R645" s="1">
        <v>28042</v>
      </c>
      <c r="S645" s="1">
        <v>23494</v>
      </c>
      <c r="T645" s="1">
        <v>25681</v>
      </c>
      <c r="U645" s="1">
        <v>19894</v>
      </c>
      <c r="V645" s="1">
        <v>24642</v>
      </c>
      <c r="W645" s="1">
        <v>23285</v>
      </c>
      <c r="X645" s="1">
        <v>20787</v>
      </c>
      <c r="Y645" s="1">
        <v>24592</v>
      </c>
      <c r="Z645" s="1">
        <v>23745</v>
      </c>
      <c r="AA645" s="1">
        <v>21003</v>
      </c>
      <c r="AB645" s="1">
        <v>22795</v>
      </c>
      <c r="AC645" s="1">
        <v>17869</v>
      </c>
      <c r="AD645" s="1">
        <v>36241</v>
      </c>
      <c r="AE645" s="1">
        <v>30600</v>
      </c>
      <c r="AF645" s="1">
        <v>12230</v>
      </c>
      <c r="AG645" s="1">
        <v>24339</v>
      </c>
      <c r="AH645" s="1">
        <v>25666</v>
      </c>
      <c r="AI645" s="1">
        <v>33909</v>
      </c>
      <c r="AJ645" s="1">
        <v>27047</v>
      </c>
      <c r="AK645" s="1">
        <v>24789</v>
      </c>
      <c r="AL645" s="1">
        <v>24790</v>
      </c>
      <c r="AM645" s="1">
        <v>26113</v>
      </c>
      <c r="AN645" s="1">
        <v>26113</v>
      </c>
      <c r="AO645" s="1">
        <v>26113</v>
      </c>
      <c r="AP645" s="1">
        <v>26113</v>
      </c>
      <c r="AQ645" s="1">
        <v>26113</v>
      </c>
      <c r="AR645" s="1">
        <v>26113</v>
      </c>
      <c r="AS645" s="1">
        <v>26113</v>
      </c>
      <c r="AT645" s="1">
        <v>26113</v>
      </c>
      <c r="AU645" s="1">
        <v>26113</v>
      </c>
      <c r="AV645" s="1">
        <v>26113</v>
      </c>
      <c r="AW645" s="1">
        <v>26114</v>
      </c>
      <c r="AX645" s="1">
        <v>26127</v>
      </c>
      <c r="AY645" s="1"/>
      <c r="BA645" s="21">
        <f t="shared" si="624"/>
        <v>258668</v>
      </c>
      <c r="BB645" s="22">
        <f t="shared" si="625"/>
        <v>21555.666666666668</v>
      </c>
      <c r="BD645" s="7">
        <f t="shared" si="626"/>
        <v>280238</v>
      </c>
      <c r="BE645" s="7">
        <f t="shared" si="627"/>
        <v>21570</v>
      </c>
      <c r="BF645" s="8">
        <f t="shared" si="628"/>
        <v>8.3388745418838006E-2</v>
      </c>
      <c r="BG645" s="7">
        <f t="shared" si="629"/>
        <v>23353.166666666668</v>
      </c>
      <c r="BI645" s="12">
        <f t="shared" si="630"/>
        <v>301278</v>
      </c>
      <c r="BJ645" s="12">
        <f t="shared" si="631"/>
        <v>21040</v>
      </c>
      <c r="BK645" s="13">
        <f t="shared" si="632"/>
        <v>7.5079039958892091E-2</v>
      </c>
      <c r="BL645" s="24">
        <f t="shared" si="633"/>
        <v>23842.875</v>
      </c>
      <c r="BM645" s="24">
        <f t="shared" si="634"/>
        <v>27633.75</v>
      </c>
      <c r="BO645" s="17">
        <f t="shared" si="635"/>
        <v>313371</v>
      </c>
      <c r="BP645" s="17">
        <f t="shared" si="636"/>
        <v>12093</v>
      </c>
      <c r="BQ645" s="18">
        <f t="shared" si="637"/>
        <v>4.0139007826658357E-2</v>
      </c>
      <c r="BR645" s="25">
        <f t="shared" si="638"/>
        <v>26114.25</v>
      </c>
    </row>
    <row r="646" spans="1:70">
      <c r="A646" t="s">
        <v>873</v>
      </c>
      <c r="B646">
        <v>460050</v>
      </c>
      <c r="C646" s="1">
        <v>50</v>
      </c>
      <c r="D646" s="1">
        <v>0</v>
      </c>
      <c r="E646" s="1">
        <v>240</v>
      </c>
      <c r="F646" s="1">
        <v>0</v>
      </c>
      <c r="G646" s="1">
        <v>40</v>
      </c>
      <c r="H646" s="1">
        <v>120</v>
      </c>
      <c r="I646" s="1">
        <v>50</v>
      </c>
      <c r="J646" s="1">
        <v>0</v>
      </c>
      <c r="K646" s="1">
        <v>40</v>
      </c>
      <c r="L646" s="1">
        <v>25</v>
      </c>
      <c r="M646" s="1">
        <v>40</v>
      </c>
      <c r="N646" s="1">
        <v>25</v>
      </c>
      <c r="O646" s="1">
        <v>0</v>
      </c>
      <c r="P646" s="1">
        <v>40</v>
      </c>
      <c r="Q646" s="1">
        <v>25</v>
      </c>
      <c r="R646" s="1">
        <v>0</v>
      </c>
      <c r="S646" s="1">
        <v>40</v>
      </c>
      <c r="T646" s="1">
        <v>40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70</v>
      </c>
      <c r="AA646" s="1">
        <v>0</v>
      </c>
      <c r="AB646" s="1">
        <v>70</v>
      </c>
      <c r="AC646" s="1">
        <v>0</v>
      </c>
      <c r="AD646" s="1">
        <v>95</v>
      </c>
      <c r="AE646" s="1">
        <v>25</v>
      </c>
      <c r="AF646" s="1">
        <v>145</v>
      </c>
      <c r="AG646" s="1">
        <v>120</v>
      </c>
      <c r="AH646" s="1">
        <v>0</v>
      </c>
      <c r="AI646" s="1">
        <v>42</v>
      </c>
      <c r="AJ646" s="1">
        <v>92</v>
      </c>
      <c r="AK646" s="1">
        <v>84</v>
      </c>
      <c r="AL646" s="1">
        <v>84</v>
      </c>
      <c r="AM646" s="1">
        <v>84</v>
      </c>
      <c r="AN646" s="1">
        <v>84</v>
      </c>
      <c r="AO646" s="1">
        <v>84</v>
      </c>
      <c r="AP646" s="1">
        <v>83</v>
      </c>
      <c r="AQ646" s="1">
        <v>83</v>
      </c>
      <c r="AR646" s="1">
        <v>83</v>
      </c>
      <c r="AS646" s="1">
        <v>83</v>
      </c>
      <c r="AT646" s="1">
        <v>83</v>
      </c>
      <c r="AU646" s="1">
        <v>83</v>
      </c>
      <c r="AV646" s="1">
        <v>83</v>
      </c>
      <c r="AW646" s="1">
        <v>83</v>
      </c>
      <c r="AX646" s="1">
        <v>84</v>
      </c>
      <c r="AY646" s="1"/>
      <c r="BA646" s="21">
        <f t="shared" si="624"/>
        <v>630</v>
      </c>
      <c r="BB646" s="22">
        <f t="shared" si="625"/>
        <v>52.5</v>
      </c>
      <c r="BD646" s="7">
        <f t="shared" si="626"/>
        <v>215</v>
      </c>
      <c r="BE646" s="7">
        <f t="shared" si="627"/>
        <v>-415</v>
      </c>
      <c r="BF646" s="8">
        <f t="shared" si="628"/>
        <v>-0.65873015873015872</v>
      </c>
      <c r="BG646" s="7">
        <f t="shared" si="629"/>
        <v>17.916666666666668</v>
      </c>
      <c r="BI646" s="12">
        <f t="shared" si="630"/>
        <v>757</v>
      </c>
      <c r="BJ646" s="12">
        <f t="shared" si="631"/>
        <v>542</v>
      </c>
      <c r="BK646" s="13">
        <f t="shared" si="632"/>
        <v>2.5209302325581397</v>
      </c>
      <c r="BL646" s="24">
        <f t="shared" si="633"/>
        <v>56.875</v>
      </c>
      <c r="BM646" s="24">
        <f t="shared" si="634"/>
        <v>75.5</v>
      </c>
      <c r="BO646" s="17">
        <f t="shared" si="635"/>
        <v>1000</v>
      </c>
      <c r="BP646" s="17">
        <f t="shared" si="636"/>
        <v>243</v>
      </c>
      <c r="BQ646" s="18">
        <f t="shared" si="637"/>
        <v>0.32100396301188905</v>
      </c>
      <c r="BR646" s="25">
        <f t="shared" si="638"/>
        <v>83.333333333333329</v>
      </c>
    </row>
    <row r="647" spans="1:70">
      <c r="A647" t="s">
        <v>874</v>
      </c>
      <c r="B647">
        <v>460055</v>
      </c>
      <c r="C647" s="1">
        <v>19119</v>
      </c>
      <c r="D647" s="1">
        <v>2890</v>
      </c>
      <c r="E647" s="1">
        <v>71</v>
      </c>
      <c r="F647" s="1">
        <v>5619</v>
      </c>
      <c r="G647" s="1">
        <v>2</v>
      </c>
      <c r="H647" s="1">
        <v>118</v>
      </c>
      <c r="I647" s="1">
        <v>3357</v>
      </c>
      <c r="J647" s="1">
        <v>2886</v>
      </c>
      <c r="K647" s="1">
        <v>3418</v>
      </c>
      <c r="L647" s="1">
        <v>74</v>
      </c>
      <c r="M647" s="1">
        <v>108</v>
      </c>
      <c r="N647" s="1">
        <v>1392</v>
      </c>
      <c r="O647" s="1">
        <v>211</v>
      </c>
      <c r="P647" s="1">
        <v>6091</v>
      </c>
      <c r="Q647" s="1">
        <v>59</v>
      </c>
      <c r="R647" s="1">
        <v>112</v>
      </c>
      <c r="S647" s="1">
        <v>79</v>
      </c>
      <c r="T647" s="1">
        <v>16</v>
      </c>
      <c r="U647" s="1">
        <v>0</v>
      </c>
      <c r="V647" s="1">
        <v>353</v>
      </c>
      <c r="W647" s="1">
        <v>55</v>
      </c>
      <c r="X647" s="1">
        <v>0</v>
      </c>
      <c r="Y647" s="1">
        <v>90</v>
      </c>
      <c r="Z647" s="1">
        <v>26</v>
      </c>
      <c r="AA647" s="1">
        <v>59</v>
      </c>
      <c r="AB647" s="1">
        <v>83</v>
      </c>
      <c r="AC647" s="1">
        <v>39</v>
      </c>
      <c r="AD647" s="1">
        <v>102</v>
      </c>
      <c r="AE647" s="1">
        <v>35</v>
      </c>
      <c r="AF647" s="1">
        <v>84</v>
      </c>
      <c r="AG647" s="1">
        <v>0</v>
      </c>
      <c r="AH647" s="1">
        <v>139</v>
      </c>
      <c r="AI647" s="1">
        <v>63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/>
      <c r="BA647" s="21">
        <f t="shared" si="624"/>
        <v>39054</v>
      </c>
      <c r="BB647" s="22">
        <f t="shared" si="625"/>
        <v>3254.5</v>
      </c>
      <c r="BD647" s="7">
        <f t="shared" si="626"/>
        <v>7092</v>
      </c>
      <c r="BE647" s="7">
        <f t="shared" si="627"/>
        <v>-31962</v>
      </c>
      <c r="BF647" s="8">
        <f t="shared" si="628"/>
        <v>-0.81840528499001386</v>
      </c>
      <c r="BG647" s="7">
        <f t="shared" si="629"/>
        <v>591</v>
      </c>
      <c r="BI647" s="12">
        <f t="shared" si="630"/>
        <v>604</v>
      </c>
      <c r="BJ647" s="12">
        <f t="shared" si="631"/>
        <v>-6488</v>
      </c>
      <c r="BK647" s="13">
        <f t="shared" si="632"/>
        <v>-0.91483361534122953</v>
      </c>
      <c r="BL647" s="24">
        <f t="shared" si="633"/>
        <v>67.625</v>
      </c>
      <c r="BM647" s="24">
        <f t="shared" si="634"/>
        <v>15.75</v>
      </c>
      <c r="BO647" s="17">
        <f t="shared" si="635"/>
        <v>0</v>
      </c>
      <c r="BP647" s="17">
        <f t="shared" si="636"/>
        <v>-604</v>
      </c>
      <c r="BQ647" s="18">
        <f t="shared" si="637"/>
        <v>-1</v>
      </c>
      <c r="BR647" s="25">
        <f t="shared" si="638"/>
        <v>0</v>
      </c>
    </row>
    <row r="648" spans="1:70">
      <c r="A648" t="s">
        <v>875</v>
      </c>
      <c r="B648">
        <v>460075</v>
      </c>
      <c r="C648" s="1">
        <v>24356</v>
      </c>
      <c r="D648" s="1">
        <v>32452</v>
      </c>
      <c r="E648" s="1">
        <v>44244</v>
      </c>
      <c r="F648" s="1">
        <v>29353</v>
      </c>
      <c r="G648" s="1">
        <v>36818</v>
      </c>
      <c r="H648" s="1">
        <v>34456</v>
      </c>
      <c r="I648" s="1">
        <v>37707</v>
      </c>
      <c r="J648" s="1">
        <v>34221</v>
      </c>
      <c r="K648" s="1">
        <v>16687</v>
      </c>
      <c r="L648" s="1">
        <v>25249</v>
      </c>
      <c r="M648" s="1">
        <v>24658</v>
      </c>
      <c r="N648" s="1">
        <v>29657</v>
      </c>
      <c r="O648" s="1">
        <v>18235</v>
      </c>
      <c r="P648" s="1">
        <v>23359</v>
      </c>
      <c r="Q648" s="1">
        <v>30164</v>
      </c>
      <c r="R648" s="1">
        <v>32211</v>
      </c>
      <c r="S648" s="1">
        <v>26438</v>
      </c>
      <c r="T648" s="1">
        <v>26973</v>
      </c>
      <c r="U648" s="1">
        <v>26113</v>
      </c>
      <c r="V648" s="1">
        <v>32839</v>
      </c>
      <c r="W648" s="1">
        <v>26327</v>
      </c>
      <c r="X648" s="1">
        <v>27789</v>
      </c>
      <c r="Y648" s="1">
        <v>29001</v>
      </c>
      <c r="Z648" s="1">
        <v>37358</v>
      </c>
      <c r="AA648" s="1">
        <v>33784</v>
      </c>
      <c r="AB648" s="1">
        <v>28344</v>
      </c>
      <c r="AC648" s="1">
        <v>30910</v>
      </c>
      <c r="AD648" s="1">
        <v>35869</v>
      </c>
      <c r="AE648" s="1">
        <v>45948</v>
      </c>
      <c r="AF648" s="1">
        <v>39206</v>
      </c>
      <c r="AG648" s="1">
        <v>32090</v>
      </c>
      <c r="AH648" s="1">
        <v>54367</v>
      </c>
      <c r="AI648" s="1">
        <v>36618</v>
      </c>
      <c r="AJ648" s="1">
        <v>41356</v>
      </c>
      <c r="AK648" s="1">
        <v>37902</v>
      </c>
      <c r="AL648" s="1">
        <v>37905</v>
      </c>
      <c r="AM648" s="1">
        <v>42789</v>
      </c>
      <c r="AN648" s="1">
        <v>42789</v>
      </c>
      <c r="AO648" s="1">
        <v>42789</v>
      </c>
      <c r="AP648" s="1">
        <v>42788</v>
      </c>
      <c r="AQ648" s="1">
        <v>42788</v>
      </c>
      <c r="AR648" s="1">
        <v>42788</v>
      </c>
      <c r="AS648" s="1">
        <v>42788</v>
      </c>
      <c r="AT648" s="1">
        <v>42788</v>
      </c>
      <c r="AU648" s="1">
        <v>42788</v>
      </c>
      <c r="AV648" s="1">
        <v>42788</v>
      </c>
      <c r="AW648" s="1">
        <v>42788</v>
      </c>
      <c r="AX648" s="1">
        <v>42815</v>
      </c>
      <c r="AY648" s="1"/>
      <c r="BA648" s="21">
        <f t="shared" si="624"/>
        <v>369858</v>
      </c>
      <c r="BB648" s="22">
        <f t="shared" si="625"/>
        <v>30821.5</v>
      </c>
      <c r="BD648" s="7">
        <f t="shared" si="626"/>
        <v>336807</v>
      </c>
      <c r="BE648" s="7">
        <f t="shared" si="627"/>
        <v>-33051</v>
      </c>
      <c r="BF648" s="8">
        <f t="shared" si="628"/>
        <v>-8.9361322453482162E-2</v>
      </c>
      <c r="BG648" s="7">
        <f t="shared" si="629"/>
        <v>28067.25</v>
      </c>
      <c r="BI648" s="12">
        <f t="shared" si="630"/>
        <v>454299</v>
      </c>
      <c r="BJ648" s="12">
        <f t="shared" si="631"/>
        <v>117492</v>
      </c>
      <c r="BK648" s="13">
        <f t="shared" si="632"/>
        <v>0.34884073074490729</v>
      </c>
      <c r="BL648" s="24">
        <f t="shared" si="633"/>
        <v>37564.75</v>
      </c>
      <c r="BM648" s="24">
        <f t="shared" si="634"/>
        <v>38445.25</v>
      </c>
      <c r="BO648" s="17">
        <f t="shared" si="635"/>
        <v>513486</v>
      </c>
      <c r="BP648" s="17">
        <f t="shared" si="636"/>
        <v>59187</v>
      </c>
      <c r="BQ648" s="18">
        <f t="shared" si="637"/>
        <v>0.13028203892150314</v>
      </c>
      <c r="BR648" s="25">
        <f t="shared" si="638"/>
        <v>42790.5</v>
      </c>
    </row>
    <row r="649" spans="1:70">
      <c r="A649" t="s">
        <v>876</v>
      </c>
      <c r="B649">
        <v>460080</v>
      </c>
      <c r="C649" s="1">
        <v>3170</v>
      </c>
      <c r="D649" s="1">
        <v>5043</v>
      </c>
      <c r="E649" s="1">
        <v>3141</v>
      </c>
      <c r="F649" s="1">
        <v>2754</v>
      </c>
      <c r="G649" s="1">
        <v>1962</v>
      </c>
      <c r="H649" s="1">
        <v>2629</v>
      </c>
      <c r="I649" s="1">
        <v>133</v>
      </c>
      <c r="J649" s="1">
        <v>6289</v>
      </c>
      <c r="K649" s="1">
        <v>3000</v>
      </c>
      <c r="L649" s="1">
        <v>3186</v>
      </c>
      <c r="M649" s="1">
        <v>3040</v>
      </c>
      <c r="N649" s="1">
        <v>3133</v>
      </c>
      <c r="O649" s="1">
        <v>2319</v>
      </c>
      <c r="P649" s="1">
        <v>5045</v>
      </c>
      <c r="Q649" s="1">
        <v>2222</v>
      </c>
      <c r="R649" s="1">
        <v>2353</v>
      </c>
      <c r="S649" s="1">
        <v>4027</v>
      </c>
      <c r="T649" s="1">
        <v>-79</v>
      </c>
      <c r="U649" s="1">
        <v>2734</v>
      </c>
      <c r="V649" s="1">
        <v>2482</v>
      </c>
      <c r="W649" s="1">
        <v>2528</v>
      </c>
      <c r="X649" s="1">
        <v>3593</v>
      </c>
      <c r="Y649" s="1">
        <v>-197</v>
      </c>
      <c r="Z649" s="1">
        <v>1715</v>
      </c>
      <c r="AA649" s="1">
        <v>3369</v>
      </c>
      <c r="AB649" s="1">
        <v>4633</v>
      </c>
      <c r="AC649" s="1">
        <v>123</v>
      </c>
      <c r="AD649" s="1">
        <v>2605</v>
      </c>
      <c r="AE649" s="1">
        <v>2984</v>
      </c>
      <c r="AF649" s="1">
        <v>2699</v>
      </c>
      <c r="AG649" s="1">
        <v>2053</v>
      </c>
      <c r="AH649" s="1">
        <v>2488</v>
      </c>
      <c r="AI649" s="1">
        <v>2413</v>
      </c>
      <c r="AJ649" s="1">
        <v>2858</v>
      </c>
      <c r="AK649" s="1">
        <v>2619</v>
      </c>
      <c r="AL649" s="1">
        <v>2619</v>
      </c>
      <c r="AM649" s="1">
        <v>9800</v>
      </c>
      <c r="AN649" s="1">
        <v>9800</v>
      </c>
      <c r="AO649" s="1">
        <v>9800</v>
      </c>
      <c r="AP649" s="1">
        <v>9800</v>
      </c>
      <c r="AQ649" s="1">
        <v>9800</v>
      </c>
      <c r="AR649" s="1">
        <v>9800</v>
      </c>
      <c r="AS649" s="1">
        <v>9800</v>
      </c>
      <c r="AT649" s="1">
        <v>9800</v>
      </c>
      <c r="AU649" s="1">
        <v>9800</v>
      </c>
      <c r="AV649" s="1">
        <v>9800</v>
      </c>
      <c r="AW649" s="1">
        <v>9800</v>
      </c>
      <c r="AX649" s="1">
        <v>9800</v>
      </c>
      <c r="AY649" s="1"/>
      <c r="BA649" s="21">
        <f t="shared" si="624"/>
        <v>37480</v>
      </c>
      <c r="BB649" s="22">
        <f t="shared" si="625"/>
        <v>3123.3333333333335</v>
      </c>
      <c r="BD649" s="7">
        <f t="shared" si="626"/>
        <v>28742</v>
      </c>
      <c r="BE649" s="7">
        <f t="shared" si="627"/>
        <v>-8738</v>
      </c>
      <c r="BF649" s="8">
        <f t="shared" si="628"/>
        <v>-0.23313767342582714</v>
      </c>
      <c r="BG649" s="7">
        <f t="shared" si="629"/>
        <v>2395.1666666666665</v>
      </c>
      <c r="BI649" s="12">
        <f t="shared" si="630"/>
        <v>31463</v>
      </c>
      <c r="BJ649" s="12">
        <f t="shared" si="631"/>
        <v>2721</v>
      </c>
      <c r="BK649" s="13">
        <f t="shared" si="632"/>
        <v>9.4669821167629342E-2</v>
      </c>
      <c r="BL649" s="24">
        <f t="shared" si="633"/>
        <v>2619.25</v>
      </c>
      <c r="BM649" s="24">
        <f t="shared" si="634"/>
        <v>2627.25</v>
      </c>
      <c r="BO649" s="17">
        <f t="shared" si="635"/>
        <v>117600</v>
      </c>
      <c r="BP649" s="17">
        <f t="shared" si="636"/>
        <v>86137</v>
      </c>
      <c r="BQ649" s="18">
        <f t="shared" si="637"/>
        <v>2.7377236754282808</v>
      </c>
      <c r="BR649" s="25">
        <f t="shared" si="638"/>
        <v>9800</v>
      </c>
    </row>
    <row r="650" spans="1:70">
      <c r="A650" t="s">
        <v>877</v>
      </c>
      <c r="B650">
        <v>460090</v>
      </c>
      <c r="C650" s="1">
        <v>44741</v>
      </c>
      <c r="D650" s="1">
        <v>59391</v>
      </c>
      <c r="E650" s="1">
        <v>57105</v>
      </c>
      <c r="F650" s="1">
        <v>62483</v>
      </c>
      <c r="G650" s="1">
        <v>57535</v>
      </c>
      <c r="H650" s="1">
        <v>60416</v>
      </c>
      <c r="I650" s="1">
        <v>47294</v>
      </c>
      <c r="J650" s="1">
        <v>58322</v>
      </c>
      <c r="K650" s="1">
        <v>68429</v>
      </c>
      <c r="L650" s="1">
        <v>53933</v>
      </c>
      <c r="M650" s="1">
        <v>57617</v>
      </c>
      <c r="N650" s="1">
        <v>55555</v>
      </c>
      <c r="O650" s="1">
        <v>54135</v>
      </c>
      <c r="P650" s="1">
        <v>54907</v>
      </c>
      <c r="Q650" s="1">
        <v>52410</v>
      </c>
      <c r="R650" s="1">
        <v>54390</v>
      </c>
      <c r="S650" s="1">
        <v>49015</v>
      </c>
      <c r="T650" s="1">
        <v>55720</v>
      </c>
      <c r="U650" s="1">
        <v>45363</v>
      </c>
      <c r="V650" s="1">
        <v>45736</v>
      </c>
      <c r="W650" s="1">
        <v>54858</v>
      </c>
      <c r="X650" s="1">
        <v>44838</v>
      </c>
      <c r="Y650" s="1">
        <v>39946</v>
      </c>
      <c r="Z650" s="1">
        <v>44366</v>
      </c>
      <c r="AA650" s="1">
        <v>42460</v>
      </c>
      <c r="AB650" s="1">
        <v>43539</v>
      </c>
      <c r="AC650" s="1">
        <v>42284</v>
      </c>
      <c r="AD650" s="1">
        <v>46205</v>
      </c>
      <c r="AE650" s="1">
        <v>46783</v>
      </c>
      <c r="AF650" s="1">
        <v>37806</v>
      </c>
      <c r="AG650" s="1">
        <v>38404</v>
      </c>
      <c r="AH650" s="1">
        <v>42196</v>
      </c>
      <c r="AI650" s="1">
        <v>40367</v>
      </c>
      <c r="AJ650" s="1">
        <v>45239</v>
      </c>
      <c r="AK650" s="1">
        <v>41099</v>
      </c>
      <c r="AL650" s="1">
        <v>40740</v>
      </c>
      <c r="AM650" s="1">
        <v>40383</v>
      </c>
      <c r="AN650" s="1">
        <v>40030</v>
      </c>
      <c r="AO650" s="1">
        <v>39681</v>
      </c>
      <c r="AP650" s="1">
        <v>39334</v>
      </c>
      <c r="AQ650" s="1">
        <v>38990</v>
      </c>
      <c r="AR650" s="1">
        <v>38649</v>
      </c>
      <c r="AS650" s="1">
        <v>38311</v>
      </c>
      <c r="AT650" s="1">
        <v>37976</v>
      </c>
      <c r="AU650" s="1">
        <v>37644</v>
      </c>
      <c r="AV650" s="1">
        <v>37315</v>
      </c>
      <c r="AW650" s="1">
        <v>36989</v>
      </c>
      <c r="AX650" s="1">
        <v>36666</v>
      </c>
      <c r="AY650" s="1"/>
      <c r="BA650" s="21">
        <f t="shared" si="624"/>
        <v>682821</v>
      </c>
      <c r="BB650" s="22">
        <f t="shared" si="625"/>
        <v>56901.75</v>
      </c>
      <c r="BD650" s="7">
        <f t="shared" si="626"/>
        <v>595684</v>
      </c>
      <c r="BE650" s="7">
        <f t="shared" si="627"/>
        <v>-87137</v>
      </c>
      <c r="BF650" s="8">
        <f t="shared" si="628"/>
        <v>-0.12761323978026451</v>
      </c>
      <c r="BG650" s="7">
        <f t="shared" si="629"/>
        <v>49640.333333333336</v>
      </c>
      <c r="BI650" s="12">
        <f t="shared" si="630"/>
        <v>507122</v>
      </c>
      <c r="BJ650" s="12">
        <f t="shared" si="631"/>
        <v>-88562</v>
      </c>
      <c r="BK650" s="13">
        <f t="shared" si="632"/>
        <v>-0.14867278624237013</v>
      </c>
      <c r="BL650" s="24">
        <f t="shared" si="633"/>
        <v>42459.625</v>
      </c>
      <c r="BM650" s="24">
        <f t="shared" si="634"/>
        <v>41861.25</v>
      </c>
      <c r="BO650" s="17">
        <f t="shared" si="635"/>
        <v>461968</v>
      </c>
      <c r="BP650" s="17">
        <f t="shared" si="636"/>
        <v>-45154</v>
      </c>
      <c r="BQ650" s="18">
        <f t="shared" si="637"/>
        <v>-8.903971825320145E-2</v>
      </c>
      <c r="BR650" s="25">
        <f t="shared" si="638"/>
        <v>38497.333333333336</v>
      </c>
    </row>
    <row r="651" spans="1:70">
      <c r="A651" t="s">
        <v>878</v>
      </c>
      <c r="B651">
        <v>460094</v>
      </c>
      <c r="C651" s="1">
        <v>-1657</v>
      </c>
      <c r="D651" s="1">
        <v>500</v>
      </c>
      <c r="E651" s="1">
        <v>1000</v>
      </c>
      <c r="F651" s="1">
        <v>517</v>
      </c>
      <c r="G651" s="1">
        <v>2669</v>
      </c>
      <c r="H651" s="1">
        <v>7560</v>
      </c>
      <c r="I651" s="1">
        <v>-6959</v>
      </c>
      <c r="J651" s="1">
        <v>5603</v>
      </c>
      <c r="K651" s="1">
        <v>5557</v>
      </c>
      <c r="L651" s="1">
        <v>2634</v>
      </c>
      <c r="M651" s="1">
        <v>3773</v>
      </c>
      <c r="N651" s="1">
        <v>430</v>
      </c>
      <c r="O651" s="1">
        <v>-3618</v>
      </c>
      <c r="P651" s="1">
        <v>2812</v>
      </c>
      <c r="Q651" s="1">
        <v>2774</v>
      </c>
      <c r="R651" s="1">
        <v>-1047</v>
      </c>
      <c r="S651" s="1">
        <v>3795</v>
      </c>
      <c r="T651" s="1">
        <v>1253</v>
      </c>
      <c r="U651" s="1">
        <v>2977</v>
      </c>
      <c r="V651" s="1">
        <v>1798</v>
      </c>
      <c r="W651" s="1">
        <v>183</v>
      </c>
      <c r="X651" s="1">
        <v>0</v>
      </c>
      <c r="Y651" s="1">
        <v>2774</v>
      </c>
      <c r="Z651" s="1">
        <v>3727</v>
      </c>
      <c r="AA651" s="1">
        <v>2979</v>
      </c>
      <c r="AB651" s="1">
        <v>100</v>
      </c>
      <c r="AC651" s="1">
        <v>200</v>
      </c>
      <c r="AD651" s="1">
        <v>4601</v>
      </c>
      <c r="AE651" s="1">
        <v>2555</v>
      </c>
      <c r="AF651" s="1">
        <v>7820</v>
      </c>
      <c r="AG651" s="1">
        <v>6037</v>
      </c>
      <c r="AH651" s="1">
        <v>2873</v>
      </c>
      <c r="AI651" s="1">
        <v>2150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/>
      <c r="BA651" s="21">
        <f t="shared" si="624"/>
        <v>21627</v>
      </c>
      <c r="BB651" s="22">
        <f t="shared" si="625"/>
        <v>1802.25</v>
      </c>
      <c r="BD651" s="7">
        <f t="shared" si="626"/>
        <v>17428</v>
      </c>
      <c r="BE651" s="7">
        <f t="shared" si="627"/>
        <v>-4199</v>
      </c>
      <c r="BF651" s="8">
        <f t="shared" si="628"/>
        <v>-0.19415545383085953</v>
      </c>
      <c r="BG651" s="7">
        <f t="shared" si="629"/>
        <v>1452.3333333333333</v>
      </c>
      <c r="BI651" s="12">
        <f t="shared" si="630"/>
        <v>29315</v>
      </c>
      <c r="BJ651" s="12">
        <f t="shared" si="631"/>
        <v>11887</v>
      </c>
      <c r="BK651" s="13">
        <f t="shared" si="632"/>
        <v>0.68206334633922427</v>
      </c>
      <c r="BL651" s="24">
        <f t="shared" si="633"/>
        <v>3395.625</v>
      </c>
      <c r="BM651" s="24">
        <f t="shared" si="634"/>
        <v>537.5</v>
      </c>
      <c r="BO651" s="17">
        <f t="shared" si="635"/>
        <v>0</v>
      </c>
      <c r="BP651" s="17">
        <f t="shared" si="636"/>
        <v>-29315</v>
      </c>
      <c r="BQ651" s="18">
        <f t="shared" si="637"/>
        <v>-1</v>
      </c>
      <c r="BR651" s="25">
        <f t="shared" si="638"/>
        <v>0</v>
      </c>
    </row>
    <row r="652" spans="1:70">
      <c r="A652" t="s">
        <v>879</v>
      </c>
      <c r="B652">
        <v>460097</v>
      </c>
      <c r="C652" s="1">
        <v>78890</v>
      </c>
      <c r="D652" s="1">
        <v>38857</v>
      </c>
      <c r="E652" s="1">
        <v>72599</v>
      </c>
      <c r="F652" s="1">
        <v>50821</v>
      </c>
      <c r="G652" s="1">
        <v>81994</v>
      </c>
      <c r="H652" s="1">
        <v>75618</v>
      </c>
      <c r="I652" s="1">
        <v>93436</v>
      </c>
      <c r="J652" s="1">
        <v>74597</v>
      </c>
      <c r="K652" s="1">
        <v>56069</v>
      </c>
      <c r="L652" s="1">
        <v>24293</v>
      </c>
      <c r="M652" s="1">
        <v>37534</v>
      </c>
      <c r="N652" s="1">
        <v>32582</v>
      </c>
      <c r="O652" s="1">
        <v>16511</v>
      </c>
      <c r="P652" s="1">
        <v>20343</v>
      </c>
      <c r="Q652" s="1">
        <v>30169</v>
      </c>
      <c r="R652" s="1">
        <v>28163</v>
      </c>
      <c r="S652" s="1">
        <v>29725</v>
      </c>
      <c r="T652" s="1">
        <v>24799</v>
      </c>
      <c r="U652" s="1">
        <v>24256</v>
      </c>
      <c r="V652" s="1">
        <v>20108</v>
      </c>
      <c r="W652" s="1">
        <v>23830</v>
      </c>
      <c r="X652" s="1">
        <v>24041</v>
      </c>
      <c r="Y652" s="1">
        <v>23818</v>
      </c>
      <c r="Z652" s="1">
        <v>20918</v>
      </c>
      <c r="AA652" s="1">
        <v>23198</v>
      </c>
      <c r="AB652" s="1">
        <v>21675</v>
      </c>
      <c r="AC652" s="1">
        <v>22507</v>
      </c>
      <c r="AD652" s="1">
        <v>41817</v>
      </c>
      <c r="AE652" s="1">
        <v>23164</v>
      </c>
      <c r="AF652" s="1">
        <v>18198</v>
      </c>
      <c r="AG652" s="1">
        <v>18247</v>
      </c>
      <c r="AH652" s="1">
        <v>20778</v>
      </c>
      <c r="AI652" s="1">
        <v>31199</v>
      </c>
      <c r="AJ652" s="1">
        <v>30006</v>
      </c>
      <c r="AK652" s="1">
        <v>27500</v>
      </c>
      <c r="AL652" s="1">
        <v>27500</v>
      </c>
      <c r="AM652" s="1">
        <v>9166</v>
      </c>
      <c r="AN652" s="1">
        <v>9166</v>
      </c>
      <c r="AO652" s="1">
        <v>9166</v>
      </c>
      <c r="AP652" s="1">
        <v>9166</v>
      </c>
      <c r="AQ652" s="1">
        <v>9166</v>
      </c>
      <c r="AR652" s="1">
        <v>9166</v>
      </c>
      <c r="AS652" s="1">
        <v>9166</v>
      </c>
      <c r="AT652" s="1">
        <v>9166</v>
      </c>
      <c r="AU652" s="1">
        <v>9166</v>
      </c>
      <c r="AV652" s="1">
        <v>9166</v>
      </c>
      <c r="AW652" s="1">
        <v>9166</v>
      </c>
      <c r="AX652" s="1">
        <v>9174</v>
      </c>
      <c r="AY652" s="1"/>
      <c r="BA652" s="21">
        <f t="shared" si="624"/>
        <v>717290</v>
      </c>
      <c r="BB652" s="22">
        <f t="shared" si="625"/>
        <v>59774.166666666664</v>
      </c>
      <c r="BD652" s="7">
        <f t="shared" si="626"/>
        <v>286681</v>
      </c>
      <c r="BE652" s="7">
        <f t="shared" si="627"/>
        <v>-430609</v>
      </c>
      <c r="BF652" s="8">
        <f t="shared" si="628"/>
        <v>-0.60032762202177636</v>
      </c>
      <c r="BG652" s="7">
        <f t="shared" si="629"/>
        <v>23890.083333333332</v>
      </c>
      <c r="BI652" s="12">
        <f t="shared" si="630"/>
        <v>305789</v>
      </c>
      <c r="BJ652" s="12">
        <f t="shared" si="631"/>
        <v>19108</v>
      </c>
      <c r="BK652" s="13">
        <f t="shared" si="632"/>
        <v>6.6652481329421809E-2</v>
      </c>
      <c r="BL652" s="24">
        <f t="shared" si="633"/>
        <v>23698</v>
      </c>
      <c r="BM652" s="24">
        <f t="shared" si="634"/>
        <v>29051.25</v>
      </c>
      <c r="BO652" s="17">
        <f t="shared" si="635"/>
        <v>110000</v>
      </c>
      <c r="BP652" s="17">
        <f t="shared" si="636"/>
        <v>-195789</v>
      </c>
      <c r="BQ652" s="18">
        <f t="shared" si="637"/>
        <v>-0.64027483002985719</v>
      </c>
      <c r="BR652" s="25">
        <f t="shared" si="638"/>
        <v>9166.6666666666661</v>
      </c>
    </row>
    <row r="653" spans="1:70">
      <c r="A653" t="s">
        <v>880</v>
      </c>
      <c r="B653">
        <v>460098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390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/>
      <c r="BA653" s="21">
        <f t="shared" si="624"/>
        <v>0</v>
      </c>
      <c r="BB653" s="22">
        <f t="shared" si="625"/>
        <v>0</v>
      </c>
      <c r="BD653" s="7">
        <f t="shared" si="626"/>
        <v>0</v>
      </c>
      <c r="BE653" s="7">
        <f t="shared" si="627"/>
        <v>0</v>
      </c>
      <c r="BF653" s="8" t="e">
        <f t="shared" si="628"/>
        <v>#DIV/0!</v>
      </c>
      <c r="BG653" s="7">
        <f t="shared" si="629"/>
        <v>0</v>
      </c>
      <c r="BI653" s="12">
        <f t="shared" si="630"/>
        <v>390</v>
      </c>
      <c r="BJ653" s="12">
        <f t="shared" si="631"/>
        <v>390</v>
      </c>
      <c r="BK653" s="13" t="e">
        <f t="shared" si="632"/>
        <v>#DIV/0!</v>
      </c>
      <c r="BL653" s="24">
        <f t="shared" si="633"/>
        <v>48.75</v>
      </c>
      <c r="BM653" s="24">
        <f t="shared" si="634"/>
        <v>0</v>
      </c>
      <c r="BO653" s="17">
        <f t="shared" si="635"/>
        <v>0</v>
      </c>
      <c r="BP653" s="17">
        <f t="shared" si="636"/>
        <v>-390</v>
      </c>
      <c r="BQ653" s="18">
        <f t="shared" si="637"/>
        <v>-1</v>
      </c>
      <c r="BR653" s="25">
        <f t="shared" si="638"/>
        <v>0</v>
      </c>
    </row>
    <row r="654" spans="1:70">
      <c r="A654" t="s">
        <v>881</v>
      </c>
      <c r="B654">
        <v>460099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42179</v>
      </c>
      <c r="AI654" s="1">
        <v>12050</v>
      </c>
      <c r="AJ654" s="1">
        <v>8953</v>
      </c>
      <c r="AK654" s="1">
        <v>8205</v>
      </c>
      <c r="AL654" s="1">
        <v>8206</v>
      </c>
      <c r="AM654" s="1">
        <v>6250</v>
      </c>
      <c r="AN654" s="1">
        <v>6250</v>
      </c>
      <c r="AO654" s="1">
        <v>6250</v>
      </c>
      <c r="AP654" s="1">
        <v>6250</v>
      </c>
      <c r="AQ654" s="1">
        <v>6250</v>
      </c>
      <c r="AR654" s="1">
        <v>6250</v>
      </c>
      <c r="AS654" s="1">
        <v>6250</v>
      </c>
      <c r="AT654" s="1">
        <v>6250</v>
      </c>
      <c r="AU654" s="1">
        <v>6250</v>
      </c>
      <c r="AV654" s="1">
        <v>6250</v>
      </c>
      <c r="AW654" s="1">
        <v>6250</v>
      </c>
      <c r="AX654" s="1">
        <v>6250</v>
      </c>
      <c r="AY654" s="1"/>
      <c r="BA654" s="21">
        <f t="shared" si="624"/>
        <v>0</v>
      </c>
      <c r="BB654" s="22">
        <f t="shared" si="625"/>
        <v>0</v>
      </c>
      <c r="BD654" s="7">
        <f t="shared" si="626"/>
        <v>0</v>
      </c>
      <c r="BE654" s="7">
        <f t="shared" si="627"/>
        <v>0</v>
      </c>
      <c r="BF654" s="8" t="e">
        <f t="shared" si="628"/>
        <v>#DIV/0!</v>
      </c>
      <c r="BG654" s="7">
        <f t="shared" si="629"/>
        <v>0</v>
      </c>
      <c r="BI654" s="12">
        <f t="shared" si="630"/>
        <v>79593</v>
      </c>
      <c r="BJ654" s="12">
        <f t="shared" si="631"/>
        <v>79593</v>
      </c>
      <c r="BK654" s="13" t="e">
        <f t="shared" si="632"/>
        <v>#DIV/0!</v>
      </c>
      <c r="BL654" s="24">
        <f t="shared" si="633"/>
        <v>5272.375</v>
      </c>
      <c r="BM654" s="24">
        <f t="shared" si="634"/>
        <v>9353.5</v>
      </c>
      <c r="BO654" s="17">
        <f t="shared" si="635"/>
        <v>75000</v>
      </c>
      <c r="BP654" s="17">
        <f t="shared" si="636"/>
        <v>-4593</v>
      </c>
      <c r="BQ654" s="18">
        <f t="shared" si="637"/>
        <v>-5.770607968037389E-2</v>
      </c>
      <c r="BR654" s="25">
        <f t="shared" si="638"/>
        <v>6250</v>
      </c>
    </row>
    <row r="655" spans="1:70">
      <c r="A655" t="s">
        <v>882</v>
      </c>
      <c r="B655">
        <v>460100</v>
      </c>
      <c r="C655" s="1">
        <v>182</v>
      </c>
      <c r="D655" s="1">
        <v>360</v>
      </c>
      <c r="E655" s="1">
        <v>182</v>
      </c>
      <c r="F655" s="1">
        <v>182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/>
      <c r="BA655" s="21">
        <f t="shared" si="624"/>
        <v>906</v>
      </c>
      <c r="BB655" s="22">
        <f t="shared" si="625"/>
        <v>75.5</v>
      </c>
      <c r="BD655" s="7">
        <f t="shared" si="626"/>
        <v>0</v>
      </c>
      <c r="BE655" s="7">
        <f t="shared" si="627"/>
        <v>-906</v>
      </c>
      <c r="BF655" s="8">
        <f t="shared" si="628"/>
        <v>-1</v>
      </c>
      <c r="BG655" s="7">
        <f t="shared" si="629"/>
        <v>0</v>
      </c>
      <c r="BI655" s="12">
        <f t="shared" si="630"/>
        <v>0</v>
      </c>
      <c r="BJ655" s="12">
        <f t="shared" si="631"/>
        <v>0</v>
      </c>
      <c r="BK655" s="13" t="e">
        <f t="shared" si="632"/>
        <v>#DIV/0!</v>
      </c>
      <c r="BL655" s="24">
        <f t="shared" si="633"/>
        <v>0</v>
      </c>
      <c r="BM655" s="24">
        <f t="shared" si="634"/>
        <v>0</v>
      </c>
      <c r="BO655" s="17">
        <f t="shared" si="635"/>
        <v>0</v>
      </c>
      <c r="BP655" s="17">
        <f t="shared" si="636"/>
        <v>0</v>
      </c>
      <c r="BQ655" s="18" t="e">
        <f t="shared" si="637"/>
        <v>#DIV/0!</v>
      </c>
      <c r="BR655" s="25">
        <f t="shared" si="638"/>
        <v>0</v>
      </c>
    </row>
    <row r="656" spans="1:70">
      <c r="A656" t="s">
        <v>235</v>
      </c>
      <c r="B656">
        <v>460105</v>
      </c>
      <c r="C656" s="1">
        <v>14955</v>
      </c>
      <c r="D656" s="1">
        <v>29292</v>
      </c>
      <c r="E656" s="1">
        <v>15422</v>
      </c>
      <c r="F656" s="1">
        <v>35112</v>
      </c>
      <c r="G656" s="1">
        <v>18130</v>
      </c>
      <c r="H656" s="1">
        <v>14863</v>
      </c>
      <c r="I656" s="1">
        <v>19281</v>
      </c>
      <c r="J656" s="1">
        <v>9256</v>
      </c>
      <c r="K656" s="1">
        <v>31539</v>
      </c>
      <c r="L656" s="1">
        <v>18922</v>
      </c>
      <c r="M656" s="1">
        <v>14744</v>
      </c>
      <c r="N656" s="1">
        <v>16818</v>
      </c>
      <c r="O656" s="1">
        <v>18424</v>
      </c>
      <c r="P656" s="1">
        <v>12825</v>
      </c>
      <c r="Q656" s="1">
        <v>13526</v>
      </c>
      <c r="R656" s="1">
        <v>20800</v>
      </c>
      <c r="S656" s="1">
        <v>13298</v>
      </c>
      <c r="T656" s="1">
        <v>15524</v>
      </c>
      <c r="U656" s="1">
        <v>15535</v>
      </c>
      <c r="V656" s="1">
        <v>14609</v>
      </c>
      <c r="W656" s="1">
        <v>19465</v>
      </c>
      <c r="X656" s="1">
        <v>18144</v>
      </c>
      <c r="Y656" s="1">
        <v>14134</v>
      </c>
      <c r="Z656" s="1">
        <v>16728</v>
      </c>
      <c r="AA656" s="1">
        <v>18019</v>
      </c>
      <c r="AB656" s="1">
        <v>15799</v>
      </c>
      <c r="AC656" s="1">
        <v>16438</v>
      </c>
      <c r="AD656" s="1">
        <v>16844</v>
      </c>
      <c r="AE656" s="1">
        <v>15971</v>
      </c>
      <c r="AF656" s="1">
        <v>15533</v>
      </c>
      <c r="AG656" s="1">
        <v>19052</v>
      </c>
      <c r="AH656" s="1">
        <v>11843</v>
      </c>
      <c r="AI656" s="1">
        <v>20277</v>
      </c>
      <c r="AJ656" s="1">
        <v>17662</v>
      </c>
      <c r="AK656" s="1">
        <v>16187</v>
      </c>
      <c r="AL656" s="1">
        <v>16187</v>
      </c>
      <c r="AM656" s="1">
        <v>16996</v>
      </c>
      <c r="AN656" s="1">
        <v>16996</v>
      </c>
      <c r="AO656" s="1">
        <v>16996</v>
      </c>
      <c r="AP656" s="1">
        <v>16996</v>
      </c>
      <c r="AQ656" s="1">
        <v>16996</v>
      </c>
      <c r="AR656" s="1">
        <v>16996</v>
      </c>
      <c r="AS656" s="1">
        <v>16996</v>
      </c>
      <c r="AT656" s="1">
        <v>16996</v>
      </c>
      <c r="AU656" s="1">
        <v>16996</v>
      </c>
      <c r="AV656" s="1">
        <v>16996</v>
      </c>
      <c r="AW656" s="1">
        <v>16996</v>
      </c>
      <c r="AX656" s="1">
        <v>17003</v>
      </c>
      <c r="AY656" s="1"/>
      <c r="BA656" s="21">
        <f t="shared" si="624"/>
        <v>238334</v>
      </c>
      <c r="BB656" s="22">
        <f t="shared" si="625"/>
        <v>19861.166666666668</v>
      </c>
      <c r="BD656" s="7">
        <f t="shared" si="626"/>
        <v>193012</v>
      </c>
      <c r="BE656" s="7">
        <f t="shared" si="627"/>
        <v>-45322</v>
      </c>
      <c r="BF656" s="8">
        <f t="shared" si="628"/>
        <v>-0.19016170584138226</v>
      </c>
      <c r="BG656" s="7">
        <f t="shared" si="629"/>
        <v>16084.333333333334</v>
      </c>
      <c r="BI656" s="12">
        <f t="shared" si="630"/>
        <v>199812</v>
      </c>
      <c r="BJ656" s="12">
        <f t="shared" si="631"/>
        <v>6800</v>
      </c>
      <c r="BK656" s="13">
        <f t="shared" si="632"/>
        <v>3.5230970095123659E-2</v>
      </c>
      <c r="BL656" s="24">
        <f t="shared" si="633"/>
        <v>16187.375</v>
      </c>
      <c r="BM656" s="24">
        <f t="shared" si="634"/>
        <v>17578.25</v>
      </c>
      <c r="BO656" s="17">
        <f t="shared" si="635"/>
        <v>203959</v>
      </c>
      <c r="BP656" s="17">
        <f t="shared" si="636"/>
        <v>4147</v>
      </c>
      <c r="BQ656" s="18">
        <f t="shared" si="637"/>
        <v>2.0754509238684271E-2</v>
      </c>
      <c r="BR656" s="25">
        <f t="shared" si="638"/>
        <v>16996.583333333332</v>
      </c>
    </row>
    <row r="657" spans="1:70">
      <c r="A657" t="s">
        <v>236</v>
      </c>
      <c r="B657">
        <v>460110</v>
      </c>
      <c r="C657" s="1">
        <v>2710</v>
      </c>
      <c r="D657" s="1">
        <v>3203</v>
      </c>
      <c r="E657" s="1">
        <v>2808</v>
      </c>
      <c r="F657" s="1">
        <v>3137</v>
      </c>
      <c r="G657" s="1">
        <v>2719</v>
      </c>
      <c r="H657" s="1">
        <v>2943</v>
      </c>
      <c r="I657" s="1">
        <v>3144</v>
      </c>
      <c r="J657" s="1">
        <v>1735</v>
      </c>
      <c r="K657" s="1">
        <v>3401</v>
      </c>
      <c r="L657" s="1">
        <v>5142</v>
      </c>
      <c r="M657" s="1">
        <v>3078</v>
      </c>
      <c r="N657" s="1">
        <v>3266</v>
      </c>
      <c r="O657" s="1">
        <v>3571</v>
      </c>
      <c r="P657" s="1">
        <v>2640</v>
      </c>
      <c r="Q657" s="1">
        <v>2751</v>
      </c>
      <c r="R657" s="1">
        <v>3462</v>
      </c>
      <c r="S657" s="1">
        <v>2697</v>
      </c>
      <c r="T657" s="1">
        <v>3182</v>
      </c>
      <c r="U657" s="1">
        <v>3122</v>
      </c>
      <c r="V657" s="1">
        <v>2904</v>
      </c>
      <c r="W657" s="1">
        <v>3626</v>
      </c>
      <c r="X657" s="1">
        <v>3719</v>
      </c>
      <c r="Y657" s="1">
        <v>3072</v>
      </c>
      <c r="Z657" s="1">
        <v>3407</v>
      </c>
      <c r="AA657" s="1">
        <v>3743</v>
      </c>
      <c r="AB657" s="1">
        <v>3405</v>
      </c>
      <c r="AC657" s="1">
        <v>2919</v>
      </c>
      <c r="AD657" s="1">
        <v>3476</v>
      </c>
      <c r="AE657" s="1">
        <v>3208</v>
      </c>
      <c r="AF657" s="1">
        <v>4014</v>
      </c>
      <c r="AG657" s="1">
        <v>3714</v>
      </c>
      <c r="AH657" s="1">
        <v>4026</v>
      </c>
      <c r="AI657" s="1">
        <v>4204</v>
      </c>
      <c r="AJ657" s="1">
        <v>3888</v>
      </c>
      <c r="AK657" s="1">
        <v>3563</v>
      </c>
      <c r="AL657" s="1">
        <v>3563</v>
      </c>
      <c r="AM657" s="1">
        <v>3741</v>
      </c>
      <c r="AN657" s="1">
        <v>3741</v>
      </c>
      <c r="AO657" s="1">
        <v>3741</v>
      </c>
      <c r="AP657" s="1">
        <v>3741</v>
      </c>
      <c r="AQ657" s="1">
        <v>3741</v>
      </c>
      <c r="AR657" s="1">
        <v>3741</v>
      </c>
      <c r="AS657" s="1">
        <v>3741</v>
      </c>
      <c r="AT657" s="1">
        <v>3741</v>
      </c>
      <c r="AU657" s="1">
        <v>3741</v>
      </c>
      <c r="AV657" s="1">
        <v>3741</v>
      </c>
      <c r="AW657" s="1">
        <v>3741</v>
      </c>
      <c r="AX657" s="1">
        <v>3743</v>
      </c>
      <c r="AY657" s="1"/>
      <c r="BA657" s="21">
        <f t="shared" si="624"/>
        <v>37286</v>
      </c>
      <c r="BB657" s="22">
        <f t="shared" si="625"/>
        <v>3107.1666666666665</v>
      </c>
      <c r="BD657" s="7">
        <f t="shared" si="626"/>
        <v>38153</v>
      </c>
      <c r="BE657" s="7">
        <f t="shared" si="627"/>
        <v>867</v>
      </c>
      <c r="BF657" s="8">
        <f t="shared" si="628"/>
        <v>2.3252695381644539E-2</v>
      </c>
      <c r="BG657" s="7">
        <f t="shared" si="629"/>
        <v>3179.4166666666665</v>
      </c>
      <c r="BI657" s="12">
        <f t="shared" si="630"/>
        <v>43723</v>
      </c>
      <c r="BJ657" s="12">
        <f t="shared" si="631"/>
        <v>5570</v>
      </c>
      <c r="BK657" s="13">
        <f t="shared" si="632"/>
        <v>0.14599114093256094</v>
      </c>
      <c r="BL657" s="24">
        <f t="shared" si="633"/>
        <v>3563.125</v>
      </c>
      <c r="BM657" s="24">
        <f t="shared" si="634"/>
        <v>3804.5</v>
      </c>
      <c r="BO657" s="17">
        <f t="shared" si="635"/>
        <v>44894</v>
      </c>
      <c r="BP657" s="17">
        <f t="shared" si="636"/>
        <v>1171</v>
      </c>
      <c r="BQ657" s="18">
        <f t="shared" si="637"/>
        <v>2.6782242755529095E-2</v>
      </c>
      <c r="BR657" s="25">
        <f t="shared" si="638"/>
        <v>3741.1666666666665</v>
      </c>
    </row>
    <row r="658" spans="1:70">
      <c r="A658" t="s">
        <v>883</v>
      </c>
      <c r="B658">
        <v>460111</v>
      </c>
      <c r="C658" s="1">
        <v>-374</v>
      </c>
      <c r="D658" s="1">
        <v>1931</v>
      </c>
      <c r="E658" s="1">
        <v>-1667</v>
      </c>
      <c r="F658" s="1">
        <v>3463</v>
      </c>
      <c r="G658" s="1">
        <v>2189</v>
      </c>
      <c r="H658" s="1">
        <v>2987</v>
      </c>
      <c r="I658" s="1">
        <v>2039</v>
      </c>
      <c r="J658" s="1">
        <v>2595</v>
      </c>
      <c r="K658" s="1">
        <v>2871</v>
      </c>
      <c r="L658" s="1">
        <v>1421</v>
      </c>
      <c r="M658" s="1">
        <v>-799</v>
      </c>
      <c r="N658" s="1">
        <v>3643</v>
      </c>
      <c r="O658" s="1">
        <v>3114</v>
      </c>
      <c r="P658" s="1">
        <v>5018</v>
      </c>
      <c r="Q658" s="1">
        <v>4179</v>
      </c>
      <c r="R658" s="1">
        <v>-682</v>
      </c>
      <c r="S658" s="1">
        <v>3475</v>
      </c>
      <c r="T658" s="1">
        <v>4041</v>
      </c>
      <c r="U658" s="1">
        <v>1722</v>
      </c>
      <c r="V658" s="1">
        <v>6294</v>
      </c>
      <c r="W658" s="1">
        <v>-132</v>
      </c>
      <c r="X658" s="1">
        <v>2395</v>
      </c>
      <c r="Y658" s="1">
        <v>5808</v>
      </c>
      <c r="Z658" s="1">
        <v>1620</v>
      </c>
      <c r="AA658" s="1">
        <v>1073</v>
      </c>
      <c r="AB658" s="1">
        <v>699</v>
      </c>
      <c r="AC658" s="1">
        <v>2481</v>
      </c>
      <c r="AD658" s="1">
        <v>2955</v>
      </c>
      <c r="AE658" s="1">
        <v>3462</v>
      </c>
      <c r="AF658" s="1">
        <v>1582</v>
      </c>
      <c r="AG658" s="1">
        <v>-861</v>
      </c>
      <c r="AH658" s="1">
        <v>787</v>
      </c>
      <c r="AI658" s="1">
        <v>-2994</v>
      </c>
      <c r="AJ658" s="1">
        <v>1661</v>
      </c>
      <c r="AK658" s="1">
        <v>1522</v>
      </c>
      <c r="AL658" s="1">
        <v>1522</v>
      </c>
      <c r="AM658" s="1">
        <v>1598</v>
      </c>
      <c r="AN658" s="1">
        <v>1598</v>
      </c>
      <c r="AO658" s="1">
        <v>1598</v>
      </c>
      <c r="AP658" s="1">
        <v>1598</v>
      </c>
      <c r="AQ658" s="1">
        <v>1598</v>
      </c>
      <c r="AR658" s="1">
        <v>1598</v>
      </c>
      <c r="AS658" s="1">
        <v>1598</v>
      </c>
      <c r="AT658" s="1">
        <v>1598</v>
      </c>
      <c r="AU658" s="1">
        <v>1598</v>
      </c>
      <c r="AV658" s="1">
        <v>1598</v>
      </c>
      <c r="AW658" s="1">
        <v>1598</v>
      </c>
      <c r="AX658" s="1">
        <v>1601</v>
      </c>
      <c r="AY658" s="1"/>
      <c r="BA658" s="21">
        <f t="shared" si="624"/>
        <v>20299</v>
      </c>
      <c r="BB658" s="22">
        <f t="shared" si="625"/>
        <v>1691.5833333333333</v>
      </c>
      <c r="BD658" s="7">
        <f t="shared" si="626"/>
        <v>36852</v>
      </c>
      <c r="BE658" s="7">
        <f t="shared" si="627"/>
        <v>16553</v>
      </c>
      <c r="BF658" s="8">
        <f t="shared" si="628"/>
        <v>0.81545888960047286</v>
      </c>
      <c r="BG658" s="7">
        <f t="shared" si="629"/>
        <v>3071</v>
      </c>
      <c r="BI658" s="12">
        <f t="shared" si="630"/>
        <v>13889</v>
      </c>
      <c r="BJ658" s="12">
        <f t="shared" si="631"/>
        <v>-22963</v>
      </c>
      <c r="BK658" s="13">
        <f t="shared" si="632"/>
        <v>-0.62311407793335505</v>
      </c>
      <c r="BL658" s="24">
        <f t="shared" si="633"/>
        <v>1522.25</v>
      </c>
      <c r="BM658" s="24">
        <f t="shared" si="634"/>
        <v>427.75</v>
      </c>
      <c r="BO658" s="17">
        <f t="shared" si="635"/>
        <v>19179</v>
      </c>
      <c r="BP658" s="17">
        <f t="shared" si="636"/>
        <v>5290</v>
      </c>
      <c r="BQ658" s="18">
        <f t="shared" si="637"/>
        <v>0.38087695298437607</v>
      </c>
      <c r="BR658" s="25">
        <f t="shared" si="638"/>
        <v>1598.25</v>
      </c>
    </row>
    <row r="659" spans="1:70">
      <c r="A659" t="s">
        <v>884</v>
      </c>
      <c r="B659">
        <v>460112</v>
      </c>
      <c r="C659" s="1">
        <v>6351</v>
      </c>
      <c r="D659" s="1">
        <v>6245</v>
      </c>
      <c r="E659" s="1">
        <v>14120</v>
      </c>
      <c r="F659" s="1">
        <v>6603</v>
      </c>
      <c r="G659" s="1">
        <v>11443</v>
      </c>
      <c r="H659" s="1">
        <v>7380</v>
      </c>
      <c r="I659" s="1">
        <v>6872</v>
      </c>
      <c r="J659" s="1">
        <v>9622</v>
      </c>
      <c r="K659" s="1">
        <v>12295</v>
      </c>
      <c r="L659" s="1">
        <v>4697</v>
      </c>
      <c r="M659" s="1">
        <v>8881</v>
      </c>
      <c r="N659" s="1">
        <v>7458</v>
      </c>
      <c r="O659" s="1">
        <v>6993</v>
      </c>
      <c r="P659" s="1">
        <v>8453</v>
      </c>
      <c r="Q659" s="1">
        <v>9964</v>
      </c>
      <c r="R659" s="1">
        <v>9516</v>
      </c>
      <c r="S659" s="1">
        <v>5024</v>
      </c>
      <c r="T659" s="1">
        <v>8741</v>
      </c>
      <c r="U659" s="1">
        <v>8934</v>
      </c>
      <c r="V659" s="1">
        <v>7864</v>
      </c>
      <c r="W659" s="1">
        <v>4155</v>
      </c>
      <c r="X659" s="1">
        <v>7833</v>
      </c>
      <c r="Y659" s="1">
        <v>9994</v>
      </c>
      <c r="Z659" s="1">
        <v>7789</v>
      </c>
      <c r="AA659" s="1">
        <v>7423</v>
      </c>
      <c r="AB659" s="1">
        <v>5272</v>
      </c>
      <c r="AC659" s="1">
        <v>9673</v>
      </c>
      <c r="AD659" s="1">
        <v>1678</v>
      </c>
      <c r="AE659" s="1">
        <v>11352</v>
      </c>
      <c r="AF659" s="1">
        <v>9285</v>
      </c>
      <c r="AG659" s="1">
        <v>8938</v>
      </c>
      <c r="AH659" s="1">
        <v>7530</v>
      </c>
      <c r="AI659" s="1">
        <v>5721</v>
      </c>
      <c r="AJ659" s="1">
        <v>9974</v>
      </c>
      <c r="AK659" s="1">
        <v>9160</v>
      </c>
      <c r="AL659" s="1">
        <v>9181</v>
      </c>
      <c r="AM659" s="1">
        <v>7022</v>
      </c>
      <c r="AN659" s="1">
        <v>7698</v>
      </c>
      <c r="AO659" s="1">
        <v>6788</v>
      </c>
      <c r="AP659" s="1">
        <v>5618</v>
      </c>
      <c r="AQ659" s="1">
        <v>7906</v>
      </c>
      <c r="AR659" s="1">
        <v>7308</v>
      </c>
      <c r="AS659" s="1">
        <v>9362</v>
      </c>
      <c r="AT659" s="1">
        <v>9388</v>
      </c>
      <c r="AU659" s="1">
        <v>9408</v>
      </c>
      <c r="AV659" s="1">
        <v>9427</v>
      </c>
      <c r="AW659" s="1">
        <v>9449</v>
      </c>
      <c r="AX659" s="1">
        <v>9473</v>
      </c>
      <c r="BA659" s="21">
        <f t="shared" si="624"/>
        <v>101967</v>
      </c>
      <c r="BB659" s="22">
        <f t="shared" si="625"/>
        <v>8497.25</v>
      </c>
      <c r="BD659" s="7">
        <f t="shared" si="626"/>
        <v>95260</v>
      </c>
      <c r="BE659" s="7">
        <f t="shared" si="627"/>
        <v>-6707</v>
      </c>
      <c r="BF659" s="8">
        <f t="shared" si="628"/>
        <v>-6.5776182490413615E-2</v>
      </c>
      <c r="BG659" s="7">
        <f t="shared" si="629"/>
        <v>7938.333333333333</v>
      </c>
      <c r="BI659" s="12">
        <f t="shared" si="630"/>
        <v>95187</v>
      </c>
      <c r="BJ659" s="12">
        <f t="shared" si="631"/>
        <v>-73</v>
      </c>
      <c r="BK659" s="13">
        <f t="shared" si="632"/>
        <v>-7.66323745538533E-4</v>
      </c>
      <c r="BL659" s="24">
        <f t="shared" si="633"/>
        <v>7643.875</v>
      </c>
      <c r="BM659" s="24">
        <f t="shared" si="634"/>
        <v>8509</v>
      </c>
      <c r="BO659" s="17">
        <f t="shared" si="635"/>
        <v>98847</v>
      </c>
      <c r="BP659" s="17">
        <f t="shared" si="636"/>
        <v>3660</v>
      </c>
      <c r="BQ659" s="18">
        <f t="shared" si="637"/>
        <v>3.8450628762330963E-2</v>
      </c>
      <c r="BR659" s="25">
        <f t="shared" si="638"/>
        <v>8237.25</v>
      </c>
    </row>
    <row r="660" spans="1:70">
      <c r="A660" t="s">
        <v>239</v>
      </c>
      <c r="B660">
        <v>460113</v>
      </c>
      <c r="C660" s="1">
        <v>291</v>
      </c>
      <c r="D660" s="1">
        <v>359</v>
      </c>
      <c r="E660" s="1">
        <v>791</v>
      </c>
      <c r="F660" s="1">
        <v>489</v>
      </c>
      <c r="G660" s="1">
        <v>526</v>
      </c>
      <c r="H660" s="1">
        <v>424</v>
      </c>
      <c r="I660" s="1">
        <v>681</v>
      </c>
      <c r="J660" s="1">
        <v>557</v>
      </c>
      <c r="K660" s="1">
        <v>724</v>
      </c>
      <c r="L660" s="1">
        <v>1198</v>
      </c>
      <c r="M660" s="1">
        <v>478</v>
      </c>
      <c r="N660" s="1">
        <v>503</v>
      </c>
      <c r="O660" s="1">
        <v>669</v>
      </c>
      <c r="P660" s="1">
        <v>448</v>
      </c>
      <c r="Q660" s="1">
        <v>207</v>
      </c>
      <c r="R660" s="1">
        <v>612</v>
      </c>
      <c r="S660" s="1">
        <v>442</v>
      </c>
      <c r="T660" s="1">
        <v>553</v>
      </c>
      <c r="U660" s="1">
        <v>190</v>
      </c>
      <c r="V660" s="1">
        <v>371</v>
      </c>
      <c r="W660" s="1">
        <v>564</v>
      </c>
      <c r="X660" s="1">
        <v>638</v>
      </c>
      <c r="Y660" s="1">
        <v>416</v>
      </c>
      <c r="Z660" s="1">
        <v>426</v>
      </c>
      <c r="AA660" s="1">
        <v>410</v>
      </c>
      <c r="AB660" s="1">
        <v>463</v>
      </c>
      <c r="AC660" s="1">
        <v>433</v>
      </c>
      <c r="AD660" s="1">
        <v>440</v>
      </c>
      <c r="AE660" s="1">
        <v>523</v>
      </c>
      <c r="AF660" s="1">
        <v>450</v>
      </c>
      <c r="AG660" s="1">
        <v>711</v>
      </c>
      <c r="AH660" s="1">
        <v>564</v>
      </c>
      <c r="AI660" s="1">
        <v>545</v>
      </c>
      <c r="AJ660" s="1">
        <v>544</v>
      </c>
      <c r="AK660" s="1">
        <v>499</v>
      </c>
      <c r="AL660" s="1">
        <v>499</v>
      </c>
      <c r="AM660" s="1">
        <v>524</v>
      </c>
      <c r="AN660" s="1">
        <v>524</v>
      </c>
      <c r="AO660" s="1">
        <v>524</v>
      </c>
      <c r="AP660" s="1">
        <v>524</v>
      </c>
      <c r="AQ660" s="1">
        <v>524</v>
      </c>
      <c r="AR660" s="1">
        <v>524</v>
      </c>
      <c r="AS660" s="1">
        <v>524</v>
      </c>
      <c r="AT660" s="1">
        <v>524</v>
      </c>
      <c r="AU660" s="1">
        <v>524</v>
      </c>
      <c r="AV660" s="1">
        <v>524</v>
      </c>
      <c r="AW660" s="1">
        <v>524</v>
      </c>
      <c r="AX660" s="1">
        <v>525</v>
      </c>
      <c r="BA660" s="21">
        <f t="shared" si="624"/>
        <v>7021</v>
      </c>
      <c r="BB660" s="22">
        <f t="shared" si="625"/>
        <v>585.08333333333337</v>
      </c>
      <c r="BD660" s="7">
        <f t="shared" si="626"/>
        <v>5536</v>
      </c>
      <c r="BE660" s="7">
        <f t="shared" si="627"/>
        <v>-1485</v>
      </c>
      <c r="BF660" s="8">
        <f t="shared" si="628"/>
        <v>-0.21150833214641784</v>
      </c>
      <c r="BG660" s="7">
        <f t="shared" si="629"/>
        <v>461.33333333333331</v>
      </c>
      <c r="BI660" s="12">
        <f t="shared" si="630"/>
        <v>6081</v>
      </c>
      <c r="BJ660" s="12">
        <f t="shared" si="631"/>
        <v>545</v>
      </c>
      <c r="BK660" s="13">
        <f t="shared" si="632"/>
        <v>9.8446531791907432E-2</v>
      </c>
      <c r="BL660" s="24">
        <f t="shared" si="633"/>
        <v>499.25</v>
      </c>
      <c r="BM660" s="24">
        <f t="shared" si="634"/>
        <v>521.75</v>
      </c>
      <c r="BO660" s="17">
        <f t="shared" si="635"/>
        <v>6289</v>
      </c>
      <c r="BP660" s="17">
        <f t="shared" si="636"/>
        <v>208</v>
      </c>
      <c r="BQ660" s="18">
        <f t="shared" si="637"/>
        <v>3.4204900509784641E-2</v>
      </c>
      <c r="BR660" s="25">
        <f t="shared" si="638"/>
        <v>524.08333333333337</v>
      </c>
    </row>
    <row r="661" spans="1:70">
      <c r="A661" t="s">
        <v>237</v>
      </c>
      <c r="B661">
        <v>460114</v>
      </c>
      <c r="C661" s="1">
        <v>914</v>
      </c>
      <c r="D661" s="1">
        <v>1406</v>
      </c>
      <c r="E661" s="1">
        <v>2136</v>
      </c>
      <c r="F661" s="1">
        <v>1298</v>
      </c>
      <c r="G661" s="1">
        <v>1574</v>
      </c>
      <c r="H661" s="1">
        <v>1180</v>
      </c>
      <c r="I661" s="1">
        <v>1918</v>
      </c>
      <c r="J661" s="1">
        <v>1604</v>
      </c>
      <c r="K661" s="1">
        <v>1742</v>
      </c>
      <c r="L661" s="1">
        <v>2150</v>
      </c>
      <c r="M661" s="1">
        <v>1344</v>
      </c>
      <c r="N661" s="1">
        <v>2080</v>
      </c>
      <c r="O661" s="1">
        <v>2503</v>
      </c>
      <c r="P661" s="1">
        <v>1437</v>
      </c>
      <c r="Q661" s="1">
        <v>1660</v>
      </c>
      <c r="R661" s="1">
        <v>2119</v>
      </c>
      <c r="S661" s="1">
        <v>1366</v>
      </c>
      <c r="T661" s="1">
        <v>1669</v>
      </c>
      <c r="U661" s="1">
        <v>1956</v>
      </c>
      <c r="V661" s="1">
        <v>1593</v>
      </c>
      <c r="W661" s="1">
        <v>1970</v>
      </c>
      <c r="X661" s="1">
        <v>1864</v>
      </c>
      <c r="Y661" s="1">
        <v>1500</v>
      </c>
      <c r="Z661" s="1">
        <v>2148</v>
      </c>
      <c r="AA661" s="1">
        <v>2226</v>
      </c>
      <c r="AB661" s="1">
        <v>1745</v>
      </c>
      <c r="AC661" s="1">
        <v>1620</v>
      </c>
      <c r="AD661" s="1">
        <v>1582</v>
      </c>
      <c r="AE661" s="1">
        <v>1813</v>
      </c>
      <c r="AF661" s="1">
        <v>1692</v>
      </c>
      <c r="AG661" s="1">
        <v>2479</v>
      </c>
      <c r="AH661" s="1">
        <v>2271</v>
      </c>
      <c r="AI661" s="1">
        <v>2686</v>
      </c>
      <c r="AJ661" s="1">
        <v>2104</v>
      </c>
      <c r="AK661" s="1">
        <v>1928</v>
      </c>
      <c r="AL661" s="1">
        <v>1928</v>
      </c>
      <c r="AM661" s="1">
        <v>2024</v>
      </c>
      <c r="AN661" s="1">
        <v>2024</v>
      </c>
      <c r="AO661" s="1">
        <v>2024</v>
      </c>
      <c r="AP661" s="1">
        <v>2024</v>
      </c>
      <c r="AQ661" s="1">
        <v>2024</v>
      </c>
      <c r="AR661" s="1">
        <v>2024</v>
      </c>
      <c r="AS661" s="1">
        <v>2024</v>
      </c>
      <c r="AT661" s="1">
        <v>2024</v>
      </c>
      <c r="AU661" s="1">
        <v>2024</v>
      </c>
      <c r="AV661" s="1">
        <v>2024</v>
      </c>
      <c r="AW661" s="1">
        <v>2024</v>
      </c>
      <c r="AX661" s="1">
        <v>2033</v>
      </c>
      <c r="BA661" s="21">
        <f t="shared" si="624"/>
        <v>19346</v>
      </c>
      <c r="BB661" s="22">
        <f t="shared" si="625"/>
        <v>1612.1666666666667</v>
      </c>
      <c r="BD661" s="7">
        <f t="shared" si="626"/>
        <v>21785</v>
      </c>
      <c r="BE661" s="7">
        <f t="shared" si="627"/>
        <v>2439</v>
      </c>
      <c r="BF661" s="8">
        <f t="shared" si="628"/>
        <v>0.1260725731417347</v>
      </c>
      <c r="BG661" s="7">
        <f t="shared" si="629"/>
        <v>1815.4166666666667</v>
      </c>
      <c r="BI661" s="12">
        <f t="shared" si="630"/>
        <v>24074</v>
      </c>
      <c r="BJ661" s="12">
        <f t="shared" si="631"/>
        <v>2289</v>
      </c>
      <c r="BK661" s="13">
        <f t="shared" si="632"/>
        <v>0.10507229745237545</v>
      </c>
      <c r="BL661" s="24">
        <f t="shared" si="633"/>
        <v>1928.5</v>
      </c>
      <c r="BM661" s="24">
        <f t="shared" si="634"/>
        <v>2161.5</v>
      </c>
      <c r="BO661" s="17">
        <f t="shared" si="635"/>
        <v>24297</v>
      </c>
      <c r="BP661" s="17">
        <f t="shared" si="636"/>
        <v>223</v>
      </c>
      <c r="BQ661" s="18">
        <f t="shared" si="637"/>
        <v>9.2631054249396882E-3</v>
      </c>
      <c r="BR661" s="25">
        <f t="shared" si="638"/>
        <v>2024.75</v>
      </c>
    </row>
    <row r="662" spans="1:70">
      <c r="A662" t="s">
        <v>628</v>
      </c>
      <c r="B662">
        <v>460115</v>
      </c>
      <c r="C662" s="1">
        <v>9787</v>
      </c>
      <c r="D662" s="1">
        <v>9660</v>
      </c>
      <c r="E662" s="1">
        <v>11064</v>
      </c>
      <c r="F662" s="1">
        <v>10005</v>
      </c>
      <c r="G662" s="1">
        <v>11014</v>
      </c>
      <c r="H662" s="1">
        <v>9107</v>
      </c>
      <c r="I662" s="1">
        <v>10009</v>
      </c>
      <c r="J662" s="1">
        <v>10018</v>
      </c>
      <c r="K662" s="1">
        <v>9334</v>
      </c>
      <c r="L662" s="1">
        <v>9539</v>
      </c>
      <c r="M662" s="1">
        <v>9526</v>
      </c>
      <c r="N662" s="1">
        <v>10608</v>
      </c>
      <c r="O662" s="1">
        <v>10786</v>
      </c>
      <c r="P662" s="1">
        <v>10534</v>
      </c>
      <c r="Q662" s="1">
        <v>10422</v>
      </c>
      <c r="R662" s="1">
        <v>10564</v>
      </c>
      <c r="S662" s="1">
        <v>10272</v>
      </c>
      <c r="T662" s="1">
        <v>9065</v>
      </c>
      <c r="U662" s="1">
        <v>10669</v>
      </c>
      <c r="V662" s="1">
        <v>9368</v>
      </c>
      <c r="W662" s="1">
        <v>9917</v>
      </c>
      <c r="X662" s="1">
        <v>9018</v>
      </c>
      <c r="Y662" s="1">
        <v>8763</v>
      </c>
      <c r="Z662" s="1">
        <v>10803</v>
      </c>
      <c r="AA662" s="1">
        <v>10649</v>
      </c>
      <c r="AB662" s="1">
        <v>10651</v>
      </c>
      <c r="AC662" s="1">
        <v>11985</v>
      </c>
      <c r="AD662" s="1">
        <v>12056</v>
      </c>
      <c r="AE662" s="1">
        <v>11146</v>
      </c>
      <c r="AF662" s="1">
        <v>10269</v>
      </c>
      <c r="AG662" s="1">
        <v>10780</v>
      </c>
      <c r="AH662" s="1">
        <v>9782</v>
      </c>
      <c r="AI662" s="1">
        <v>11827</v>
      </c>
      <c r="AJ662" s="1">
        <v>11909</v>
      </c>
      <c r="AK662" s="1">
        <v>10914</v>
      </c>
      <c r="AL662" s="1">
        <v>10914</v>
      </c>
      <c r="AM662" s="1">
        <v>11460</v>
      </c>
      <c r="AN662" s="1">
        <v>11460</v>
      </c>
      <c r="AO662" s="1">
        <v>11460</v>
      </c>
      <c r="AP662" s="1">
        <v>11460</v>
      </c>
      <c r="AQ662" s="1">
        <v>11460</v>
      </c>
      <c r="AR662" s="1">
        <v>11460</v>
      </c>
      <c r="AS662" s="1">
        <v>11460</v>
      </c>
      <c r="AT662" s="1">
        <v>11460</v>
      </c>
      <c r="AU662" s="1">
        <v>11460</v>
      </c>
      <c r="AV662" s="1">
        <v>11460</v>
      </c>
      <c r="AW662" s="1">
        <v>11460</v>
      </c>
      <c r="AX662" s="1">
        <v>11463</v>
      </c>
      <c r="BA662" s="21">
        <f t="shared" si="624"/>
        <v>119671</v>
      </c>
      <c r="BB662" s="22">
        <f t="shared" si="625"/>
        <v>9972.5833333333339</v>
      </c>
      <c r="BD662" s="7">
        <f t="shared" si="626"/>
        <v>120181</v>
      </c>
      <c r="BE662" s="7">
        <f t="shared" si="627"/>
        <v>510</v>
      </c>
      <c r="BF662" s="8">
        <f t="shared" si="628"/>
        <v>4.2616841172882225E-3</v>
      </c>
      <c r="BG662" s="7">
        <f t="shared" si="629"/>
        <v>10015.083333333334</v>
      </c>
      <c r="BI662" s="12">
        <f t="shared" si="630"/>
        <v>132882</v>
      </c>
      <c r="BJ662" s="12">
        <f t="shared" si="631"/>
        <v>12701</v>
      </c>
      <c r="BK662" s="13">
        <f t="shared" si="632"/>
        <v>0.10568226258726421</v>
      </c>
      <c r="BL662" s="24">
        <f t="shared" si="633"/>
        <v>10914.75</v>
      </c>
      <c r="BM662" s="24">
        <f t="shared" si="634"/>
        <v>11391</v>
      </c>
      <c r="BO662" s="17">
        <f t="shared" si="635"/>
        <v>137523</v>
      </c>
      <c r="BP662" s="17">
        <f t="shared" si="636"/>
        <v>4641</v>
      </c>
      <c r="BQ662" s="18">
        <f t="shared" si="637"/>
        <v>3.4925723574299017E-2</v>
      </c>
      <c r="BR662" s="25">
        <f t="shared" si="638"/>
        <v>11460.25</v>
      </c>
    </row>
    <row r="663" spans="1:70">
      <c r="A663" t="s">
        <v>885</v>
      </c>
      <c r="B663">
        <v>460116</v>
      </c>
      <c r="C663" s="1">
        <v>26979</v>
      </c>
      <c r="D663" s="1">
        <v>22258</v>
      </c>
      <c r="E663" s="1">
        <v>24789</v>
      </c>
      <c r="F663" s="1">
        <v>25545</v>
      </c>
      <c r="G663" s="1">
        <v>21221</v>
      </c>
      <c r="H663" s="1">
        <v>35839</v>
      </c>
      <c r="I663" s="1">
        <v>22787</v>
      </c>
      <c r="J663" s="1">
        <v>34555</v>
      </c>
      <c r="K663" s="1">
        <v>38242</v>
      </c>
      <c r="L663" s="1">
        <v>25872</v>
      </c>
      <c r="M663" s="1">
        <v>795</v>
      </c>
      <c r="N663" s="1">
        <v>25939</v>
      </c>
      <c r="O663" s="1">
        <v>28792</v>
      </c>
      <c r="P663" s="1">
        <v>20527</v>
      </c>
      <c r="Q663" s="1">
        <v>22965</v>
      </c>
      <c r="R663" s="1">
        <v>35090</v>
      </c>
      <c r="S663" s="1">
        <v>14650</v>
      </c>
      <c r="T663" s="1">
        <v>41906</v>
      </c>
      <c r="U663" s="1">
        <v>28910</v>
      </c>
      <c r="V663" s="1">
        <v>35265</v>
      </c>
      <c r="W663" s="1">
        <v>31498</v>
      </c>
      <c r="X663" s="1">
        <v>22988</v>
      </c>
      <c r="Y663" s="1">
        <v>24902</v>
      </c>
      <c r="Z663" s="1">
        <v>29762</v>
      </c>
      <c r="AA663" s="1">
        <v>42879</v>
      </c>
      <c r="AB663" s="1">
        <v>-7167</v>
      </c>
      <c r="AC663" s="1">
        <v>35249</v>
      </c>
      <c r="AD663" s="1">
        <v>18029</v>
      </c>
      <c r="AE663" s="1">
        <v>38405</v>
      </c>
      <c r="AF663" s="1">
        <v>29063</v>
      </c>
      <c r="AG663" s="1">
        <v>36704</v>
      </c>
      <c r="AH663" s="1">
        <v>36569</v>
      </c>
      <c r="AI663" s="1">
        <v>33712</v>
      </c>
      <c r="AJ663" s="1">
        <v>29256</v>
      </c>
      <c r="AK663" s="1">
        <v>26813</v>
      </c>
      <c r="AL663" s="1">
        <v>26813</v>
      </c>
      <c r="AM663" s="1">
        <v>34439</v>
      </c>
      <c r="AN663" s="1">
        <v>26717</v>
      </c>
      <c r="AO663" s="1">
        <v>27445</v>
      </c>
      <c r="AP663" s="1">
        <v>26951</v>
      </c>
      <c r="AQ663" s="1">
        <v>27991</v>
      </c>
      <c r="AR663" s="1">
        <v>21907</v>
      </c>
      <c r="AS663" s="1">
        <v>26509</v>
      </c>
      <c r="AT663" s="1">
        <v>27939</v>
      </c>
      <c r="AU663" s="1">
        <v>27939</v>
      </c>
      <c r="AV663" s="1">
        <v>27939</v>
      </c>
      <c r="AW663" s="1">
        <v>27939</v>
      </c>
      <c r="AX663" s="1">
        <v>27943</v>
      </c>
      <c r="BA663" s="21">
        <f t="shared" si="624"/>
        <v>304821</v>
      </c>
      <c r="BB663" s="22">
        <f t="shared" si="625"/>
        <v>25401.75</v>
      </c>
      <c r="BD663" s="7">
        <f t="shared" si="626"/>
        <v>337255</v>
      </c>
      <c r="BE663" s="7">
        <f t="shared" si="627"/>
        <v>32434</v>
      </c>
      <c r="BF663" s="8">
        <f t="shared" si="628"/>
        <v>0.10640343020986087</v>
      </c>
      <c r="BG663" s="7">
        <f t="shared" si="629"/>
        <v>28104.583333333332</v>
      </c>
      <c r="BI663" s="12">
        <f t="shared" si="630"/>
        <v>346325</v>
      </c>
      <c r="BJ663" s="12">
        <f t="shared" si="631"/>
        <v>9070</v>
      </c>
      <c r="BK663" s="13">
        <f t="shared" si="632"/>
        <v>2.689359683325665E-2</v>
      </c>
      <c r="BL663" s="24">
        <f t="shared" si="633"/>
        <v>28716.375</v>
      </c>
      <c r="BM663" s="24">
        <f t="shared" si="634"/>
        <v>29148.5</v>
      </c>
      <c r="BO663" s="17">
        <f t="shared" si="635"/>
        <v>331658</v>
      </c>
      <c r="BP663" s="17">
        <f t="shared" si="636"/>
        <v>-14667</v>
      </c>
      <c r="BQ663" s="18">
        <f t="shared" si="637"/>
        <v>-4.2350393416588417E-2</v>
      </c>
      <c r="BR663" s="25">
        <f t="shared" si="638"/>
        <v>27638.166666666668</v>
      </c>
    </row>
    <row r="664" spans="1:70">
      <c r="A664" t="s">
        <v>886</v>
      </c>
      <c r="B664">
        <v>460200</v>
      </c>
      <c r="C664" s="1">
        <v>20</v>
      </c>
      <c r="D664" s="1">
        <v>1135</v>
      </c>
      <c r="E664" s="1">
        <v>790</v>
      </c>
      <c r="F664" s="1">
        <v>991</v>
      </c>
      <c r="G664" s="1">
        <v>2948</v>
      </c>
      <c r="H664" s="1">
        <v>3242</v>
      </c>
      <c r="I664" s="1">
        <v>415</v>
      </c>
      <c r="J664" s="1">
        <v>1700</v>
      </c>
      <c r="K664" s="1">
        <v>777</v>
      </c>
      <c r="L664" s="1">
        <v>2963</v>
      </c>
      <c r="M664" s="1">
        <v>1863</v>
      </c>
      <c r="N664" s="1">
        <v>5598</v>
      </c>
      <c r="O664" s="1">
        <v>113</v>
      </c>
      <c r="P664" s="1">
        <v>3591</v>
      </c>
      <c r="Q664" s="1">
        <v>1560</v>
      </c>
      <c r="R664" s="1">
        <v>3099</v>
      </c>
      <c r="S664" s="1">
        <v>816</v>
      </c>
      <c r="T664" s="1">
        <v>4193</v>
      </c>
      <c r="U664" s="1">
        <v>587</v>
      </c>
      <c r="V664" s="1">
        <v>4994</v>
      </c>
      <c r="W664" s="1">
        <v>2199</v>
      </c>
      <c r="X664" s="1">
        <v>3642</v>
      </c>
      <c r="Y664" s="1">
        <v>386</v>
      </c>
      <c r="Z664" s="1">
        <v>3644</v>
      </c>
      <c r="AA664" s="1">
        <v>4072</v>
      </c>
      <c r="AB664" s="1">
        <v>1335</v>
      </c>
      <c r="AC664" s="1">
        <v>2735</v>
      </c>
      <c r="AD664" s="1">
        <v>622</v>
      </c>
      <c r="AE664" s="1">
        <v>3350</v>
      </c>
      <c r="AF664" s="1">
        <v>40</v>
      </c>
      <c r="AG664" s="1">
        <v>2431</v>
      </c>
      <c r="AH664" s="1">
        <v>8754</v>
      </c>
      <c r="AI664" s="1">
        <v>2495</v>
      </c>
      <c r="AJ664" s="1">
        <v>3009</v>
      </c>
      <c r="AK664" s="1">
        <v>2758</v>
      </c>
      <c r="AL664" s="1">
        <v>7764</v>
      </c>
      <c r="AM664" s="1">
        <v>3832</v>
      </c>
      <c r="AN664" s="1">
        <v>3832</v>
      </c>
      <c r="AO664" s="1">
        <v>3832</v>
      </c>
      <c r="AP664" s="1">
        <v>3832</v>
      </c>
      <c r="AQ664" s="1">
        <v>3832</v>
      </c>
      <c r="AR664" s="1">
        <v>3832</v>
      </c>
      <c r="AS664" s="1">
        <v>3832</v>
      </c>
      <c r="AT664" s="1">
        <v>3832</v>
      </c>
      <c r="AU664" s="1">
        <v>3832</v>
      </c>
      <c r="AV664" s="1">
        <v>3832</v>
      </c>
      <c r="AW664" s="1">
        <v>3832</v>
      </c>
      <c r="AX664" s="1">
        <v>3848</v>
      </c>
      <c r="BA664" s="21">
        <f>SUM(C664:N664)</f>
        <v>22442</v>
      </c>
      <c r="BB664" s="22">
        <f t="shared" si="625"/>
        <v>1870.1666666666667</v>
      </c>
      <c r="BD664" s="7">
        <f>SUM(O664:Z664)</f>
        <v>28824</v>
      </c>
      <c r="BE664" s="7">
        <f t="shared" si="627"/>
        <v>6382</v>
      </c>
      <c r="BF664" s="8">
        <f t="shared" si="628"/>
        <v>0.28437750646109983</v>
      </c>
      <c r="BG664" s="7">
        <f t="shared" si="629"/>
        <v>2402</v>
      </c>
      <c r="BI664" s="12">
        <f>+SUM(AA664:AL664)</f>
        <v>39365</v>
      </c>
      <c r="BJ664" s="12">
        <f t="shared" si="631"/>
        <v>10541</v>
      </c>
      <c r="BK664" s="13">
        <f t="shared" si="632"/>
        <v>0.36570219261726344</v>
      </c>
      <c r="BL664" s="24">
        <f>SUM(AA664:AH664)/8</f>
        <v>2917.375</v>
      </c>
      <c r="BM664" s="24">
        <f>SUM(AI664:AL664)/4</f>
        <v>4006.5</v>
      </c>
      <c r="BO664" s="17">
        <f>+SUM(AM664:AX664)</f>
        <v>46000</v>
      </c>
      <c r="BP664" s="17">
        <f t="shared" si="636"/>
        <v>6635</v>
      </c>
      <c r="BQ664" s="18">
        <f t="shared" si="637"/>
        <v>0.16855074304585282</v>
      </c>
      <c r="BR664" s="25">
        <f t="shared" si="638"/>
        <v>3833.3333333333335</v>
      </c>
    </row>
    <row r="665" spans="1:70">
      <c r="A665" t="s">
        <v>11</v>
      </c>
      <c r="B665" t="s">
        <v>12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BA665" s="21"/>
      <c r="BB665" s="22"/>
      <c r="BD665" s="7"/>
      <c r="BE665" s="7"/>
      <c r="BF665" s="8"/>
      <c r="BG665" s="7"/>
      <c r="BI665" s="12"/>
      <c r="BJ665" s="12"/>
      <c r="BK665" s="13"/>
      <c r="BL665" s="24"/>
      <c r="BM665" s="24"/>
      <c r="BO665" s="17"/>
      <c r="BP665" s="17"/>
      <c r="BQ665" s="18"/>
      <c r="BR665" s="25"/>
    </row>
    <row r="666" spans="1:70">
      <c r="A666" t="s">
        <v>887</v>
      </c>
      <c r="C666" s="1">
        <v>281856</v>
      </c>
      <c r="D666" s="1">
        <v>269504</v>
      </c>
      <c r="E666" s="1">
        <v>306038</v>
      </c>
      <c r="F666" s="1">
        <v>303996</v>
      </c>
      <c r="G666" s="1">
        <v>329879</v>
      </c>
      <c r="H666" s="1">
        <v>321736</v>
      </c>
      <c r="I666" s="1">
        <v>310643</v>
      </c>
      <c r="J666" s="1">
        <v>316743</v>
      </c>
      <c r="K666" s="1">
        <v>331703</v>
      </c>
      <c r="L666" s="1">
        <v>259292</v>
      </c>
      <c r="M666" s="1">
        <v>254482</v>
      </c>
      <c r="N666" s="1">
        <v>271592</v>
      </c>
      <c r="O666" s="1">
        <v>239668</v>
      </c>
      <c r="P666" s="1">
        <v>250508</v>
      </c>
      <c r="Q666" s="1">
        <v>267347</v>
      </c>
      <c r="R666" s="1">
        <v>289015</v>
      </c>
      <c r="S666" s="1">
        <v>248326</v>
      </c>
      <c r="T666" s="1">
        <v>273804</v>
      </c>
      <c r="U666" s="1">
        <v>253627</v>
      </c>
      <c r="V666" s="1">
        <v>275038</v>
      </c>
      <c r="W666" s="1">
        <v>278439</v>
      </c>
      <c r="X666" s="1">
        <v>244884</v>
      </c>
      <c r="Y666" s="1">
        <v>247716</v>
      </c>
      <c r="Z666" s="1">
        <v>254403</v>
      </c>
      <c r="AA666" s="1">
        <v>252345</v>
      </c>
      <c r="AB666" s="1">
        <v>199252</v>
      </c>
      <c r="AC666" s="1">
        <v>248027</v>
      </c>
      <c r="AD666" s="1">
        <v>292796</v>
      </c>
      <c r="AE666" s="1">
        <v>319413</v>
      </c>
      <c r="AF666" s="1">
        <v>245812</v>
      </c>
      <c r="AG666" s="1">
        <v>257972</v>
      </c>
      <c r="AH666" s="1">
        <v>329563</v>
      </c>
      <c r="AI666" s="1">
        <v>287996</v>
      </c>
      <c r="AJ666" s="1">
        <v>314761</v>
      </c>
      <c r="AK666" s="1">
        <v>288131</v>
      </c>
      <c r="AL666" s="1">
        <v>292804</v>
      </c>
      <c r="AM666" s="50">
        <v>267583</v>
      </c>
      <c r="AN666" s="1">
        <v>260184</v>
      </c>
      <c r="AO666" s="1">
        <v>259653</v>
      </c>
      <c r="AP666" s="1">
        <v>257640</v>
      </c>
      <c r="AQ666" s="1">
        <v>260624</v>
      </c>
      <c r="AR666" s="1">
        <v>253601</v>
      </c>
      <c r="AS666" s="1">
        <v>259919</v>
      </c>
      <c r="AT666" s="1">
        <v>261040</v>
      </c>
      <c r="AU666" s="1">
        <v>260729</v>
      </c>
      <c r="AV666" s="1">
        <v>260419</v>
      </c>
      <c r="AW666" s="1">
        <v>260116</v>
      </c>
      <c r="AX666" s="1">
        <v>259911</v>
      </c>
      <c r="BA666" s="21">
        <f>SUM(C666:N666)</f>
        <v>3557464</v>
      </c>
      <c r="BB666" s="22">
        <f t="shared" ref="BB666" si="639">+BA666/12</f>
        <v>296455.33333333331</v>
      </c>
      <c r="BD666" s="7">
        <f>SUM(O666:Z666)</f>
        <v>3122775</v>
      </c>
      <c r="BE666" s="7">
        <f t="shared" ref="BE666" si="640">+BD666-BA666</f>
        <v>-434689</v>
      </c>
      <c r="BF666" s="8">
        <f t="shared" ref="BF666" si="641">(BD666/BA666)-1</f>
        <v>-0.1221906953942471</v>
      </c>
      <c r="BG666" s="7">
        <f t="shared" ref="BG666" si="642">BD666/12</f>
        <v>260231.25</v>
      </c>
      <c r="BI666" s="12">
        <f>+SUM(AA666:AL666)</f>
        <v>3328872</v>
      </c>
      <c r="BJ666" s="12">
        <f t="shared" ref="BJ666" si="643">+BI666-BD666</f>
        <v>206097</v>
      </c>
      <c r="BK666" s="13">
        <f t="shared" ref="BK666" si="644">(BI666/BD666)-1</f>
        <v>6.599803059778564E-2</v>
      </c>
      <c r="BL666" s="24">
        <f>SUM(AA666:AH666)/8</f>
        <v>268147.5</v>
      </c>
      <c r="BM666" s="24">
        <f>SUM(AI666:AL666)/4</f>
        <v>295923</v>
      </c>
      <c r="BO666" s="17">
        <f>+SUM(AM666:AX666)</f>
        <v>3121419</v>
      </c>
      <c r="BP666" s="17">
        <f t="shared" ref="BP666" si="645">+BO666-BI666</f>
        <v>-207453</v>
      </c>
      <c r="BQ666" s="18">
        <f t="shared" ref="BQ666" si="646">(BO666/BI666)-1</f>
        <v>-6.2319308162044118E-2</v>
      </c>
      <c r="BR666" s="25">
        <f t="shared" ref="BR666" si="647">BO666/12</f>
        <v>260118.25</v>
      </c>
    </row>
    <row r="667" spans="1:70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BA667" s="21"/>
      <c r="BB667" s="22"/>
      <c r="BD667" s="7"/>
      <c r="BE667" s="7"/>
      <c r="BF667" s="8"/>
      <c r="BG667" s="7"/>
      <c r="BI667" s="12"/>
      <c r="BJ667" s="12"/>
      <c r="BK667" s="13"/>
      <c r="BL667" s="24"/>
      <c r="BM667" s="24"/>
      <c r="BO667" s="17"/>
      <c r="BP667" s="17"/>
      <c r="BQ667" s="18"/>
      <c r="BR667" s="25"/>
    </row>
    <row r="668" spans="1:70">
      <c r="A668" t="s">
        <v>888</v>
      </c>
      <c r="B668">
        <v>450020</v>
      </c>
      <c r="C668" s="1">
        <v>11092</v>
      </c>
      <c r="D668" s="1">
        <v>11092</v>
      </c>
      <c r="E668" s="1">
        <v>11092</v>
      </c>
      <c r="F668" s="1">
        <v>11092</v>
      </c>
      <c r="G668" s="1">
        <v>11092</v>
      </c>
      <c r="H668" s="1">
        <v>11092</v>
      </c>
      <c r="I668" s="1">
        <v>12020</v>
      </c>
      <c r="J668" s="1">
        <v>12020</v>
      </c>
      <c r="K668" s="1">
        <v>12020</v>
      </c>
      <c r="L668" s="1">
        <v>12020</v>
      </c>
      <c r="M668" s="1">
        <v>12020</v>
      </c>
      <c r="N668" s="1">
        <v>12020</v>
      </c>
      <c r="O668" s="1">
        <v>10649</v>
      </c>
      <c r="P668" s="1">
        <v>10649</v>
      </c>
      <c r="Q668" s="1">
        <v>10649</v>
      </c>
      <c r="R668" s="1">
        <v>10649</v>
      </c>
      <c r="S668" s="1">
        <v>10649</v>
      </c>
      <c r="T668" s="1">
        <v>10649</v>
      </c>
      <c r="U668" s="1">
        <v>9804</v>
      </c>
      <c r="V668" s="1">
        <v>9804</v>
      </c>
      <c r="W668" s="1">
        <v>9804</v>
      </c>
      <c r="X668" s="1">
        <v>9804</v>
      </c>
      <c r="Y668" s="1">
        <v>9804</v>
      </c>
      <c r="Z668" s="1">
        <v>9804</v>
      </c>
      <c r="AA668" s="1">
        <v>13189</v>
      </c>
      <c r="AB668" s="1">
        <v>13189</v>
      </c>
      <c r="AC668" s="1">
        <v>13189</v>
      </c>
      <c r="AD668" s="1">
        <v>13189</v>
      </c>
      <c r="AE668" s="1">
        <v>13189</v>
      </c>
      <c r="AF668" s="1">
        <v>13189</v>
      </c>
      <c r="AG668" s="1">
        <v>14037</v>
      </c>
      <c r="AH668" s="1">
        <v>14037</v>
      </c>
      <c r="AI668" s="1">
        <v>14037</v>
      </c>
      <c r="AJ668" s="1">
        <v>14000</v>
      </c>
      <c r="AK668" s="1">
        <v>14000</v>
      </c>
      <c r="AL668" s="1">
        <v>14000</v>
      </c>
      <c r="AM668" s="1">
        <v>14000</v>
      </c>
      <c r="AN668" s="1">
        <v>14000</v>
      </c>
      <c r="AO668" s="1">
        <v>14000</v>
      </c>
      <c r="AP668" s="1">
        <v>14000</v>
      </c>
      <c r="AQ668" s="1">
        <v>14000</v>
      </c>
      <c r="AR668" s="1">
        <v>14000</v>
      </c>
      <c r="AS668" s="1">
        <v>14000</v>
      </c>
      <c r="AT668" s="1">
        <v>14000</v>
      </c>
      <c r="AU668" s="1">
        <v>14000</v>
      </c>
      <c r="AV668" s="1">
        <v>14000</v>
      </c>
      <c r="AW668" s="1">
        <v>14000</v>
      </c>
      <c r="AX668" s="1">
        <v>14000</v>
      </c>
      <c r="BA668" s="21">
        <f>SUM(C668:N668)</f>
        <v>138672</v>
      </c>
      <c r="BB668" s="22">
        <f t="shared" ref="BB668" si="648">+BA668/12</f>
        <v>11556</v>
      </c>
      <c r="BD668" s="7">
        <f>SUM(O668:Z668)</f>
        <v>122718</v>
      </c>
      <c r="BE668" s="7">
        <f t="shared" ref="BE668" si="649">+BD668-BA668</f>
        <v>-15954</v>
      </c>
      <c r="BF668" s="8">
        <f t="shared" ref="BF668" si="650">(BD668/BA668)-1</f>
        <v>-0.11504845967462785</v>
      </c>
      <c r="BG668" s="7">
        <f t="shared" ref="BG668" si="651">BD668/12</f>
        <v>10226.5</v>
      </c>
      <c r="BI668" s="12">
        <f>+SUM(AA668:AL668)</f>
        <v>163245</v>
      </c>
      <c r="BJ668" s="12">
        <f t="shared" ref="BJ668" si="652">+BI668-BD668</f>
        <v>40527</v>
      </c>
      <c r="BK668" s="13">
        <f t="shared" ref="BK668" si="653">(BI668/BD668)-1</f>
        <v>0.33024495184080571</v>
      </c>
      <c r="BL668" s="24">
        <f>SUM(AA668:AH668)/8</f>
        <v>13401</v>
      </c>
      <c r="BM668" s="24">
        <f>SUM(AI668:AL668)/4</f>
        <v>14009.25</v>
      </c>
      <c r="BO668" s="17">
        <f>+SUM(AM668:AX668)</f>
        <v>168000</v>
      </c>
      <c r="BP668" s="17">
        <f t="shared" ref="BP668" si="654">+BO668-BI668</f>
        <v>4755</v>
      </c>
      <c r="BQ668" s="18">
        <f t="shared" ref="BQ668" si="655">(BO668/BI668)-1</f>
        <v>2.9127997794725635E-2</v>
      </c>
      <c r="BR668" s="25">
        <f t="shared" ref="BR668" si="656">BO668/12</f>
        <v>14000</v>
      </c>
    </row>
    <row r="669" spans="1:70">
      <c r="A669" t="s">
        <v>11</v>
      </c>
      <c r="B669" t="s">
        <v>12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BA669" s="21"/>
      <c r="BB669" s="22"/>
      <c r="BD669" s="7"/>
      <c r="BE669" s="7"/>
      <c r="BF669" s="8"/>
      <c r="BG669" s="7"/>
      <c r="BI669" s="12"/>
      <c r="BJ669" s="12"/>
      <c r="BK669" s="13"/>
      <c r="BL669" s="24"/>
      <c r="BM669" s="24"/>
      <c r="BO669" s="17"/>
      <c r="BP669" s="17"/>
      <c r="BQ669" s="18"/>
      <c r="BR669" s="25"/>
    </row>
    <row r="670" spans="1:70">
      <c r="A670" t="s">
        <v>889</v>
      </c>
      <c r="C670" s="1">
        <v>11092</v>
      </c>
      <c r="D670" s="1">
        <v>11092</v>
      </c>
      <c r="E670" s="1">
        <v>11092</v>
      </c>
      <c r="F670" s="1">
        <v>11092</v>
      </c>
      <c r="G670" s="1">
        <v>11092</v>
      </c>
      <c r="H670" s="1">
        <v>11092</v>
      </c>
      <c r="I670" s="1">
        <v>12020</v>
      </c>
      <c r="J670" s="1">
        <v>12020</v>
      </c>
      <c r="K670" s="1">
        <v>12020</v>
      </c>
      <c r="L670" s="1">
        <v>12020</v>
      </c>
      <c r="M670" s="1">
        <v>12020</v>
      </c>
      <c r="N670" s="1">
        <v>12020</v>
      </c>
      <c r="O670" s="1">
        <v>10649</v>
      </c>
      <c r="P670" s="1">
        <v>10649</v>
      </c>
      <c r="Q670" s="1">
        <v>10649</v>
      </c>
      <c r="R670" s="1">
        <v>10649</v>
      </c>
      <c r="S670" s="1">
        <v>10649</v>
      </c>
      <c r="T670" s="1">
        <v>10649</v>
      </c>
      <c r="U670" s="1">
        <v>9804</v>
      </c>
      <c r="V670" s="1">
        <v>9804</v>
      </c>
      <c r="W670" s="1">
        <v>9804</v>
      </c>
      <c r="X670" s="1">
        <v>9804</v>
      </c>
      <c r="Y670" s="1">
        <v>9804</v>
      </c>
      <c r="Z670" s="1">
        <v>9804</v>
      </c>
      <c r="AA670" s="1">
        <v>13189</v>
      </c>
      <c r="AB670" s="1">
        <v>13189</v>
      </c>
      <c r="AC670" s="1">
        <v>13189</v>
      </c>
      <c r="AD670" s="1">
        <v>13189</v>
      </c>
      <c r="AE670" s="1">
        <v>13189</v>
      </c>
      <c r="AF670" s="1">
        <v>13189</v>
      </c>
      <c r="AG670" s="1">
        <v>14037</v>
      </c>
      <c r="AH670" s="1">
        <v>14037</v>
      </c>
      <c r="AI670" s="1">
        <v>14037</v>
      </c>
      <c r="AJ670" s="1">
        <v>14000</v>
      </c>
      <c r="AK670" s="1">
        <v>14000</v>
      </c>
      <c r="AL670" s="1">
        <v>14000</v>
      </c>
      <c r="AM670" s="1">
        <v>14000</v>
      </c>
      <c r="AN670" s="1">
        <v>14000</v>
      </c>
      <c r="AO670" s="1">
        <v>14000</v>
      </c>
      <c r="AP670" s="1">
        <v>14000</v>
      </c>
      <c r="AQ670" s="1">
        <v>14000</v>
      </c>
      <c r="AR670" s="1">
        <v>14000</v>
      </c>
      <c r="AS670" s="1">
        <v>14000</v>
      </c>
      <c r="AT670" s="1">
        <v>14000</v>
      </c>
      <c r="AU670" s="1">
        <v>14000</v>
      </c>
      <c r="AV670" s="1">
        <v>14000</v>
      </c>
      <c r="AW670" s="1">
        <v>14000</v>
      </c>
      <c r="AX670" s="1">
        <v>14000</v>
      </c>
      <c r="BA670" s="21">
        <f>SUM(C670:N670)</f>
        <v>138672</v>
      </c>
      <c r="BB670" s="22">
        <f t="shared" ref="BB670" si="657">+BA670/12</f>
        <v>11556</v>
      </c>
      <c r="BD670" s="7">
        <f>SUM(O670:Z670)</f>
        <v>122718</v>
      </c>
      <c r="BE670" s="7">
        <f t="shared" ref="BE670" si="658">+BD670-BA670</f>
        <v>-15954</v>
      </c>
      <c r="BF670" s="8">
        <f t="shared" ref="BF670" si="659">(BD670/BA670)-1</f>
        <v>-0.11504845967462785</v>
      </c>
      <c r="BG670" s="7">
        <f t="shared" ref="BG670" si="660">BD670/12</f>
        <v>10226.5</v>
      </c>
      <c r="BI670" s="12">
        <f>+SUM(AA670:AL670)</f>
        <v>163245</v>
      </c>
      <c r="BJ670" s="12">
        <f t="shared" ref="BJ670" si="661">+BI670-BD670</f>
        <v>40527</v>
      </c>
      <c r="BK670" s="13">
        <f t="shared" ref="BK670" si="662">(BI670/BD670)-1</f>
        <v>0.33024495184080571</v>
      </c>
      <c r="BL670" s="24">
        <f>SUM(AA670:AH670)/8</f>
        <v>13401</v>
      </c>
      <c r="BM670" s="24">
        <f>SUM(AI670:AL670)/4</f>
        <v>14009.25</v>
      </c>
      <c r="BO670" s="17">
        <f>+SUM(AM670:AX670)</f>
        <v>168000</v>
      </c>
      <c r="BP670" s="17">
        <f t="shared" ref="BP670" si="663">+BO670-BI670</f>
        <v>4755</v>
      </c>
      <c r="BQ670" s="18">
        <f t="shared" ref="BQ670" si="664">(BO670/BI670)-1</f>
        <v>2.9127997794725635E-2</v>
      </c>
      <c r="BR670" s="25">
        <f t="shared" ref="BR670" si="665">BO670/12</f>
        <v>14000</v>
      </c>
    </row>
    <row r="671" spans="1:70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BA671" s="21"/>
      <c r="BB671" s="22"/>
      <c r="BD671" s="7"/>
      <c r="BE671" s="7"/>
      <c r="BF671" s="8"/>
      <c r="BG671" s="7"/>
      <c r="BI671" s="12"/>
      <c r="BJ671" s="12"/>
      <c r="BK671" s="13"/>
      <c r="BL671" s="24"/>
      <c r="BM671" s="24"/>
      <c r="BO671" s="17"/>
      <c r="BP671" s="17"/>
      <c r="BQ671" s="18"/>
      <c r="BR671" s="25"/>
    </row>
    <row r="672" spans="1:70">
      <c r="A672" t="s">
        <v>890</v>
      </c>
      <c r="B672">
        <v>470005</v>
      </c>
      <c r="C672" s="1">
        <v>149</v>
      </c>
      <c r="D672" s="1">
        <v>1694</v>
      </c>
      <c r="E672" s="1">
        <v>598</v>
      </c>
      <c r="F672" s="1">
        <v>464</v>
      </c>
      <c r="G672" s="1">
        <v>-133</v>
      </c>
      <c r="H672" s="1">
        <v>2642</v>
      </c>
      <c r="I672" s="1">
        <v>12565</v>
      </c>
      <c r="J672" s="1">
        <v>-11084</v>
      </c>
      <c r="K672" s="1">
        <v>3632</v>
      </c>
      <c r="L672" s="1">
        <v>272</v>
      </c>
      <c r="M672" s="1">
        <v>-1354</v>
      </c>
      <c r="N672" s="1">
        <v>1983</v>
      </c>
      <c r="O672" s="1">
        <v>88</v>
      </c>
      <c r="P672" s="1">
        <v>-2800</v>
      </c>
      <c r="Q672" s="1">
        <v>3211</v>
      </c>
      <c r="R672" s="1">
        <v>1056</v>
      </c>
      <c r="S672" s="1">
        <v>-648</v>
      </c>
      <c r="T672" s="1">
        <v>530</v>
      </c>
      <c r="U672" s="1">
        <v>-130</v>
      </c>
      <c r="V672" s="1">
        <v>-186</v>
      </c>
      <c r="W672" s="1">
        <v>-2045</v>
      </c>
      <c r="X672" s="1">
        <v>421</v>
      </c>
      <c r="Y672" s="1">
        <v>233</v>
      </c>
      <c r="Z672" s="1">
        <v>296</v>
      </c>
      <c r="AA672" s="1">
        <v>-108</v>
      </c>
      <c r="AB672" s="1">
        <v>605</v>
      </c>
      <c r="AC672" s="1">
        <v>947</v>
      </c>
      <c r="AD672" s="1">
        <v>-736</v>
      </c>
      <c r="AE672" s="1">
        <v>74</v>
      </c>
      <c r="AF672" s="1">
        <v>138</v>
      </c>
      <c r="AG672" s="1">
        <v>133</v>
      </c>
      <c r="AH672" s="1">
        <v>-15</v>
      </c>
      <c r="AI672" s="1">
        <v>324</v>
      </c>
      <c r="AJ672" s="1">
        <v>-8</v>
      </c>
      <c r="AK672" s="1">
        <v>-8</v>
      </c>
      <c r="AL672" s="1">
        <v>-8</v>
      </c>
      <c r="AM672" s="1">
        <v>-138</v>
      </c>
      <c r="AN672" s="1">
        <v>594</v>
      </c>
      <c r="AO672" s="1">
        <v>951</v>
      </c>
      <c r="AP672" s="1">
        <v>-718</v>
      </c>
      <c r="AQ672" s="1">
        <v>72</v>
      </c>
      <c r="AR672" s="1">
        <v>133</v>
      </c>
      <c r="AS672" s="1">
        <v>129</v>
      </c>
      <c r="AT672" s="1">
        <v>-8</v>
      </c>
      <c r="AU672" s="1">
        <v>-8</v>
      </c>
      <c r="AV672" s="1">
        <v>-8</v>
      </c>
      <c r="AW672" s="1">
        <v>-8</v>
      </c>
      <c r="AX672" s="1">
        <v>-8</v>
      </c>
      <c r="BA672" s="21">
        <f t="shared" ref="BA672:BA693" si="666">SUM(C672:N672)</f>
        <v>11428</v>
      </c>
      <c r="BB672" s="22">
        <f t="shared" ref="BB672:BB693" si="667">+BA672/12</f>
        <v>952.33333333333337</v>
      </c>
      <c r="BD672" s="7">
        <f t="shared" ref="BD672:BD693" si="668">SUM(O672:Z672)</f>
        <v>26</v>
      </c>
      <c r="BE672" s="7">
        <f t="shared" ref="BE672:BE693" si="669">+BD672-BA672</f>
        <v>-11402</v>
      </c>
      <c r="BF672" s="8">
        <f t="shared" ref="BF672:BF693" si="670">(BD672/BA672)-1</f>
        <v>-0.99772488624431221</v>
      </c>
      <c r="BG672" s="7">
        <f t="shared" ref="BG672:BG693" si="671">BD672/12</f>
        <v>2.1666666666666665</v>
      </c>
      <c r="BI672" s="12">
        <f t="shared" ref="BI672:BI693" si="672">+SUM(AA672:AL672)</f>
        <v>1338</v>
      </c>
      <c r="BJ672" s="12">
        <f t="shared" ref="BJ672:BJ693" si="673">+BI672-BD672</f>
        <v>1312</v>
      </c>
      <c r="BK672" s="13">
        <f t="shared" ref="BK672:BK693" si="674">(BI672/BD672)-1</f>
        <v>50.46153846153846</v>
      </c>
      <c r="BL672" s="24">
        <f t="shared" ref="BL672:BL693" si="675">SUM(AA672:AH672)/8</f>
        <v>129.75</v>
      </c>
      <c r="BM672" s="24">
        <f t="shared" ref="BM672:BM693" si="676">SUM(AI672:AL672)/4</f>
        <v>75</v>
      </c>
      <c r="BO672" s="17">
        <f t="shared" ref="BO672:BO693" si="677">+SUM(AM672:AX672)</f>
        <v>983</v>
      </c>
      <c r="BP672" s="17">
        <f t="shared" ref="BP672:BP693" si="678">+BO672-BI672</f>
        <v>-355</v>
      </c>
      <c r="BQ672" s="18">
        <f t="shared" ref="BQ672:BQ693" si="679">(BO672/BI672)-1</f>
        <v>-0.26532137518684606</v>
      </c>
      <c r="BR672" s="25">
        <f t="shared" ref="BR672:BR693" si="680">BO672/12</f>
        <v>81.916666666666671</v>
      </c>
    </row>
    <row r="673" spans="1:70">
      <c r="A673" t="s">
        <v>891</v>
      </c>
      <c r="B673">
        <v>470010</v>
      </c>
      <c r="C673" s="1">
        <v>-5264</v>
      </c>
      <c r="D673" s="1">
        <v>-2522</v>
      </c>
      <c r="E673" s="1">
        <v>5167</v>
      </c>
      <c r="F673" s="1">
        <v>-3621</v>
      </c>
      <c r="G673" s="1">
        <v>-1893</v>
      </c>
      <c r="H673" s="1">
        <v>2995</v>
      </c>
      <c r="I673" s="1">
        <v>42733</v>
      </c>
      <c r="J673" s="1">
        <v>-44572</v>
      </c>
      <c r="K673" s="1">
        <v>2657</v>
      </c>
      <c r="L673" s="1">
        <v>-1079</v>
      </c>
      <c r="M673" s="1">
        <v>1262</v>
      </c>
      <c r="N673" s="1">
        <v>-4388</v>
      </c>
      <c r="O673" s="1">
        <v>2501</v>
      </c>
      <c r="P673" s="1">
        <v>576</v>
      </c>
      <c r="Q673" s="1">
        <v>2739</v>
      </c>
      <c r="R673" s="1">
        <v>-638</v>
      </c>
      <c r="S673" s="1">
        <v>1786</v>
      </c>
      <c r="T673" s="1">
        <v>-16</v>
      </c>
      <c r="U673" s="1">
        <v>-6504</v>
      </c>
      <c r="V673" s="1">
        <v>-3130</v>
      </c>
      <c r="W673" s="1">
        <v>2807</v>
      </c>
      <c r="X673" s="1">
        <v>-532</v>
      </c>
      <c r="Y673" s="1">
        <v>2411</v>
      </c>
      <c r="Z673" s="1">
        <v>994</v>
      </c>
      <c r="AA673" s="1">
        <v>-1733</v>
      </c>
      <c r="AB673" s="1">
        <v>-30</v>
      </c>
      <c r="AC673" s="1">
        <v>269</v>
      </c>
      <c r="AD673" s="1">
        <v>-645</v>
      </c>
      <c r="AE673" s="1">
        <v>2124</v>
      </c>
      <c r="AF673" s="1">
        <v>-66</v>
      </c>
      <c r="AG673" s="1">
        <v>62631</v>
      </c>
      <c r="AH673" s="1">
        <v>-784</v>
      </c>
      <c r="AI673" s="1">
        <v>-1654</v>
      </c>
      <c r="AJ673" s="1">
        <v>800</v>
      </c>
      <c r="AK673" s="1">
        <v>800</v>
      </c>
      <c r="AL673" s="1">
        <v>800</v>
      </c>
      <c r="AM673" s="1">
        <v>973</v>
      </c>
      <c r="AN673" s="1">
        <v>973</v>
      </c>
      <c r="AO673" s="1">
        <v>973</v>
      </c>
      <c r="AP673" s="1">
        <v>973</v>
      </c>
      <c r="AQ673" s="1">
        <v>973</v>
      </c>
      <c r="AR673" s="1">
        <v>973</v>
      </c>
      <c r="AS673" s="1">
        <v>973</v>
      </c>
      <c r="AT673" s="1">
        <v>973</v>
      </c>
      <c r="AU673" s="1">
        <v>973</v>
      </c>
      <c r="AV673" s="1">
        <v>973</v>
      </c>
      <c r="AW673" s="1">
        <v>973</v>
      </c>
      <c r="AX673" s="1">
        <v>973</v>
      </c>
      <c r="BA673" s="21">
        <f t="shared" si="666"/>
        <v>-8525</v>
      </c>
      <c r="BB673" s="22">
        <f t="shared" si="667"/>
        <v>-710.41666666666663</v>
      </c>
      <c r="BD673" s="7">
        <f t="shared" si="668"/>
        <v>2994</v>
      </c>
      <c r="BE673" s="7">
        <f t="shared" si="669"/>
        <v>11519</v>
      </c>
      <c r="BF673" s="8">
        <f t="shared" si="670"/>
        <v>-1.3512023460410556</v>
      </c>
      <c r="BG673" s="7">
        <f t="shared" si="671"/>
        <v>249.5</v>
      </c>
      <c r="BI673" s="12">
        <f t="shared" si="672"/>
        <v>62512</v>
      </c>
      <c r="BJ673" s="12">
        <f t="shared" si="673"/>
        <v>59518</v>
      </c>
      <c r="BK673" s="13">
        <f t="shared" si="674"/>
        <v>19.879091516366067</v>
      </c>
      <c r="BL673" s="24">
        <f t="shared" si="675"/>
        <v>7720.75</v>
      </c>
      <c r="BM673" s="24">
        <f t="shared" si="676"/>
        <v>186.5</v>
      </c>
      <c r="BO673" s="17">
        <f t="shared" si="677"/>
        <v>11676</v>
      </c>
      <c r="BP673" s="17">
        <f t="shared" si="678"/>
        <v>-50836</v>
      </c>
      <c r="BQ673" s="18">
        <f t="shared" si="679"/>
        <v>-0.81321986178653693</v>
      </c>
      <c r="BR673" s="25">
        <f t="shared" si="680"/>
        <v>973</v>
      </c>
    </row>
    <row r="674" spans="1:70">
      <c r="A674" t="s">
        <v>892</v>
      </c>
      <c r="B674">
        <v>470025</v>
      </c>
      <c r="C674" s="1">
        <v>2026</v>
      </c>
      <c r="D674" s="1">
        <v>1041</v>
      </c>
      <c r="E674" s="1">
        <v>1050</v>
      </c>
      <c r="F674" s="1">
        <v>1201</v>
      </c>
      <c r="G674" s="1">
        <v>1821</v>
      </c>
      <c r="H674" s="1">
        <v>1052</v>
      </c>
      <c r="I674" s="1">
        <v>1857</v>
      </c>
      <c r="J674" s="1">
        <v>1449</v>
      </c>
      <c r="K674" s="1">
        <v>2151</v>
      </c>
      <c r="L674" s="1">
        <v>3569</v>
      </c>
      <c r="M674" s="1">
        <v>2096</v>
      </c>
      <c r="N674" s="1">
        <v>3566</v>
      </c>
      <c r="O674" s="1">
        <v>4016</v>
      </c>
      <c r="P674" s="1">
        <v>2676</v>
      </c>
      <c r="Q674" s="1">
        <v>1896</v>
      </c>
      <c r="R674" s="1">
        <v>2918</v>
      </c>
      <c r="S674" s="1">
        <v>980</v>
      </c>
      <c r="T674" s="1">
        <v>684</v>
      </c>
      <c r="U674" s="1">
        <v>3258</v>
      </c>
      <c r="V674" s="1">
        <v>2171</v>
      </c>
      <c r="W674" s="1">
        <v>2515</v>
      </c>
      <c r="X674" s="1">
        <v>2672</v>
      </c>
      <c r="Y674" s="1">
        <v>1950</v>
      </c>
      <c r="Z674" s="1">
        <v>1754</v>
      </c>
      <c r="AA674" s="1">
        <v>2901</v>
      </c>
      <c r="AB674" s="1">
        <v>3316</v>
      </c>
      <c r="AC674" s="1">
        <v>1620</v>
      </c>
      <c r="AD674" s="1">
        <v>2029</v>
      </c>
      <c r="AE674" s="1">
        <v>3742</v>
      </c>
      <c r="AF674" s="1">
        <v>4139</v>
      </c>
      <c r="AG674" s="1">
        <v>4678</v>
      </c>
      <c r="AH674" s="1">
        <v>1172</v>
      </c>
      <c r="AI674" s="1">
        <v>1941</v>
      </c>
      <c r="AJ674" s="1">
        <v>1000</v>
      </c>
      <c r="AK674" s="1">
        <v>1000</v>
      </c>
      <c r="AL674" s="1">
        <v>1000</v>
      </c>
      <c r="AM674" s="1">
        <v>973</v>
      </c>
      <c r="AN674" s="1">
        <v>973</v>
      </c>
      <c r="AO674" s="1">
        <v>973</v>
      </c>
      <c r="AP674" s="1">
        <v>973</v>
      </c>
      <c r="AQ674" s="1">
        <v>973</v>
      </c>
      <c r="AR674" s="1">
        <v>973</v>
      </c>
      <c r="AS674" s="1">
        <v>973</v>
      </c>
      <c r="AT674" s="1">
        <v>973</v>
      </c>
      <c r="AU674" s="1">
        <v>973</v>
      </c>
      <c r="AV674" s="1">
        <v>973</v>
      </c>
      <c r="AW674" s="1">
        <v>973</v>
      </c>
      <c r="AX674" s="1">
        <v>973</v>
      </c>
      <c r="BA674" s="21">
        <f t="shared" si="666"/>
        <v>22879</v>
      </c>
      <c r="BB674" s="22">
        <f t="shared" si="667"/>
        <v>1906.5833333333333</v>
      </c>
      <c r="BD674" s="7">
        <f t="shared" si="668"/>
        <v>27490</v>
      </c>
      <c r="BE674" s="7">
        <f t="shared" si="669"/>
        <v>4611</v>
      </c>
      <c r="BF674" s="8">
        <f t="shared" si="670"/>
        <v>0.2015385287818523</v>
      </c>
      <c r="BG674" s="7">
        <f t="shared" si="671"/>
        <v>2290.8333333333335</v>
      </c>
      <c r="BI674" s="12">
        <f t="shared" si="672"/>
        <v>28538</v>
      </c>
      <c r="BJ674" s="12">
        <f t="shared" si="673"/>
        <v>1048</v>
      </c>
      <c r="BK674" s="13">
        <f t="shared" si="674"/>
        <v>3.8122953801382309E-2</v>
      </c>
      <c r="BL674" s="24">
        <f t="shared" si="675"/>
        <v>2949.625</v>
      </c>
      <c r="BM674" s="24">
        <f t="shared" si="676"/>
        <v>1235.25</v>
      </c>
      <c r="BO674" s="17">
        <f t="shared" si="677"/>
        <v>11676</v>
      </c>
      <c r="BP674" s="17">
        <f t="shared" si="678"/>
        <v>-16862</v>
      </c>
      <c r="BQ674" s="18">
        <f t="shared" si="679"/>
        <v>-0.59086130773004419</v>
      </c>
      <c r="BR674" s="25">
        <f t="shared" si="680"/>
        <v>973</v>
      </c>
    </row>
    <row r="675" spans="1:70">
      <c r="A675" t="s">
        <v>893</v>
      </c>
      <c r="B675">
        <v>470026</v>
      </c>
      <c r="C675" s="1">
        <v>84</v>
      </c>
      <c r="D675" s="1">
        <v>328</v>
      </c>
      <c r="E675" s="1">
        <v>191</v>
      </c>
      <c r="F675" s="1">
        <v>72</v>
      </c>
      <c r="G675" s="1">
        <v>53</v>
      </c>
      <c r="H675" s="1">
        <v>44</v>
      </c>
      <c r="I675" s="1">
        <v>76</v>
      </c>
      <c r="J675" s="1">
        <v>41</v>
      </c>
      <c r="K675" s="1">
        <v>86</v>
      </c>
      <c r="L675" s="1">
        <v>448</v>
      </c>
      <c r="M675" s="1">
        <v>195</v>
      </c>
      <c r="N675" s="1">
        <v>278</v>
      </c>
      <c r="O675" s="1">
        <v>336</v>
      </c>
      <c r="P675" s="1">
        <v>80</v>
      </c>
      <c r="Q675" s="1">
        <v>56</v>
      </c>
      <c r="R675" s="1">
        <v>98</v>
      </c>
      <c r="S675" s="1">
        <v>2</v>
      </c>
      <c r="T675" s="1">
        <v>0</v>
      </c>
      <c r="U675" s="1">
        <v>18</v>
      </c>
      <c r="V675" s="1">
        <v>11</v>
      </c>
      <c r="W675" s="1">
        <v>27</v>
      </c>
      <c r="X675" s="1">
        <v>1</v>
      </c>
      <c r="Y675" s="1">
        <v>4</v>
      </c>
      <c r="Z675" s="1">
        <v>20</v>
      </c>
      <c r="AA675" s="1">
        <v>7</v>
      </c>
      <c r="AB675" s="1">
        <v>35</v>
      </c>
      <c r="AC675" s="1">
        <v>2</v>
      </c>
      <c r="AD675" s="1">
        <v>14</v>
      </c>
      <c r="AE675" s="1">
        <v>7</v>
      </c>
      <c r="AF675" s="1">
        <v>0</v>
      </c>
      <c r="AG675" s="1">
        <v>75</v>
      </c>
      <c r="AH675" s="1">
        <v>3</v>
      </c>
      <c r="AI675" s="1">
        <v>52</v>
      </c>
      <c r="AJ675" s="1">
        <v>3</v>
      </c>
      <c r="AK675" s="1">
        <v>3</v>
      </c>
      <c r="AL675" s="1">
        <v>3</v>
      </c>
      <c r="AM675" s="1">
        <v>5</v>
      </c>
      <c r="AN675" s="1">
        <v>5</v>
      </c>
      <c r="AO675" s="1">
        <v>5</v>
      </c>
      <c r="AP675" s="1">
        <v>5</v>
      </c>
      <c r="AQ675" s="1">
        <v>5</v>
      </c>
      <c r="AR675" s="1">
        <v>5</v>
      </c>
      <c r="AS675" s="1">
        <v>5</v>
      </c>
      <c r="AT675" s="1">
        <v>5</v>
      </c>
      <c r="AU675" s="1">
        <v>5</v>
      </c>
      <c r="AV675" s="1">
        <v>5</v>
      </c>
      <c r="AW675" s="1">
        <v>5</v>
      </c>
      <c r="AX675" s="1">
        <v>15</v>
      </c>
      <c r="BA675" s="21">
        <f t="shared" si="666"/>
        <v>1896</v>
      </c>
      <c r="BB675" s="22">
        <f t="shared" si="667"/>
        <v>158</v>
      </c>
      <c r="BD675" s="7">
        <f t="shared" si="668"/>
        <v>653</v>
      </c>
      <c r="BE675" s="7">
        <f t="shared" si="669"/>
        <v>-1243</v>
      </c>
      <c r="BF675" s="8">
        <f t="shared" si="670"/>
        <v>-0.65559071729957807</v>
      </c>
      <c r="BG675" s="7">
        <f t="shared" si="671"/>
        <v>54.416666666666664</v>
      </c>
      <c r="BI675" s="12">
        <f t="shared" si="672"/>
        <v>204</v>
      </c>
      <c r="BJ675" s="12">
        <f t="shared" si="673"/>
        <v>-449</v>
      </c>
      <c r="BK675" s="13">
        <f t="shared" si="674"/>
        <v>-0.68759571209800918</v>
      </c>
      <c r="BL675" s="24">
        <f t="shared" si="675"/>
        <v>17.875</v>
      </c>
      <c r="BM675" s="24">
        <f t="shared" si="676"/>
        <v>15.25</v>
      </c>
      <c r="BO675" s="17">
        <f t="shared" si="677"/>
        <v>70</v>
      </c>
      <c r="BP675" s="17">
        <f t="shared" si="678"/>
        <v>-134</v>
      </c>
      <c r="BQ675" s="18">
        <f t="shared" si="679"/>
        <v>-0.65686274509803921</v>
      </c>
      <c r="BR675" s="25">
        <f t="shared" si="680"/>
        <v>5.833333333333333</v>
      </c>
    </row>
    <row r="676" spans="1:70">
      <c r="A676" t="s">
        <v>894</v>
      </c>
      <c r="B676">
        <v>470030</v>
      </c>
      <c r="C676" s="1">
        <v>1585</v>
      </c>
      <c r="D676" s="1">
        <v>7061</v>
      </c>
      <c r="E676" s="1">
        <v>358</v>
      </c>
      <c r="F676" s="1">
        <v>3773</v>
      </c>
      <c r="G676" s="1">
        <v>1365</v>
      </c>
      <c r="H676" s="1">
        <v>3235</v>
      </c>
      <c r="I676" s="1">
        <v>4716</v>
      </c>
      <c r="J676" s="1">
        <v>2267</v>
      </c>
      <c r="K676" s="1">
        <v>2161</v>
      </c>
      <c r="L676" s="1">
        <v>3407</v>
      </c>
      <c r="M676" s="1">
        <v>4519</v>
      </c>
      <c r="N676" s="1">
        <v>13873</v>
      </c>
      <c r="O676" s="1">
        <v>2864</v>
      </c>
      <c r="P676" s="1">
        <v>2162</v>
      </c>
      <c r="Q676" s="1">
        <v>5491</v>
      </c>
      <c r="R676" s="1">
        <v>5621</v>
      </c>
      <c r="S676" s="1">
        <v>889</v>
      </c>
      <c r="T676" s="1">
        <v>2627</v>
      </c>
      <c r="U676" s="1">
        <v>2673</v>
      </c>
      <c r="V676" s="1">
        <v>7332</v>
      </c>
      <c r="W676" s="1">
        <v>2017</v>
      </c>
      <c r="X676" s="1">
        <v>4370</v>
      </c>
      <c r="Y676" s="1">
        <v>2140</v>
      </c>
      <c r="Z676" s="1">
        <v>2203</v>
      </c>
      <c r="AA676" s="1">
        <v>1727</v>
      </c>
      <c r="AB676" s="1">
        <v>7588</v>
      </c>
      <c r="AC676" s="1">
        <v>7078</v>
      </c>
      <c r="AD676" s="1">
        <v>1666</v>
      </c>
      <c r="AE676" s="1">
        <v>-1349</v>
      </c>
      <c r="AF676" s="1">
        <v>2743</v>
      </c>
      <c r="AG676" s="1">
        <v>1737</v>
      </c>
      <c r="AH676" s="1">
        <v>5016</v>
      </c>
      <c r="AI676" s="1">
        <v>2347</v>
      </c>
      <c r="AJ676" s="1">
        <v>25164</v>
      </c>
      <c r="AK676" s="1">
        <v>25064</v>
      </c>
      <c r="AL676" s="1">
        <v>25164</v>
      </c>
      <c r="AM676" s="1">
        <v>32841</v>
      </c>
      <c r="AN676" s="1">
        <v>38652</v>
      </c>
      <c r="AO676" s="1">
        <v>34564</v>
      </c>
      <c r="AP676" s="1">
        <v>32521</v>
      </c>
      <c r="AQ676" s="1">
        <v>31737</v>
      </c>
      <c r="AR676" s="1">
        <v>18669</v>
      </c>
      <c r="AS676" s="1">
        <v>17412</v>
      </c>
      <c r="AT676" s="1">
        <v>21407</v>
      </c>
      <c r="AU676" s="1">
        <v>21310</v>
      </c>
      <c r="AV676" s="1">
        <v>21407</v>
      </c>
      <c r="AW676" s="1">
        <v>21310</v>
      </c>
      <c r="AX676" s="1">
        <v>24286</v>
      </c>
      <c r="BA676" s="21">
        <f t="shared" si="666"/>
        <v>48320</v>
      </c>
      <c r="BB676" s="22">
        <f t="shared" si="667"/>
        <v>4026.6666666666665</v>
      </c>
      <c r="BD676" s="7">
        <f t="shared" si="668"/>
        <v>40389</v>
      </c>
      <c r="BE676" s="7">
        <f t="shared" si="669"/>
        <v>-7931</v>
      </c>
      <c r="BF676" s="8">
        <f t="shared" si="670"/>
        <v>-0.16413493377483446</v>
      </c>
      <c r="BG676" s="7">
        <f t="shared" si="671"/>
        <v>3365.75</v>
      </c>
      <c r="BI676" s="12">
        <f t="shared" si="672"/>
        <v>103945</v>
      </c>
      <c r="BJ676" s="12">
        <f t="shared" si="673"/>
        <v>63556</v>
      </c>
      <c r="BK676" s="13">
        <f t="shared" si="674"/>
        <v>1.5735967713981531</v>
      </c>
      <c r="BL676" s="24">
        <f t="shared" si="675"/>
        <v>3275.75</v>
      </c>
      <c r="BM676" s="24">
        <f t="shared" si="676"/>
        <v>19434.75</v>
      </c>
      <c r="BO676" s="17">
        <f t="shared" si="677"/>
        <v>316116</v>
      </c>
      <c r="BP676" s="17">
        <f t="shared" si="678"/>
        <v>212171</v>
      </c>
      <c r="BQ676" s="18">
        <f t="shared" si="679"/>
        <v>2.0411852421953918</v>
      </c>
      <c r="BR676" s="25">
        <f t="shared" si="680"/>
        <v>26343</v>
      </c>
    </row>
    <row r="677" spans="1:70">
      <c r="A677" t="s">
        <v>895</v>
      </c>
      <c r="B677">
        <v>470035</v>
      </c>
      <c r="C677" s="1">
        <v>12152</v>
      </c>
      <c r="D677" s="1">
        <v>8111</v>
      </c>
      <c r="E677" s="1">
        <v>8241</v>
      </c>
      <c r="F677" s="1">
        <v>-7443</v>
      </c>
      <c r="G677" s="1">
        <v>10898</v>
      </c>
      <c r="H677" s="1">
        <v>18481</v>
      </c>
      <c r="I677" s="1">
        <v>-13610</v>
      </c>
      <c r="J677" s="1">
        <v>23110</v>
      </c>
      <c r="K677" s="1">
        <v>47466</v>
      </c>
      <c r="L677" s="1">
        <v>1218</v>
      </c>
      <c r="M677" s="1">
        <v>-8885</v>
      </c>
      <c r="N677" s="1">
        <v>18139</v>
      </c>
      <c r="O677" s="1">
        <v>31386</v>
      </c>
      <c r="P677" s="1">
        <v>2835</v>
      </c>
      <c r="Q677" s="1">
        <v>20288</v>
      </c>
      <c r="R677" s="1">
        <v>10594</v>
      </c>
      <c r="S677" s="1">
        <v>6843</v>
      </c>
      <c r="T677" s="1">
        <v>143</v>
      </c>
      <c r="U677" s="1">
        <v>2134</v>
      </c>
      <c r="V677" s="1">
        <v>19483</v>
      </c>
      <c r="W677" s="1">
        <v>13526</v>
      </c>
      <c r="X677" s="1">
        <v>-6321</v>
      </c>
      <c r="Y677" s="1">
        <v>1866</v>
      </c>
      <c r="Z677" s="1">
        <v>1164</v>
      </c>
      <c r="AA677" s="1">
        <v>7498</v>
      </c>
      <c r="AB677" s="1">
        <v>4960</v>
      </c>
      <c r="AC677" s="1">
        <v>20361</v>
      </c>
      <c r="AD677" s="1">
        <v>4983</v>
      </c>
      <c r="AE677" s="1">
        <v>3953</v>
      </c>
      <c r="AF677" s="1">
        <v>8486</v>
      </c>
      <c r="AG677" s="1">
        <v>69296</v>
      </c>
      <c r="AH677" s="1">
        <v>40042</v>
      </c>
      <c r="AI677" s="1">
        <v>15019</v>
      </c>
      <c r="AJ677" s="1">
        <v>2660</v>
      </c>
      <c r="AK677" s="1">
        <v>2660</v>
      </c>
      <c r="AL677" s="1">
        <v>2660</v>
      </c>
      <c r="AM677" s="1">
        <v>2589</v>
      </c>
      <c r="AN677" s="1">
        <v>2589</v>
      </c>
      <c r="AO677" s="1">
        <v>2589</v>
      </c>
      <c r="AP677" s="1">
        <v>2589</v>
      </c>
      <c r="AQ677" s="1">
        <v>2589</v>
      </c>
      <c r="AR677" s="1">
        <v>2589</v>
      </c>
      <c r="AS677" s="1">
        <v>2589</v>
      </c>
      <c r="AT677" s="1">
        <v>2589</v>
      </c>
      <c r="AU677" s="1">
        <v>2589</v>
      </c>
      <c r="AV677" s="1">
        <v>2589</v>
      </c>
      <c r="AW677" s="1">
        <v>2589</v>
      </c>
      <c r="AX677" s="1">
        <v>3100</v>
      </c>
      <c r="BA677" s="21">
        <f t="shared" si="666"/>
        <v>117878</v>
      </c>
      <c r="BB677" s="22">
        <f t="shared" si="667"/>
        <v>9823.1666666666661</v>
      </c>
      <c r="BD677" s="7">
        <f t="shared" si="668"/>
        <v>103941</v>
      </c>
      <c r="BE677" s="7">
        <f t="shared" si="669"/>
        <v>-13937</v>
      </c>
      <c r="BF677" s="8">
        <f t="shared" si="670"/>
        <v>-0.11823240977960259</v>
      </c>
      <c r="BG677" s="7">
        <f t="shared" si="671"/>
        <v>8661.75</v>
      </c>
      <c r="BI677" s="12">
        <f t="shared" si="672"/>
        <v>182578</v>
      </c>
      <c r="BJ677" s="12">
        <f t="shared" si="673"/>
        <v>78637</v>
      </c>
      <c r="BK677" s="13">
        <f t="shared" si="674"/>
        <v>0.75655419901674992</v>
      </c>
      <c r="BL677" s="24">
        <f t="shared" si="675"/>
        <v>19947.375</v>
      </c>
      <c r="BM677" s="24">
        <f t="shared" si="676"/>
        <v>5749.75</v>
      </c>
      <c r="BO677" s="17">
        <f t="shared" si="677"/>
        <v>31579</v>
      </c>
      <c r="BP677" s="17">
        <f t="shared" si="678"/>
        <v>-150999</v>
      </c>
      <c r="BQ677" s="18">
        <f t="shared" si="679"/>
        <v>-0.82703830691540059</v>
      </c>
      <c r="BR677" s="25">
        <f t="shared" si="680"/>
        <v>2631.5833333333335</v>
      </c>
    </row>
    <row r="678" spans="1:70">
      <c r="A678" t="s">
        <v>896</v>
      </c>
      <c r="B678">
        <v>470040</v>
      </c>
      <c r="C678" s="1">
        <v>88213</v>
      </c>
      <c r="D678" s="1">
        <v>38437</v>
      </c>
      <c r="E678" s="1">
        <v>-6798</v>
      </c>
      <c r="F678" s="1">
        <v>-16060</v>
      </c>
      <c r="G678" s="1">
        <v>4864</v>
      </c>
      <c r="H678" s="1">
        <v>39130</v>
      </c>
      <c r="I678" s="1">
        <v>10091</v>
      </c>
      <c r="J678" s="1">
        <v>54910</v>
      </c>
      <c r="K678" s="1">
        <v>44002</v>
      </c>
      <c r="L678" s="1">
        <v>17364</v>
      </c>
      <c r="M678" s="1">
        <v>2117</v>
      </c>
      <c r="N678" s="1">
        <v>51781</v>
      </c>
      <c r="O678" s="1">
        <v>102176</v>
      </c>
      <c r="P678" s="1">
        <v>121327</v>
      </c>
      <c r="Q678" s="1">
        <v>80155</v>
      </c>
      <c r="R678" s="1">
        <v>80445</v>
      </c>
      <c r="S678" s="1">
        <v>61121</v>
      </c>
      <c r="T678" s="1">
        <v>17468</v>
      </c>
      <c r="U678" s="1">
        <v>37354</v>
      </c>
      <c r="V678" s="1">
        <v>43504</v>
      </c>
      <c r="W678" s="1">
        <v>48714</v>
      </c>
      <c r="X678" s="1">
        <v>3100</v>
      </c>
      <c r="Y678" s="1">
        <v>6886</v>
      </c>
      <c r="Z678" s="1">
        <v>25480</v>
      </c>
      <c r="AA678" s="1">
        <v>8292</v>
      </c>
      <c r="AB678" s="1">
        <v>32931</v>
      </c>
      <c r="AC678" s="1">
        <v>37772</v>
      </c>
      <c r="AD678" s="1">
        <v>59670</v>
      </c>
      <c r="AE678" s="1">
        <v>24839</v>
      </c>
      <c r="AF678" s="1">
        <v>47235</v>
      </c>
      <c r="AG678" s="1">
        <v>22999</v>
      </c>
      <c r="AH678" s="1">
        <v>36059</v>
      </c>
      <c r="AI678" s="1">
        <v>69482</v>
      </c>
      <c r="AJ678" s="1">
        <v>50400</v>
      </c>
      <c r="AK678" s="1">
        <v>50400</v>
      </c>
      <c r="AL678" s="1">
        <v>50400</v>
      </c>
      <c r="AM678" s="1">
        <v>49048</v>
      </c>
      <c r="AN678" s="1">
        <v>49048</v>
      </c>
      <c r="AO678" s="1">
        <v>49048</v>
      </c>
      <c r="AP678" s="1">
        <v>49048</v>
      </c>
      <c r="AQ678" s="1">
        <v>49048</v>
      </c>
      <c r="AR678" s="1">
        <v>49048</v>
      </c>
      <c r="AS678" s="1">
        <v>49048</v>
      </c>
      <c r="AT678" s="1">
        <v>49048</v>
      </c>
      <c r="AU678" s="1">
        <v>49048</v>
      </c>
      <c r="AV678" s="1">
        <v>49048</v>
      </c>
      <c r="AW678" s="1">
        <v>49048</v>
      </c>
      <c r="AX678" s="1">
        <v>58722</v>
      </c>
      <c r="BA678" s="21">
        <f t="shared" si="666"/>
        <v>328051</v>
      </c>
      <c r="BB678" s="22">
        <f t="shared" si="667"/>
        <v>27337.583333333332</v>
      </c>
      <c r="BD678" s="7">
        <f t="shared" si="668"/>
        <v>627730</v>
      </c>
      <c r="BE678" s="7">
        <f t="shared" si="669"/>
        <v>299679</v>
      </c>
      <c r="BF678" s="8">
        <f t="shared" si="670"/>
        <v>0.91351344760418351</v>
      </c>
      <c r="BG678" s="7">
        <f t="shared" si="671"/>
        <v>52310.833333333336</v>
      </c>
      <c r="BI678" s="12">
        <f t="shared" si="672"/>
        <v>490479</v>
      </c>
      <c r="BJ678" s="12">
        <f t="shared" si="673"/>
        <v>-137251</v>
      </c>
      <c r="BK678" s="13">
        <f t="shared" si="674"/>
        <v>-0.21864655186146909</v>
      </c>
      <c r="BL678" s="24">
        <f t="shared" si="675"/>
        <v>33724.625</v>
      </c>
      <c r="BM678" s="24">
        <f t="shared" si="676"/>
        <v>55170.5</v>
      </c>
      <c r="BO678" s="17">
        <f t="shared" si="677"/>
        <v>598250</v>
      </c>
      <c r="BP678" s="17">
        <f t="shared" si="678"/>
        <v>107771</v>
      </c>
      <c r="BQ678" s="18">
        <f t="shared" si="679"/>
        <v>0.21972602292860643</v>
      </c>
      <c r="BR678" s="25">
        <f t="shared" si="680"/>
        <v>49854.166666666664</v>
      </c>
    </row>
    <row r="679" spans="1:70">
      <c r="A679" t="s">
        <v>897</v>
      </c>
      <c r="B679">
        <v>470045</v>
      </c>
      <c r="C679" s="1">
        <v>1077</v>
      </c>
      <c r="D679" s="1">
        <v>1376</v>
      </c>
      <c r="E679" s="1">
        <v>-6261</v>
      </c>
      <c r="F679" s="1">
        <v>-2033</v>
      </c>
      <c r="G679" s="1">
        <v>190</v>
      </c>
      <c r="H679" s="1">
        <v>-741</v>
      </c>
      <c r="I679" s="1">
        <v>-813</v>
      </c>
      <c r="J679" s="1">
        <v>5228</v>
      </c>
      <c r="K679" s="1">
        <v>854</v>
      </c>
      <c r="L679" s="1">
        <v>-710</v>
      </c>
      <c r="M679" s="1">
        <v>-310</v>
      </c>
      <c r="N679" s="1">
        <v>-650</v>
      </c>
      <c r="O679" s="1">
        <v>-341</v>
      </c>
      <c r="P679" s="1">
        <v>-471</v>
      </c>
      <c r="Q679" s="1">
        <v>-646</v>
      </c>
      <c r="R679" s="1">
        <v>-618</v>
      </c>
      <c r="S679" s="1">
        <v>-415</v>
      </c>
      <c r="T679" s="1">
        <v>-193</v>
      </c>
      <c r="U679" s="1">
        <v>-4089</v>
      </c>
      <c r="V679" s="1">
        <v>-584</v>
      </c>
      <c r="W679" s="1">
        <v>-141</v>
      </c>
      <c r="X679" s="1">
        <v>-700</v>
      </c>
      <c r="Y679" s="1">
        <v>-6815</v>
      </c>
      <c r="Z679" s="1">
        <v>-191</v>
      </c>
      <c r="AA679" s="1">
        <v>-143</v>
      </c>
      <c r="AB679" s="1">
        <v>-360</v>
      </c>
      <c r="AC679" s="1">
        <v>6399</v>
      </c>
      <c r="AD679" s="1">
        <v>-1711</v>
      </c>
      <c r="AE679" s="1">
        <v>-179</v>
      </c>
      <c r="AF679" s="1">
        <v>-291</v>
      </c>
      <c r="AG679" s="1">
        <v>-5399</v>
      </c>
      <c r="AH679" s="1">
        <v>-688</v>
      </c>
      <c r="AI679" s="1">
        <v>-217</v>
      </c>
      <c r="AJ679" s="1">
        <v>-688</v>
      </c>
      <c r="AK679" s="1">
        <v>-688</v>
      </c>
      <c r="AL679" s="1">
        <v>-688</v>
      </c>
      <c r="AM679" s="1">
        <v>-139</v>
      </c>
      <c r="AN679" s="1">
        <v>-350</v>
      </c>
      <c r="AO679" s="1">
        <v>6227</v>
      </c>
      <c r="AP679" s="1">
        <v>-1665</v>
      </c>
      <c r="AQ679" s="1">
        <v>-174</v>
      </c>
      <c r="AR679" s="1">
        <v>-283</v>
      </c>
      <c r="AS679" s="1">
        <v>-388</v>
      </c>
      <c r="AT679" s="1">
        <v>-670</v>
      </c>
      <c r="AU679" s="1">
        <v>-670</v>
      </c>
      <c r="AV679" s="1">
        <v>-670</v>
      </c>
      <c r="AW679" s="1">
        <v>-670</v>
      </c>
      <c r="AX679" s="1">
        <v>-670</v>
      </c>
      <c r="BA679" s="21">
        <f t="shared" si="666"/>
        <v>-2793</v>
      </c>
      <c r="BB679" s="22">
        <f t="shared" si="667"/>
        <v>-232.75</v>
      </c>
      <c r="BD679" s="7">
        <f t="shared" si="668"/>
        <v>-15204</v>
      </c>
      <c r="BE679" s="7">
        <f t="shared" si="669"/>
        <v>-12411</v>
      </c>
      <c r="BF679" s="8">
        <f t="shared" si="670"/>
        <v>4.4436090225563909</v>
      </c>
      <c r="BG679" s="7">
        <f t="shared" si="671"/>
        <v>-1267</v>
      </c>
      <c r="BI679" s="12">
        <f t="shared" si="672"/>
        <v>-4653</v>
      </c>
      <c r="BJ679" s="12">
        <f t="shared" si="673"/>
        <v>10551</v>
      </c>
      <c r="BK679" s="13">
        <f t="shared" si="674"/>
        <v>-0.69396211523283347</v>
      </c>
      <c r="BL679" s="24">
        <f t="shared" si="675"/>
        <v>-296.5</v>
      </c>
      <c r="BM679" s="24">
        <f t="shared" si="676"/>
        <v>-570.25</v>
      </c>
      <c r="BO679" s="17">
        <f t="shared" si="677"/>
        <v>-122</v>
      </c>
      <c r="BP679" s="17">
        <f t="shared" si="678"/>
        <v>4531</v>
      </c>
      <c r="BQ679" s="18">
        <f t="shared" si="679"/>
        <v>-0.97378035675908015</v>
      </c>
      <c r="BR679" s="25">
        <f t="shared" si="680"/>
        <v>-10.166666666666666</v>
      </c>
    </row>
    <row r="680" spans="1:70">
      <c r="A680" t="s">
        <v>898</v>
      </c>
      <c r="B680">
        <v>470047</v>
      </c>
      <c r="C680" s="1">
        <v>76978</v>
      </c>
      <c r="D680" s="1">
        <v>12932</v>
      </c>
      <c r="E680" s="1">
        <v>22970</v>
      </c>
      <c r="F680" s="1">
        <v>812</v>
      </c>
      <c r="G680" s="1">
        <v>6614</v>
      </c>
      <c r="H680" s="1">
        <v>31430</v>
      </c>
      <c r="I680" s="1">
        <v>21305</v>
      </c>
      <c r="J680" s="1">
        <v>25018</v>
      </c>
      <c r="K680" s="1">
        <v>19508</v>
      </c>
      <c r="L680" s="1">
        <v>14856</v>
      </c>
      <c r="M680" s="1">
        <v>18184</v>
      </c>
      <c r="N680" s="1">
        <v>57792</v>
      </c>
      <c r="O680" s="1">
        <v>-6609</v>
      </c>
      <c r="P680" s="1">
        <v>71857</v>
      </c>
      <c r="Q680" s="1">
        <v>32235</v>
      </c>
      <c r="R680" s="1">
        <v>22792</v>
      </c>
      <c r="S680" s="1">
        <v>62042</v>
      </c>
      <c r="T680" s="1">
        <v>-16459</v>
      </c>
      <c r="U680" s="1">
        <v>49021</v>
      </c>
      <c r="V680" s="1">
        <v>-2445</v>
      </c>
      <c r="W680" s="1">
        <v>10055</v>
      </c>
      <c r="X680" s="1">
        <v>13792</v>
      </c>
      <c r="Y680" s="1">
        <v>5467</v>
      </c>
      <c r="Z680" s="1">
        <v>1476</v>
      </c>
      <c r="AA680" s="1">
        <v>7161</v>
      </c>
      <c r="AB680" s="1">
        <v>3000</v>
      </c>
      <c r="AC680" s="1">
        <v>18333</v>
      </c>
      <c r="AD680" s="1">
        <v>7230</v>
      </c>
      <c r="AE680" s="1">
        <v>894</v>
      </c>
      <c r="AF680" s="1">
        <v>54499</v>
      </c>
      <c r="AG680" s="1">
        <v>31825</v>
      </c>
      <c r="AH680" s="1">
        <v>38486</v>
      </c>
      <c r="AI680" s="1">
        <v>9057</v>
      </c>
      <c r="AJ680" s="1">
        <v>10000</v>
      </c>
      <c r="AK680" s="1">
        <v>10000</v>
      </c>
      <c r="AL680" s="1">
        <v>10000</v>
      </c>
      <c r="AM680" s="1">
        <v>4866</v>
      </c>
      <c r="AN680" s="1">
        <v>4866</v>
      </c>
      <c r="AO680" s="1">
        <v>4866</v>
      </c>
      <c r="AP680" s="1">
        <v>4866</v>
      </c>
      <c r="AQ680" s="1">
        <v>4866</v>
      </c>
      <c r="AR680" s="1">
        <v>4866</v>
      </c>
      <c r="AS680" s="1">
        <v>4866</v>
      </c>
      <c r="AT680" s="1">
        <v>4866</v>
      </c>
      <c r="AU680" s="1">
        <v>4866</v>
      </c>
      <c r="AV680" s="1">
        <v>4866</v>
      </c>
      <c r="AW680" s="1">
        <v>4866</v>
      </c>
      <c r="AX680" s="1">
        <v>5825</v>
      </c>
      <c r="BA680" s="21">
        <f t="shared" si="666"/>
        <v>308399</v>
      </c>
      <c r="BB680" s="22">
        <f t="shared" si="667"/>
        <v>25699.916666666668</v>
      </c>
      <c r="BD680" s="7">
        <f t="shared" si="668"/>
        <v>243224</v>
      </c>
      <c r="BE680" s="7">
        <f t="shared" si="669"/>
        <v>-65175</v>
      </c>
      <c r="BF680" s="8">
        <f t="shared" si="670"/>
        <v>-0.21133337008226361</v>
      </c>
      <c r="BG680" s="7">
        <f t="shared" si="671"/>
        <v>20268.666666666668</v>
      </c>
      <c r="BI680" s="12">
        <f t="shared" si="672"/>
        <v>200485</v>
      </c>
      <c r="BJ680" s="12">
        <f t="shared" si="673"/>
        <v>-42739</v>
      </c>
      <c r="BK680" s="13">
        <f t="shared" si="674"/>
        <v>-0.17571867907772254</v>
      </c>
      <c r="BL680" s="24">
        <f t="shared" si="675"/>
        <v>20178.5</v>
      </c>
      <c r="BM680" s="24">
        <f t="shared" si="676"/>
        <v>9764.25</v>
      </c>
      <c r="BO680" s="17">
        <f t="shared" si="677"/>
        <v>59351</v>
      </c>
      <c r="BP680" s="17">
        <f t="shared" si="678"/>
        <v>-141134</v>
      </c>
      <c r="BQ680" s="18">
        <f t="shared" si="679"/>
        <v>-0.70396288999177004</v>
      </c>
      <c r="BR680" s="25">
        <f t="shared" si="680"/>
        <v>4945.916666666667</v>
      </c>
    </row>
    <row r="681" spans="1:70">
      <c r="A681" t="s">
        <v>899</v>
      </c>
      <c r="B681">
        <v>470055</v>
      </c>
      <c r="C681" s="1">
        <v>32048</v>
      </c>
      <c r="D681" s="1">
        <v>13631</v>
      </c>
      <c r="E681" s="1">
        <v>46355</v>
      </c>
      <c r="F681" s="1">
        <v>24484</v>
      </c>
      <c r="G681" s="1">
        <v>14715</v>
      </c>
      <c r="H681" s="1">
        <v>6394</v>
      </c>
      <c r="I681" s="1">
        <v>20830</v>
      </c>
      <c r="J681" s="1">
        <v>17348</v>
      </c>
      <c r="K681" s="1">
        <v>17779</v>
      </c>
      <c r="L681" s="1">
        <v>19426</v>
      </c>
      <c r="M681" s="1">
        <v>60428</v>
      </c>
      <c r="N681" s="1">
        <v>25954</v>
      </c>
      <c r="O681" s="1">
        <v>50670</v>
      </c>
      <c r="P681" s="1">
        <v>23066</v>
      </c>
      <c r="Q681" s="1">
        <v>32150</v>
      </c>
      <c r="R681" s="1">
        <v>13246</v>
      </c>
      <c r="S681" s="1">
        <v>17343</v>
      </c>
      <c r="T681" s="1">
        <v>17139</v>
      </c>
      <c r="U681" s="1">
        <v>14265</v>
      </c>
      <c r="V681" s="1">
        <v>21935</v>
      </c>
      <c r="W681" s="1">
        <v>19692</v>
      </c>
      <c r="X681" s="1">
        <v>19660</v>
      </c>
      <c r="Y681" s="1">
        <v>11483</v>
      </c>
      <c r="Z681" s="1">
        <v>32451</v>
      </c>
      <c r="AA681" s="1">
        <v>11103</v>
      </c>
      <c r="AB681" s="1">
        <v>25218</v>
      </c>
      <c r="AC681" s="1">
        <v>16505</v>
      </c>
      <c r="AD681" s="1">
        <v>30036</v>
      </c>
      <c r="AE681" s="1">
        <v>57938</v>
      </c>
      <c r="AF681" s="1">
        <v>109624</v>
      </c>
      <c r="AG681" s="1">
        <v>80090</v>
      </c>
      <c r="AH681" s="1">
        <v>42288</v>
      </c>
      <c r="AI681" s="1">
        <v>32257</v>
      </c>
      <c r="AJ681" s="1">
        <v>36205</v>
      </c>
      <c r="AK681" s="1">
        <v>36322</v>
      </c>
      <c r="AL681" s="1">
        <v>36442</v>
      </c>
      <c r="AM681" s="1">
        <v>11141</v>
      </c>
      <c r="AN681" s="1">
        <v>24284</v>
      </c>
      <c r="AO681" s="1">
        <v>16703</v>
      </c>
      <c r="AP681" s="1">
        <v>30361</v>
      </c>
      <c r="AQ681" s="1">
        <v>56981</v>
      </c>
      <c r="AR681" s="1">
        <v>100642</v>
      </c>
      <c r="AS681" s="1">
        <v>78017</v>
      </c>
      <c r="AT681" s="1">
        <v>36405</v>
      </c>
      <c r="AU681" s="1">
        <v>36521</v>
      </c>
      <c r="AV681" s="1">
        <v>36643</v>
      </c>
      <c r="AW681" s="1">
        <v>36764</v>
      </c>
      <c r="AX681" s="1">
        <v>36883</v>
      </c>
      <c r="BA681" s="21">
        <f t="shared" si="666"/>
        <v>299392</v>
      </c>
      <c r="BB681" s="22">
        <f t="shared" si="667"/>
        <v>24949.333333333332</v>
      </c>
      <c r="BD681" s="7">
        <f t="shared" si="668"/>
        <v>273100</v>
      </c>
      <c r="BE681" s="7">
        <f t="shared" si="669"/>
        <v>-26292</v>
      </c>
      <c r="BF681" s="8">
        <f t="shared" si="670"/>
        <v>-8.7817977768277045E-2</v>
      </c>
      <c r="BG681" s="7">
        <f t="shared" si="671"/>
        <v>22758.333333333332</v>
      </c>
      <c r="BI681" s="12">
        <f t="shared" si="672"/>
        <v>514028</v>
      </c>
      <c r="BJ681" s="12">
        <f t="shared" si="673"/>
        <v>240928</v>
      </c>
      <c r="BK681" s="13">
        <f t="shared" si="674"/>
        <v>0.88219699743683622</v>
      </c>
      <c r="BL681" s="24">
        <f t="shared" si="675"/>
        <v>46600.25</v>
      </c>
      <c r="BM681" s="24">
        <f t="shared" si="676"/>
        <v>35306.5</v>
      </c>
      <c r="BO681" s="17">
        <f t="shared" si="677"/>
        <v>501345</v>
      </c>
      <c r="BP681" s="17">
        <f t="shared" si="678"/>
        <v>-12683</v>
      </c>
      <c r="BQ681" s="18">
        <f t="shared" si="679"/>
        <v>-2.4673753180760594E-2</v>
      </c>
      <c r="BR681" s="25">
        <f t="shared" si="680"/>
        <v>41778.75</v>
      </c>
    </row>
    <row r="682" spans="1:70">
      <c r="A682" t="s">
        <v>900</v>
      </c>
      <c r="B682">
        <v>470056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23127</v>
      </c>
      <c r="M682" s="1">
        <v>7253</v>
      </c>
      <c r="N682" s="1">
        <v>12253</v>
      </c>
      <c r="O682" s="1">
        <v>21126</v>
      </c>
      <c r="P682" s="1">
        <v>13417</v>
      </c>
      <c r="Q682" s="1">
        <v>3892</v>
      </c>
      <c r="R682" s="1">
        <v>11567</v>
      </c>
      <c r="S682" s="1">
        <v>15445</v>
      </c>
      <c r="T682" s="1">
        <v>12954</v>
      </c>
      <c r="U682" s="1">
        <v>11794</v>
      </c>
      <c r="V682" s="1">
        <v>947</v>
      </c>
      <c r="W682" s="1">
        <v>26349</v>
      </c>
      <c r="X682" s="1">
        <v>9776</v>
      </c>
      <c r="Y682" s="1">
        <v>10131</v>
      </c>
      <c r="Z682" s="1">
        <v>22732</v>
      </c>
      <c r="AA682" s="1">
        <v>9101</v>
      </c>
      <c r="AB682" s="1">
        <v>9686</v>
      </c>
      <c r="AC682" s="1">
        <v>14334</v>
      </c>
      <c r="AD682" s="1">
        <v>-79</v>
      </c>
      <c r="AE682" s="1">
        <v>15859</v>
      </c>
      <c r="AF682" s="1">
        <v>9798</v>
      </c>
      <c r="AG682" s="1">
        <v>10260</v>
      </c>
      <c r="AH682" s="1">
        <v>11660</v>
      </c>
      <c r="AI682" s="1">
        <v>11280</v>
      </c>
      <c r="AJ682" s="1">
        <v>12249</v>
      </c>
      <c r="AK682" s="1">
        <v>12249</v>
      </c>
      <c r="AL682" s="1">
        <v>12249</v>
      </c>
      <c r="AM682" s="1">
        <v>8857</v>
      </c>
      <c r="AN682" s="1">
        <v>9427</v>
      </c>
      <c r="AO682" s="1">
        <v>13951</v>
      </c>
      <c r="AP682" s="1">
        <v>-16</v>
      </c>
      <c r="AQ682" s="1">
        <v>15373</v>
      </c>
      <c r="AR682" s="1">
        <v>9534</v>
      </c>
      <c r="AS682" s="1">
        <v>7758</v>
      </c>
      <c r="AT682" s="1">
        <v>11920</v>
      </c>
      <c r="AU682" s="1">
        <v>11920</v>
      </c>
      <c r="AV682" s="1">
        <v>11920</v>
      </c>
      <c r="AW682" s="1">
        <v>11920</v>
      </c>
      <c r="AX682" s="1">
        <v>11920</v>
      </c>
      <c r="BA682" s="21">
        <f t="shared" si="666"/>
        <v>42633</v>
      </c>
      <c r="BB682" s="22">
        <f t="shared" si="667"/>
        <v>3552.75</v>
      </c>
      <c r="BD682" s="7">
        <f t="shared" si="668"/>
        <v>160130</v>
      </c>
      <c r="BE682" s="7">
        <f t="shared" si="669"/>
        <v>117497</v>
      </c>
      <c r="BF682" s="8">
        <f t="shared" si="670"/>
        <v>2.7560106021157318</v>
      </c>
      <c r="BG682" s="7">
        <f t="shared" si="671"/>
        <v>13344.166666666666</v>
      </c>
      <c r="BI682" s="12">
        <f t="shared" si="672"/>
        <v>128646</v>
      </c>
      <c r="BJ682" s="12">
        <f t="shared" si="673"/>
        <v>-31484</v>
      </c>
      <c r="BK682" s="13">
        <f t="shared" si="674"/>
        <v>-0.19661525010928615</v>
      </c>
      <c r="BL682" s="24">
        <f t="shared" si="675"/>
        <v>10077.375</v>
      </c>
      <c r="BM682" s="24">
        <f t="shared" si="676"/>
        <v>12006.75</v>
      </c>
      <c r="BO682" s="17">
        <f t="shared" si="677"/>
        <v>124484</v>
      </c>
      <c r="BP682" s="17">
        <f t="shared" si="678"/>
        <v>-4162</v>
      </c>
      <c r="BQ682" s="18">
        <f t="shared" si="679"/>
        <v>-3.2352346749996097E-2</v>
      </c>
      <c r="BR682" s="25">
        <f t="shared" si="680"/>
        <v>10373.666666666666</v>
      </c>
    </row>
    <row r="683" spans="1:70">
      <c r="A683" t="s">
        <v>901</v>
      </c>
      <c r="B683">
        <v>470057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1757</v>
      </c>
      <c r="M683" s="1">
        <v>-1165</v>
      </c>
      <c r="N683" s="1">
        <v>529</v>
      </c>
      <c r="O683" s="1">
        <v>-191</v>
      </c>
      <c r="P683" s="1">
        <v>47</v>
      </c>
      <c r="Q683" s="1">
        <v>-57</v>
      </c>
      <c r="R683" s="1">
        <v>128</v>
      </c>
      <c r="S683" s="1">
        <v>-173</v>
      </c>
      <c r="T683" s="1">
        <v>-342</v>
      </c>
      <c r="U683" s="1">
        <v>973</v>
      </c>
      <c r="V683" s="1">
        <v>-1315</v>
      </c>
      <c r="W683" s="1">
        <v>-17</v>
      </c>
      <c r="X683" s="1">
        <v>-11</v>
      </c>
      <c r="Y683" s="1">
        <v>62</v>
      </c>
      <c r="Z683" s="1">
        <v>-136</v>
      </c>
      <c r="AA683" s="1">
        <v>220</v>
      </c>
      <c r="AB683" s="1">
        <v>96</v>
      </c>
      <c r="AC683" s="1">
        <v>670</v>
      </c>
      <c r="AD683" s="1">
        <v>246</v>
      </c>
      <c r="AE683" s="1">
        <v>-111</v>
      </c>
      <c r="AF683" s="1">
        <v>-327</v>
      </c>
      <c r="AG683" s="1">
        <v>-764</v>
      </c>
      <c r="AH683" s="1">
        <v>217</v>
      </c>
      <c r="AI683" s="1">
        <v>1131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BA683" s="21">
        <f t="shared" si="666"/>
        <v>1121</v>
      </c>
      <c r="BB683" s="22">
        <f t="shared" si="667"/>
        <v>93.416666666666671</v>
      </c>
      <c r="BD683" s="7">
        <f t="shared" si="668"/>
        <v>-1032</v>
      </c>
      <c r="BE683" s="7">
        <f t="shared" si="669"/>
        <v>-2153</v>
      </c>
      <c r="BF683" s="8">
        <f t="shared" si="670"/>
        <v>-1.9206066012488849</v>
      </c>
      <c r="BG683" s="7">
        <f t="shared" si="671"/>
        <v>-86</v>
      </c>
      <c r="BI683" s="12">
        <f t="shared" si="672"/>
        <v>1378</v>
      </c>
      <c r="BJ683" s="12">
        <f t="shared" si="673"/>
        <v>2410</v>
      </c>
      <c r="BK683" s="13">
        <f t="shared" si="674"/>
        <v>-2.3352713178294575</v>
      </c>
      <c r="BL683" s="24">
        <f t="shared" si="675"/>
        <v>30.875</v>
      </c>
      <c r="BM683" s="24">
        <f t="shared" si="676"/>
        <v>282.75</v>
      </c>
      <c r="BO683" s="17">
        <f t="shared" si="677"/>
        <v>0</v>
      </c>
      <c r="BP683" s="17">
        <f t="shared" si="678"/>
        <v>-1378</v>
      </c>
      <c r="BQ683" s="18">
        <f t="shared" si="679"/>
        <v>-1</v>
      </c>
      <c r="BR683" s="25">
        <f t="shared" si="680"/>
        <v>0</v>
      </c>
    </row>
    <row r="684" spans="1:70">
      <c r="A684" t="s">
        <v>902</v>
      </c>
      <c r="B684">
        <v>470100</v>
      </c>
      <c r="C684" s="1">
        <v>0</v>
      </c>
      <c r="D684" s="1">
        <v>200</v>
      </c>
      <c r="E684" s="1">
        <v>892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79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BA684" s="21">
        <f t="shared" si="666"/>
        <v>1092</v>
      </c>
      <c r="BB684" s="22">
        <f t="shared" si="667"/>
        <v>91</v>
      </c>
      <c r="BD684" s="7">
        <f t="shared" si="668"/>
        <v>79</v>
      </c>
      <c r="BE684" s="7">
        <f t="shared" si="669"/>
        <v>-1013</v>
      </c>
      <c r="BF684" s="8">
        <f t="shared" si="670"/>
        <v>-0.92765567765567769</v>
      </c>
      <c r="BG684" s="7">
        <f t="shared" si="671"/>
        <v>6.583333333333333</v>
      </c>
      <c r="BI684" s="12">
        <f t="shared" si="672"/>
        <v>0</v>
      </c>
      <c r="BJ684" s="12">
        <f t="shared" si="673"/>
        <v>-79</v>
      </c>
      <c r="BK684" s="13">
        <f t="shared" si="674"/>
        <v>-1</v>
      </c>
      <c r="BL684" s="24">
        <f t="shared" si="675"/>
        <v>0</v>
      </c>
      <c r="BM684" s="24">
        <f t="shared" si="676"/>
        <v>0</v>
      </c>
      <c r="BO684" s="17">
        <f t="shared" si="677"/>
        <v>0</v>
      </c>
      <c r="BP684" s="17">
        <f t="shared" si="678"/>
        <v>0</v>
      </c>
      <c r="BQ684" s="18" t="e">
        <f t="shared" si="679"/>
        <v>#DIV/0!</v>
      </c>
      <c r="BR684" s="25">
        <f t="shared" si="680"/>
        <v>0</v>
      </c>
    </row>
    <row r="685" spans="1:70">
      <c r="A685" t="s">
        <v>903</v>
      </c>
      <c r="B685">
        <v>470200</v>
      </c>
      <c r="C685" s="1">
        <v>5731</v>
      </c>
      <c r="D685" s="1">
        <v>6360</v>
      </c>
      <c r="E685" s="1">
        <v>4886</v>
      </c>
      <c r="F685" s="1">
        <v>5739</v>
      </c>
      <c r="G685" s="1">
        <v>5044</v>
      </c>
      <c r="H685" s="1">
        <v>3349</v>
      </c>
      <c r="I685" s="1">
        <v>4701</v>
      </c>
      <c r="J685" s="1">
        <v>3253</v>
      </c>
      <c r="K685" s="1">
        <v>2595</v>
      </c>
      <c r="L685" s="1">
        <v>3542</v>
      </c>
      <c r="M685" s="1">
        <v>2245</v>
      </c>
      <c r="N685" s="1">
        <v>2275</v>
      </c>
      <c r="O685" s="1">
        <v>5510</v>
      </c>
      <c r="P685" s="1">
        <v>5787</v>
      </c>
      <c r="Q685" s="1">
        <v>6136</v>
      </c>
      <c r="R685" s="1">
        <v>3579</v>
      </c>
      <c r="S685" s="1">
        <v>3784</v>
      </c>
      <c r="T685" s="1">
        <v>4250</v>
      </c>
      <c r="U685" s="1">
        <v>3372</v>
      </c>
      <c r="V685" s="1">
        <v>4518</v>
      </c>
      <c r="W685" s="1">
        <v>1559</v>
      </c>
      <c r="X685" s="1">
        <v>5560</v>
      </c>
      <c r="Y685" s="1">
        <v>1579</v>
      </c>
      <c r="Z685" s="1">
        <v>2742</v>
      </c>
      <c r="AA685" s="1">
        <v>1858</v>
      </c>
      <c r="AB685" s="1">
        <v>4662</v>
      </c>
      <c r="AC685" s="1">
        <v>3226</v>
      </c>
      <c r="AD685" s="1">
        <v>4430</v>
      </c>
      <c r="AE685" s="1">
        <v>2351</v>
      </c>
      <c r="AF685" s="1">
        <v>4259</v>
      </c>
      <c r="AG685" s="1">
        <v>2655</v>
      </c>
      <c r="AH685" s="1">
        <v>2897</v>
      </c>
      <c r="AI685" s="1">
        <v>2156</v>
      </c>
      <c r="AJ685" s="1">
        <v>2335</v>
      </c>
      <c r="AK685" s="1">
        <v>5914</v>
      </c>
      <c r="AL685" s="1">
        <v>5914</v>
      </c>
      <c r="AM685" s="1">
        <v>3649</v>
      </c>
      <c r="AN685" s="1">
        <v>3649</v>
      </c>
      <c r="AO685" s="1">
        <v>3649</v>
      </c>
      <c r="AP685" s="1">
        <v>3649</v>
      </c>
      <c r="AQ685" s="1">
        <v>3649</v>
      </c>
      <c r="AR685" s="1">
        <v>3649</v>
      </c>
      <c r="AS685" s="1">
        <v>3649</v>
      </c>
      <c r="AT685" s="1">
        <v>3649</v>
      </c>
      <c r="AU685" s="1">
        <v>3649</v>
      </c>
      <c r="AV685" s="1">
        <v>3649</v>
      </c>
      <c r="AW685" s="1">
        <v>3649</v>
      </c>
      <c r="AX685" s="1">
        <v>3649</v>
      </c>
      <c r="BA685" s="21">
        <f t="shared" si="666"/>
        <v>49720</v>
      </c>
      <c r="BB685" s="22">
        <f t="shared" si="667"/>
        <v>4143.333333333333</v>
      </c>
      <c r="BD685" s="7">
        <f t="shared" si="668"/>
        <v>48376</v>
      </c>
      <c r="BE685" s="7">
        <f t="shared" si="669"/>
        <v>-1344</v>
      </c>
      <c r="BF685" s="8">
        <f t="shared" si="670"/>
        <v>-2.7031375703942095E-2</v>
      </c>
      <c r="BG685" s="7">
        <f t="shared" si="671"/>
        <v>4031.3333333333335</v>
      </c>
      <c r="BI685" s="12">
        <f t="shared" si="672"/>
        <v>42657</v>
      </c>
      <c r="BJ685" s="12">
        <f t="shared" si="673"/>
        <v>-5719</v>
      </c>
      <c r="BK685" s="13">
        <f t="shared" si="674"/>
        <v>-0.11821977840251363</v>
      </c>
      <c r="BL685" s="24">
        <f t="shared" si="675"/>
        <v>3292.25</v>
      </c>
      <c r="BM685" s="24">
        <f t="shared" si="676"/>
        <v>4079.75</v>
      </c>
      <c r="BO685" s="17">
        <f t="shared" si="677"/>
        <v>43788</v>
      </c>
      <c r="BP685" s="17">
        <f t="shared" si="678"/>
        <v>1131</v>
      </c>
      <c r="BQ685" s="18">
        <f t="shared" si="679"/>
        <v>2.651381953723897E-2</v>
      </c>
      <c r="BR685" s="25">
        <f t="shared" si="680"/>
        <v>3649</v>
      </c>
    </row>
    <row r="686" spans="1:70">
      <c r="A686" t="s">
        <v>904</v>
      </c>
      <c r="B686">
        <v>470300</v>
      </c>
      <c r="C686" s="1">
        <v>52680</v>
      </c>
      <c r="D686" s="1">
        <v>50892</v>
      </c>
      <c r="E686" s="1">
        <v>56084</v>
      </c>
      <c r="F686" s="1">
        <v>53635</v>
      </c>
      <c r="G686" s="1">
        <v>54383</v>
      </c>
      <c r="H686" s="1">
        <v>54444</v>
      </c>
      <c r="I686" s="1">
        <v>57150</v>
      </c>
      <c r="J686" s="1">
        <v>55609</v>
      </c>
      <c r="K686" s="1">
        <v>56065</v>
      </c>
      <c r="L686" s="1">
        <v>58946</v>
      </c>
      <c r="M686" s="1">
        <v>56865</v>
      </c>
      <c r="N686" s="1">
        <v>59377</v>
      </c>
      <c r="O686" s="1">
        <v>56425</v>
      </c>
      <c r="P686" s="1">
        <v>57978</v>
      </c>
      <c r="Q686" s="1">
        <v>65497</v>
      </c>
      <c r="R686" s="1">
        <v>61950</v>
      </c>
      <c r="S686" s="1">
        <v>65528</v>
      </c>
      <c r="T686" s="1">
        <v>65019</v>
      </c>
      <c r="U686" s="1">
        <v>64544</v>
      </c>
      <c r="V686" s="1">
        <v>68238</v>
      </c>
      <c r="W686" s="1">
        <v>63856</v>
      </c>
      <c r="X686" s="1">
        <v>65586</v>
      </c>
      <c r="Y686" s="1">
        <v>66135</v>
      </c>
      <c r="Z686" s="1">
        <v>64737</v>
      </c>
      <c r="AA686" s="1">
        <v>61940</v>
      </c>
      <c r="AB686" s="1">
        <v>59031</v>
      </c>
      <c r="AC686" s="1">
        <v>67809</v>
      </c>
      <c r="AD686" s="1">
        <v>64086</v>
      </c>
      <c r="AE686" s="1">
        <v>71722</v>
      </c>
      <c r="AF686" s="1">
        <v>65184</v>
      </c>
      <c r="AG686" s="1">
        <v>68670</v>
      </c>
      <c r="AH686" s="1">
        <v>73393</v>
      </c>
      <c r="AI686" s="1">
        <v>70296</v>
      </c>
      <c r="AJ686" s="1">
        <v>42672</v>
      </c>
      <c r="AK686" s="1">
        <v>42672</v>
      </c>
      <c r="AL686" s="1">
        <v>42672</v>
      </c>
      <c r="AM686" s="1">
        <v>60278</v>
      </c>
      <c r="AN686" s="1">
        <v>57448</v>
      </c>
      <c r="AO686" s="1">
        <v>65938</v>
      </c>
      <c r="AP686" s="1">
        <v>62293</v>
      </c>
      <c r="AQ686" s="1">
        <v>69623</v>
      </c>
      <c r="AR686" s="1">
        <v>63263</v>
      </c>
      <c r="AS686" s="1">
        <v>66648</v>
      </c>
      <c r="AT686" s="1">
        <v>71211</v>
      </c>
      <c r="AU686" s="1">
        <v>41528</v>
      </c>
      <c r="AV686" s="1">
        <v>41528</v>
      </c>
      <c r="AW686" s="1">
        <v>41528</v>
      </c>
      <c r="AX686" s="1">
        <v>41528</v>
      </c>
      <c r="BA686" s="21">
        <f t="shared" si="666"/>
        <v>666130</v>
      </c>
      <c r="BB686" s="22">
        <f t="shared" si="667"/>
        <v>55510.833333333336</v>
      </c>
      <c r="BD686" s="7">
        <f t="shared" si="668"/>
        <v>765493</v>
      </c>
      <c r="BE686" s="7">
        <f t="shared" si="669"/>
        <v>99363</v>
      </c>
      <c r="BF686" s="8">
        <f t="shared" si="670"/>
        <v>0.14916457748487533</v>
      </c>
      <c r="BG686" s="7">
        <f t="shared" si="671"/>
        <v>63791.083333333336</v>
      </c>
      <c r="BI686" s="12">
        <f t="shared" si="672"/>
        <v>730147</v>
      </c>
      <c r="BJ686" s="12">
        <f t="shared" si="673"/>
        <v>-35346</v>
      </c>
      <c r="BK686" s="13">
        <f t="shared" si="674"/>
        <v>-4.6174164884590696E-2</v>
      </c>
      <c r="BL686" s="24">
        <f t="shared" si="675"/>
        <v>66479.375</v>
      </c>
      <c r="BM686" s="24">
        <f t="shared" si="676"/>
        <v>49578</v>
      </c>
      <c r="BO686" s="17">
        <f t="shared" si="677"/>
        <v>682814</v>
      </c>
      <c r="BP686" s="17">
        <f t="shared" si="678"/>
        <v>-47333</v>
      </c>
      <c r="BQ686" s="18">
        <f t="shared" si="679"/>
        <v>-6.4826671889359311E-2</v>
      </c>
      <c r="BR686" s="25">
        <f t="shared" si="680"/>
        <v>56901.166666666664</v>
      </c>
    </row>
    <row r="687" spans="1:70">
      <c r="A687" t="s">
        <v>905</v>
      </c>
      <c r="B687">
        <v>470310</v>
      </c>
      <c r="C687" s="1">
        <v>209</v>
      </c>
      <c r="D687" s="1">
        <v>1334</v>
      </c>
      <c r="E687" s="1">
        <v>-318</v>
      </c>
      <c r="F687" s="1">
        <v>1333</v>
      </c>
      <c r="G687" s="1">
        <v>350</v>
      </c>
      <c r="H687" s="1">
        <v>953</v>
      </c>
      <c r="I687" s="1">
        <v>109</v>
      </c>
      <c r="J687" s="1">
        <v>2549</v>
      </c>
      <c r="K687" s="1">
        <v>1705</v>
      </c>
      <c r="L687" s="1">
        <v>737</v>
      </c>
      <c r="M687" s="1">
        <v>639</v>
      </c>
      <c r="N687" s="1">
        <v>1665</v>
      </c>
      <c r="O687" s="1">
        <v>76</v>
      </c>
      <c r="P687" s="1">
        <v>510</v>
      </c>
      <c r="Q687" s="1">
        <v>116</v>
      </c>
      <c r="R687" s="1">
        <v>2799</v>
      </c>
      <c r="S687" s="1">
        <v>3071</v>
      </c>
      <c r="T687" s="1">
        <v>1527</v>
      </c>
      <c r="U687" s="1">
        <v>718</v>
      </c>
      <c r="V687" s="1">
        <v>2009</v>
      </c>
      <c r="W687" s="1">
        <v>352</v>
      </c>
      <c r="X687" s="1">
        <v>409</v>
      </c>
      <c r="Y687" s="1">
        <v>856</v>
      </c>
      <c r="Z687" s="1">
        <v>1768</v>
      </c>
      <c r="AA687" s="1">
        <v>1094</v>
      </c>
      <c r="AB687" s="1">
        <v>720</v>
      </c>
      <c r="AC687" s="1">
        <v>1217</v>
      </c>
      <c r="AD687" s="1">
        <v>320</v>
      </c>
      <c r="AE687" s="1">
        <v>1457</v>
      </c>
      <c r="AF687" s="1">
        <v>505</v>
      </c>
      <c r="AG687" s="1">
        <v>875</v>
      </c>
      <c r="AH687" s="1">
        <v>0</v>
      </c>
      <c r="AI687" s="1">
        <v>363</v>
      </c>
      <c r="AJ687" s="1">
        <v>300</v>
      </c>
      <c r="AK687" s="1">
        <v>300</v>
      </c>
      <c r="AL687" s="1">
        <v>300</v>
      </c>
      <c r="AM687" s="1">
        <v>389</v>
      </c>
      <c r="AN687" s="1">
        <v>389</v>
      </c>
      <c r="AO687" s="1">
        <v>389</v>
      </c>
      <c r="AP687" s="1">
        <v>389</v>
      </c>
      <c r="AQ687" s="1">
        <v>389</v>
      </c>
      <c r="AR687" s="1">
        <v>389</v>
      </c>
      <c r="AS687" s="1">
        <v>389</v>
      </c>
      <c r="AT687" s="1">
        <v>389</v>
      </c>
      <c r="AU687" s="1">
        <v>389</v>
      </c>
      <c r="AV687" s="1">
        <v>389</v>
      </c>
      <c r="AW687" s="1">
        <v>389</v>
      </c>
      <c r="AX687" s="1">
        <v>390</v>
      </c>
      <c r="BA687" s="21">
        <f t="shared" si="666"/>
        <v>11265</v>
      </c>
      <c r="BB687" s="22">
        <f t="shared" si="667"/>
        <v>938.75</v>
      </c>
      <c r="BD687" s="7">
        <f t="shared" si="668"/>
        <v>14211</v>
      </c>
      <c r="BE687" s="7">
        <f t="shared" si="669"/>
        <v>2946</v>
      </c>
      <c r="BF687" s="8">
        <f t="shared" si="670"/>
        <v>0.26151797603195748</v>
      </c>
      <c r="BG687" s="7">
        <f t="shared" si="671"/>
        <v>1184.25</v>
      </c>
      <c r="BI687" s="12">
        <f t="shared" si="672"/>
        <v>7451</v>
      </c>
      <c r="BJ687" s="12">
        <f t="shared" si="673"/>
        <v>-6760</v>
      </c>
      <c r="BK687" s="13">
        <f t="shared" si="674"/>
        <v>-0.47568784744212234</v>
      </c>
      <c r="BL687" s="24">
        <f t="shared" si="675"/>
        <v>773.5</v>
      </c>
      <c r="BM687" s="24">
        <f t="shared" si="676"/>
        <v>315.75</v>
      </c>
      <c r="BO687" s="17">
        <f t="shared" si="677"/>
        <v>4669</v>
      </c>
      <c r="BP687" s="17">
        <f t="shared" si="678"/>
        <v>-2782</v>
      </c>
      <c r="BQ687" s="18">
        <f t="shared" si="679"/>
        <v>-0.37337270165078518</v>
      </c>
      <c r="BR687" s="25">
        <f t="shared" si="680"/>
        <v>389.08333333333331</v>
      </c>
    </row>
    <row r="688" spans="1:70">
      <c r="A688" t="s">
        <v>906</v>
      </c>
      <c r="B688">
        <v>470315</v>
      </c>
      <c r="C688" s="1">
        <v>0</v>
      </c>
      <c r="D688" s="1">
        <v>945</v>
      </c>
      <c r="E688" s="1">
        <v>3191</v>
      </c>
      <c r="F688" s="1">
        <v>1760</v>
      </c>
      <c r="G688" s="1">
        <v>1555</v>
      </c>
      <c r="H688" s="1">
        <v>0</v>
      </c>
      <c r="I688" s="1">
        <v>2725</v>
      </c>
      <c r="J688" s="1">
        <v>6168</v>
      </c>
      <c r="K688" s="1">
        <v>-930</v>
      </c>
      <c r="L688" s="1">
        <v>2300</v>
      </c>
      <c r="M688" s="1">
        <v>1845</v>
      </c>
      <c r="N688" s="1">
        <v>0</v>
      </c>
      <c r="O688" s="1">
        <v>3296</v>
      </c>
      <c r="P688" s="1">
        <v>1791</v>
      </c>
      <c r="Q688" s="1">
        <v>3342</v>
      </c>
      <c r="R688" s="1">
        <v>2811</v>
      </c>
      <c r="S688" s="1">
        <v>2836</v>
      </c>
      <c r="T688" s="1">
        <v>0</v>
      </c>
      <c r="U688" s="1">
        <v>1659</v>
      </c>
      <c r="V688" s="1">
        <v>3633</v>
      </c>
      <c r="W688" s="1">
        <v>652</v>
      </c>
      <c r="X688" s="1">
        <v>4019</v>
      </c>
      <c r="Y688" s="1">
        <v>0</v>
      </c>
      <c r="Z688" s="1">
        <v>1553</v>
      </c>
      <c r="AA688" s="1">
        <v>3538</v>
      </c>
      <c r="AB688" s="1">
        <v>0</v>
      </c>
      <c r="AC688" s="1">
        <v>1707</v>
      </c>
      <c r="AD688" s="1">
        <v>5783</v>
      </c>
      <c r="AE688" s="1">
        <v>1809</v>
      </c>
      <c r="AF688" s="1">
        <v>0</v>
      </c>
      <c r="AG688" s="1">
        <v>6722</v>
      </c>
      <c r="AH688" s="1">
        <v>2697</v>
      </c>
      <c r="AI688" s="1">
        <v>2907</v>
      </c>
      <c r="AJ688" s="1">
        <v>2500</v>
      </c>
      <c r="AK688" s="1">
        <v>2500</v>
      </c>
      <c r="AL688" s="1">
        <v>2500</v>
      </c>
      <c r="AM688" s="1">
        <v>2694</v>
      </c>
      <c r="AN688" s="1">
        <v>2694</v>
      </c>
      <c r="AO688" s="1">
        <v>2694</v>
      </c>
      <c r="AP688" s="1">
        <v>2694</v>
      </c>
      <c r="AQ688" s="1">
        <v>2694</v>
      </c>
      <c r="AR688" s="1">
        <v>2694</v>
      </c>
      <c r="AS688" s="1">
        <v>2694</v>
      </c>
      <c r="AT688" s="1">
        <v>2694</v>
      </c>
      <c r="AU688" s="1">
        <v>2694</v>
      </c>
      <c r="AV688" s="1">
        <v>2694</v>
      </c>
      <c r="AW688" s="1">
        <v>2694</v>
      </c>
      <c r="AX688" s="1">
        <v>2701</v>
      </c>
      <c r="BA688" s="21">
        <f t="shared" si="666"/>
        <v>19559</v>
      </c>
      <c r="BB688" s="22">
        <f t="shared" si="667"/>
        <v>1629.9166666666667</v>
      </c>
      <c r="BD688" s="7">
        <f t="shared" si="668"/>
        <v>25592</v>
      </c>
      <c r="BE688" s="7">
        <f t="shared" si="669"/>
        <v>6033</v>
      </c>
      <c r="BF688" s="8">
        <f t="shared" si="670"/>
        <v>0.30845135231862564</v>
      </c>
      <c r="BG688" s="7">
        <f t="shared" si="671"/>
        <v>2132.6666666666665</v>
      </c>
      <c r="BI688" s="12">
        <f t="shared" si="672"/>
        <v>32663</v>
      </c>
      <c r="BJ688" s="12">
        <f t="shared" si="673"/>
        <v>7071</v>
      </c>
      <c r="BK688" s="13">
        <f t="shared" si="674"/>
        <v>0.27629728040012513</v>
      </c>
      <c r="BL688" s="24">
        <f t="shared" si="675"/>
        <v>2782</v>
      </c>
      <c r="BM688" s="24">
        <f t="shared" si="676"/>
        <v>2601.75</v>
      </c>
      <c r="BO688" s="17">
        <f t="shared" si="677"/>
        <v>32335</v>
      </c>
      <c r="BP688" s="17">
        <f t="shared" si="678"/>
        <v>-328</v>
      </c>
      <c r="BQ688" s="18">
        <f t="shared" si="679"/>
        <v>-1.004194348345222E-2</v>
      </c>
      <c r="BR688" s="25">
        <f t="shared" si="680"/>
        <v>2694.5833333333335</v>
      </c>
    </row>
    <row r="689" spans="1:70">
      <c r="A689" t="s">
        <v>907</v>
      </c>
      <c r="B689">
        <v>470320</v>
      </c>
      <c r="C689" s="1">
        <v>76</v>
      </c>
      <c r="D689" s="1">
        <v>75</v>
      </c>
      <c r="E689" s="1">
        <v>164</v>
      </c>
      <c r="F689" s="1">
        <v>141</v>
      </c>
      <c r="G689" s="1">
        <v>98</v>
      </c>
      <c r="H689" s="1">
        <v>83</v>
      </c>
      <c r="I689" s="1">
        <v>242</v>
      </c>
      <c r="J689" s="1">
        <v>225</v>
      </c>
      <c r="K689" s="1">
        <v>109</v>
      </c>
      <c r="L689" s="1">
        <v>68</v>
      </c>
      <c r="M689" s="1">
        <v>97</v>
      </c>
      <c r="N689" s="1">
        <v>217</v>
      </c>
      <c r="O689" s="1">
        <v>118</v>
      </c>
      <c r="P689" s="1">
        <v>57</v>
      </c>
      <c r="Q689" s="1">
        <v>664</v>
      </c>
      <c r="R689" s="1">
        <v>137</v>
      </c>
      <c r="S689" s="1">
        <v>172</v>
      </c>
      <c r="T689" s="1">
        <v>55</v>
      </c>
      <c r="U689" s="1">
        <v>1364</v>
      </c>
      <c r="V689" s="1">
        <v>136</v>
      </c>
      <c r="W689" s="1">
        <v>55</v>
      </c>
      <c r="X689" s="1">
        <v>105</v>
      </c>
      <c r="Y689" s="1">
        <v>591</v>
      </c>
      <c r="Z689" s="1">
        <v>181</v>
      </c>
      <c r="AA689" s="1">
        <v>528</v>
      </c>
      <c r="AB689" s="1">
        <v>2140</v>
      </c>
      <c r="AC689" s="1">
        <v>129</v>
      </c>
      <c r="AD689" s="1">
        <v>170</v>
      </c>
      <c r="AE689" s="1">
        <v>173</v>
      </c>
      <c r="AF689" s="1">
        <v>125</v>
      </c>
      <c r="AG689" s="1">
        <v>55</v>
      </c>
      <c r="AH689" s="1">
        <v>476</v>
      </c>
      <c r="AI689" s="1">
        <v>95</v>
      </c>
      <c r="AJ689" s="1">
        <v>565</v>
      </c>
      <c r="AK689" s="1">
        <v>565</v>
      </c>
      <c r="AL689" s="1">
        <v>565</v>
      </c>
      <c r="AM689" s="1">
        <v>555</v>
      </c>
      <c r="AN689" s="1">
        <v>599</v>
      </c>
      <c r="AO689" s="1">
        <v>605</v>
      </c>
      <c r="AP689" s="1">
        <v>605</v>
      </c>
      <c r="AQ689" s="1">
        <v>625</v>
      </c>
      <c r="AR689" s="1">
        <v>605</v>
      </c>
      <c r="AS689" s="1">
        <v>605</v>
      </c>
      <c r="AT689" s="1">
        <v>550</v>
      </c>
      <c r="AU689" s="1">
        <v>550</v>
      </c>
      <c r="AV689" s="1">
        <v>550</v>
      </c>
      <c r="AW689" s="1">
        <v>550</v>
      </c>
      <c r="AX689" s="1">
        <v>550</v>
      </c>
      <c r="BA689" s="21">
        <f t="shared" si="666"/>
        <v>1595</v>
      </c>
      <c r="BB689" s="22">
        <f t="shared" si="667"/>
        <v>132.91666666666666</v>
      </c>
      <c r="BD689" s="7">
        <f t="shared" si="668"/>
        <v>3635</v>
      </c>
      <c r="BE689" s="7">
        <f t="shared" si="669"/>
        <v>2040</v>
      </c>
      <c r="BF689" s="8">
        <f t="shared" si="670"/>
        <v>1.2789968652037618</v>
      </c>
      <c r="BG689" s="7">
        <f t="shared" si="671"/>
        <v>302.91666666666669</v>
      </c>
      <c r="BI689" s="12">
        <f t="shared" si="672"/>
        <v>5586</v>
      </c>
      <c r="BJ689" s="12">
        <f t="shared" si="673"/>
        <v>1951</v>
      </c>
      <c r="BK689" s="13">
        <f t="shared" si="674"/>
        <v>0.53672627235213199</v>
      </c>
      <c r="BL689" s="24">
        <f t="shared" si="675"/>
        <v>474.5</v>
      </c>
      <c r="BM689" s="24">
        <f t="shared" si="676"/>
        <v>447.5</v>
      </c>
      <c r="BO689" s="17">
        <f t="shared" si="677"/>
        <v>6949</v>
      </c>
      <c r="BP689" s="17">
        <f t="shared" si="678"/>
        <v>1363</v>
      </c>
      <c r="BQ689" s="18">
        <f t="shared" si="679"/>
        <v>0.24400286430361628</v>
      </c>
      <c r="BR689" s="25">
        <f t="shared" si="680"/>
        <v>579.08333333333337</v>
      </c>
    </row>
    <row r="690" spans="1:70">
      <c r="A690" t="s">
        <v>908</v>
      </c>
      <c r="B690">
        <v>470330</v>
      </c>
      <c r="C690" s="1">
        <v>1766</v>
      </c>
      <c r="D690" s="1">
        <v>1759</v>
      </c>
      <c r="E690" s="1">
        <v>1748</v>
      </c>
      <c r="F690" s="1">
        <v>3120</v>
      </c>
      <c r="G690" s="1">
        <v>510</v>
      </c>
      <c r="H690" s="1">
        <v>1170</v>
      </c>
      <c r="I690" s="1">
        <v>2266</v>
      </c>
      <c r="J690" s="1">
        <v>1679</v>
      </c>
      <c r="K690" s="1">
        <v>1543</v>
      </c>
      <c r="L690" s="1">
        <v>2281</v>
      </c>
      <c r="M690" s="1">
        <v>2001</v>
      </c>
      <c r="N690" s="1">
        <v>1650</v>
      </c>
      <c r="O690" s="1">
        <v>2875</v>
      </c>
      <c r="P690" s="1">
        <v>3231</v>
      </c>
      <c r="Q690" s="1">
        <v>3056</v>
      </c>
      <c r="R690" s="1">
        <v>944</v>
      </c>
      <c r="S690" s="1">
        <v>1905</v>
      </c>
      <c r="T690" s="1">
        <v>2358</v>
      </c>
      <c r="U690" s="1">
        <v>1858</v>
      </c>
      <c r="V690" s="1">
        <v>2583</v>
      </c>
      <c r="W690" s="1">
        <v>2349</v>
      </c>
      <c r="X690" s="1">
        <v>1071</v>
      </c>
      <c r="Y690" s="1">
        <v>993</v>
      </c>
      <c r="Z690" s="1">
        <v>1438</v>
      </c>
      <c r="AA690" s="1">
        <v>539</v>
      </c>
      <c r="AB690" s="1">
        <v>1421</v>
      </c>
      <c r="AC690" s="1">
        <v>2519</v>
      </c>
      <c r="AD690" s="1">
        <v>1461</v>
      </c>
      <c r="AE690" s="1">
        <v>730</v>
      </c>
      <c r="AF690" s="1">
        <v>1879</v>
      </c>
      <c r="AG690" s="1">
        <v>2112</v>
      </c>
      <c r="AH690" s="1">
        <v>1492</v>
      </c>
      <c r="AI690" s="1">
        <v>1123</v>
      </c>
      <c r="AJ690" s="1">
        <v>1084</v>
      </c>
      <c r="AK690" s="1">
        <v>1084</v>
      </c>
      <c r="AL690" s="1">
        <v>1084</v>
      </c>
      <c r="AM690" s="1">
        <v>1168</v>
      </c>
      <c r="AN690" s="1">
        <v>1168</v>
      </c>
      <c r="AO690" s="1">
        <v>1168</v>
      </c>
      <c r="AP690" s="1">
        <v>1168</v>
      </c>
      <c r="AQ690" s="1">
        <v>1168</v>
      </c>
      <c r="AR690" s="1">
        <v>1168</v>
      </c>
      <c r="AS690" s="1">
        <v>1168</v>
      </c>
      <c r="AT690" s="1">
        <v>1168</v>
      </c>
      <c r="AU690" s="1">
        <v>1168</v>
      </c>
      <c r="AV690" s="1">
        <v>1168</v>
      </c>
      <c r="AW690" s="1">
        <v>1168</v>
      </c>
      <c r="AX690" s="1">
        <v>1168</v>
      </c>
      <c r="BA690" s="21">
        <f t="shared" si="666"/>
        <v>21493</v>
      </c>
      <c r="BB690" s="22">
        <f t="shared" si="667"/>
        <v>1791.0833333333333</v>
      </c>
      <c r="BD690" s="7">
        <f t="shared" si="668"/>
        <v>24661</v>
      </c>
      <c r="BE690" s="7">
        <f t="shared" si="669"/>
        <v>3168</v>
      </c>
      <c r="BF690" s="8">
        <f t="shared" si="670"/>
        <v>0.1473968268738659</v>
      </c>
      <c r="BG690" s="7">
        <f t="shared" si="671"/>
        <v>2055.0833333333335</v>
      </c>
      <c r="BI690" s="12">
        <f t="shared" si="672"/>
        <v>16528</v>
      </c>
      <c r="BJ690" s="12">
        <f t="shared" si="673"/>
        <v>-8133</v>
      </c>
      <c r="BK690" s="13">
        <f t="shared" si="674"/>
        <v>-0.3297919792384737</v>
      </c>
      <c r="BL690" s="24">
        <f t="shared" si="675"/>
        <v>1519.125</v>
      </c>
      <c r="BM690" s="24">
        <f t="shared" si="676"/>
        <v>1093.75</v>
      </c>
      <c r="BO690" s="17">
        <f t="shared" si="677"/>
        <v>14016</v>
      </c>
      <c r="BP690" s="17">
        <f t="shared" si="678"/>
        <v>-2512</v>
      </c>
      <c r="BQ690" s="18">
        <f t="shared" si="679"/>
        <v>-0.15198451113262346</v>
      </c>
      <c r="BR690" s="25">
        <f t="shared" si="680"/>
        <v>1168</v>
      </c>
    </row>
    <row r="691" spans="1:70">
      <c r="A691" t="s">
        <v>909</v>
      </c>
      <c r="B691">
        <v>470340</v>
      </c>
      <c r="C691" s="1">
        <v>0</v>
      </c>
      <c r="D691" s="1">
        <v>25</v>
      </c>
      <c r="E691" s="1">
        <v>653</v>
      </c>
      <c r="F691" s="1">
        <v>1000</v>
      </c>
      <c r="G691" s="1">
        <v>5200</v>
      </c>
      <c r="H691" s="1">
        <v>0</v>
      </c>
      <c r="I691" s="1">
        <v>0</v>
      </c>
      <c r="J691" s="1">
        <v>0</v>
      </c>
      <c r="K691" s="1">
        <v>1200</v>
      </c>
      <c r="L691" s="1">
        <v>5476</v>
      </c>
      <c r="M691" s="1">
        <v>4167</v>
      </c>
      <c r="N691" s="1">
        <v>5174</v>
      </c>
      <c r="O691" s="1">
        <v>4167</v>
      </c>
      <c r="P691" s="1">
        <v>4167</v>
      </c>
      <c r="Q691" s="1">
        <v>4167</v>
      </c>
      <c r="R691" s="1">
        <v>4167</v>
      </c>
      <c r="S691" s="1">
        <v>5167</v>
      </c>
      <c r="T691" s="1">
        <v>4167</v>
      </c>
      <c r="U691" s="1">
        <v>9417</v>
      </c>
      <c r="V691" s="1">
        <v>5367</v>
      </c>
      <c r="W691" s="1">
        <v>4167</v>
      </c>
      <c r="X691" s="1">
        <v>3050</v>
      </c>
      <c r="Y691" s="1">
        <v>0</v>
      </c>
      <c r="Z691" s="1">
        <v>0</v>
      </c>
      <c r="AA691" s="1">
        <v>0</v>
      </c>
      <c r="AB691" s="1">
        <v>0</v>
      </c>
      <c r="AC691" s="1">
        <v>49</v>
      </c>
      <c r="AD691" s="1">
        <v>0</v>
      </c>
      <c r="AE691" s="1">
        <v>9417</v>
      </c>
      <c r="AF691" s="1">
        <v>4167</v>
      </c>
      <c r="AG691" s="1">
        <v>4167</v>
      </c>
      <c r="AH691" s="1">
        <v>4167</v>
      </c>
      <c r="AI691" s="1">
        <v>4896</v>
      </c>
      <c r="AJ691" s="1">
        <v>4200</v>
      </c>
      <c r="AK691" s="1">
        <v>4200</v>
      </c>
      <c r="AL691" s="1">
        <v>4200</v>
      </c>
      <c r="AM691" s="1">
        <v>4087</v>
      </c>
      <c r="AN691" s="1">
        <v>4087</v>
      </c>
      <c r="AO691" s="1">
        <v>4087</v>
      </c>
      <c r="AP691" s="1">
        <v>4087</v>
      </c>
      <c r="AQ691" s="1">
        <v>4087</v>
      </c>
      <c r="AR691" s="1">
        <v>4087</v>
      </c>
      <c r="AS691" s="1">
        <v>4087</v>
      </c>
      <c r="AT691" s="1">
        <v>4087</v>
      </c>
      <c r="AU691" s="1">
        <v>4087</v>
      </c>
      <c r="AV691" s="1">
        <v>4087</v>
      </c>
      <c r="AW691" s="1">
        <v>4087</v>
      </c>
      <c r="AX691" s="1">
        <v>4087</v>
      </c>
      <c r="BA691" s="21">
        <f t="shared" si="666"/>
        <v>22895</v>
      </c>
      <c r="BB691" s="22">
        <f t="shared" si="667"/>
        <v>1907.9166666666667</v>
      </c>
      <c r="BD691" s="7">
        <f t="shared" si="668"/>
        <v>48003</v>
      </c>
      <c r="BE691" s="7">
        <f t="shared" si="669"/>
        <v>25108</v>
      </c>
      <c r="BF691" s="8">
        <f t="shared" si="670"/>
        <v>1.0966586590958727</v>
      </c>
      <c r="BG691" s="7">
        <f t="shared" si="671"/>
        <v>4000.25</v>
      </c>
      <c r="BI691" s="12">
        <f t="shared" si="672"/>
        <v>39463</v>
      </c>
      <c r="BJ691" s="12">
        <f t="shared" si="673"/>
        <v>-8540</v>
      </c>
      <c r="BK691" s="13">
        <f t="shared" si="674"/>
        <v>-0.17790554756994359</v>
      </c>
      <c r="BL691" s="24">
        <f t="shared" si="675"/>
        <v>2745.875</v>
      </c>
      <c r="BM691" s="24">
        <f t="shared" si="676"/>
        <v>4374</v>
      </c>
      <c r="BO691" s="17">
        <f t="shared" si="677"/>
        <v>49044</v>
      </c>
      <c r="BP691" s="17">
        <f t="shared" si="678"/>
        <v>9581</v>
      </c>
      <c r="BQ691" s="18">
        <f t="shared" si="679"/>
        <v>0.24278438030560268</v>
      </c>
      <c r="BR691" s="25">
        <f t="shared" si="680"/>
        <v>4087</v>
      </c>
    </row>
    <row r="692" spans="1:70">
      <c r="A692" t="s">
        <v>910</v>
      </c>
      <c r="B692">
        <v>470345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580</v>
      </c>
      <c r="K692" s="1">
        <v>0</v>
      </c>
      <c r="L692" s="1">
        <v>0</v>
      </c>
      <c r="M692" s="1">
        <v>0</v>
      </c>
      <c r="N692" s="1">
        <v>750</v>
      </c>
      <c r="O692" s="1">
        <v>1125</v>
      </c>
      <c r="P692" s="1">
        <v>1125</v>
      </c>
      <c r="Q692" s="1">
        <v>1125</v>
      </c>
      <c r="R692" s="1">
        <v>2808</v>
      </c>
      <c r="S692" s="1">
        <v>2551</v>
      </c>
      <c r="T692" s="1">
        <v>1125</v>
      </c>
      <c r="U692" s="1">
        <v>0</v>
      </c>
      <c r="V692" s="1">
        <v>1125</v>
      </c>
      <c r="W692" s="1">
        <v>2250</v>
      </c>
      <c r="X692" s="1">
        <v>3052</v>
      </c>
      <c r="Y692" s="1">
        <v>1125</v>
      </c>
      <c r="Z692" s="1">
        <v>1000</v>
      </c>
      <c r="AA692" s="1">
        <v>2250</v>
      </c>
      <c r="AB692" s="1">
        <v>1145</v>
      </c>
      <c r="AC692" s="1">
        <v>3125</v>
      </c>
      <c r="AD692" s="1">
        <v>2303</v>
      </c>
      <c r="AE692" s="1">
        <v>2204</v>
      </c>
      <c r="AF692" s="1">
        <v>2192</v>
      </c>
      <c r="AG692" s="1">
        <v>46</v>
      </c>
      <c r="AH692" s="1">
        <v>567</v>
      </c>
      <c r="AI692" s="1">
        <v>2830</v>
      </c>
      <c r="AJ692" s="1">
        <v>0</v>
      </c>
      <c r="AK692" s="1">
        <v>0</v>
      </c>
      <c r="AL692" s="1">
        <v>0</v>
      </c>
      <c r="AM692" s="1">
        <v>38400</v>
      </c>
      <c r="AN692" s="1">
        <v>38400</v>
      </c>
      <c r="AO692" s="1">
        <v>38400</v>
      </c>
      <c r="AP692" s="1">
        <v>38400</v>
      </c>
      <c r="AQ692" s="1">
        <v>38400</v>
      </c>
      <c r="AR692" s="1">
        <v>38400</v>
      </c>
      <c r="AS692" s="1">
        <v>38400</v>
      </c>
      <c r="AT692" s="1">
        <v>38400</v>
      </c>
      <c r="AU692" s="1">
        <v>38400</v>
      </c>
      <c r="AV692" s="1">
        <v>38400</v>
      </c>
      <c r="AW692" s="1">
        <v>38400</v>
      </c>
      <c r="AX692" s="1">
        <v>38400</v>
      </c>
      <c r="BA692" s="21">
        <f t="shared" si="666"/>
        <v>1330</v>
      </c>
      <c r="BB692" s="22">
        <f t="shared" si="667"/>
        <v>110.83333333333333</v>
      </c>
      <c r="BD692" s="7">
        <f t="shared" si="668"/>
        <v>18411</v>
      </c>
      <c r="BE692" s="7">
        <f t="shared" si="669"/>
        <v>17081</v>
      </c>
      <c r="BF692" s="8">
        <f t="shared" si="670"/>
        <v>12.842857142857143</v>
      </c>
      <c r="BG692" s="7">
        <f t="shared" si="671"/>
        <v>1534.25</v>
      </c>
      <c r="BI692" s="12">
        <f t="shared" si="672"/>
        <v>16662</v>
      </c>
      <c r="BJ692" s="12">
        <f t="shared" si="673"/>
        <v>-1749</v>
      </c>
      <c r="BK692" s="13">
        <f t="shared" si="674"/>
        <v>-9.4997555809027245E-2</v>
      </c>
      <c r="BL692" s="24">
        <f t="shared" si="675"/>
        <v>1729</v>
      </c>
      <c r="BM692" s="24">
        <f t="shared" si="676"/>
        <v>707.5</v>
      </c>
      <c r="BO692" s="17">
        <f t="shared" si="677"/>
        <v>460800</v>
      </c>
      <c r="BP692" s="17">
        <f t="shared" si="678"/>
        <v>444138</v>
      </c>
      <c r="BQ692" s="18">
        <f t="shared" si="679"/>
        <v>26.655743608210297</v>
      </c>
      <c r="BR692" s="25">
        <f t="shared" si="680"/>
        <v>38400</v>
      </c>
    </row>
    <row r="693" spans="1:70">
      <c r="A693" t="s">
        <v>911</v>
      </c>
      <c r="B693">
        <v>470350</v>
      </c>
      <c r="C693" s="1">
        <v>15390</v>
      </c>
      <c r="D693" s="1">
        <v>15390</v>
      </c>
      <c r="E693" s="1">
        <v>15390</v>
      </c>
      <c r="F693" s="1">
        <v>15000</v>
      </c>
      <c r="G693" s="1">
        <v>15390</v>
      </c>
      <c r="H693" s="1">
        <v>15390</v>
      </c>
      <c r="I693" s="1">
        <v>15390</v>
      </c>
      <c r="J693" s="1">
        <v>15780</v>
      </c>
      <c r="K693" s="1">
        <v>15390</v>
      </c>
      <c r="L693" s="1">
        <v>15390</v>
      </c>
      <c r="M693" s="1">
        <v>15390</v>
      </c>
      <c r="N693" s="1">
        <v>15390</v>
      </c>
      <c r="O693" s="1">
        <v>16441</v>
      </c>
      <c r="P693" s="1">
        <v>14747</v>
      </c>
      <c r="Q693" s="1">
        <v>17844</v>
      </c>
      <c r="R693" s="1">
        <v>16344</v>
      </c>
      <c r="S693" s="1">
        <v>16344</v>
      </c>
      <c r="T693" s="1">
        <v>16344</v>
      </c>
      <c r="U693" s="1">
        <v>16344</v>
      </c>
      <c r="V693" s="1">
        <v>16344</v>
      </c>
      <c r="W693" s="1">
        <v>16344</v>
      </c>
      <c r="X693" s="1">
        <v>16344</v>
      </c>
      <c r="Y693" s="1">
        <v>16344</v>
      </c>
      <c r="Z693" s="1">
        <v>16344</v>
      </c>
      <c r="AA693" s="1">
        <v>14173</v>
      </c>
      <c r="AB693" s="1">
        <v>14173</v>
      </c>
      <c r="AC693" s="1">
        <v>14173</v>
      </c>
      <c r="AD693" s="1">
        <v>14448</v>
      </c>
      <c r="AE693" s="1">
        <v>14173</v>
      </c>
      <c r="AF693" s="1">
        <v>14173</v>
      </c>
      <c r="AG693" s="1">
        <v>14488</v>
      </c>
      <c r="AH693" s="1">
        <v>14173</v>
      </c>
      <c r="AI693" s="1">
        <v>14173</v>
      </c>
      <c r="AJ693" s="1">
        <v>14000</v>
      </c>
      <c r="AK693" s="1">
        <v>14000</v>
      </c>
      <c r="AL693" s="1">
        <v>14000</v>
      </c>
      <c r="AM693" s="1">
        <v>13868</v>
      </c>
      <c r="AN693" s="1">
        <v>13868</v>
      </c>
      <c r="AO693" s="1">
        <v>13868</v>
      </c>
      <c r="AP693" s="1">
        <v>13868</v>
      </c>
      <c r="AQ693" s="1">
        <v>13868</v>
      </c>
      <c r="AR693" s="1">
        <v>13868</v>
      </c>
      <c r="AS693" s="1">
        <v>13868</v>
      </c>
      <c r="AT693" s="1">
        <v>13868</v>
      </c>
      <c r="AU693" s="1">
        <v>13868</v>
      </c>
      <c r="AV693" s="1">
        <v>13868</v>
      </c>
      <c r="AW693" s="1">
        <v>13868</v>
      </c>
      <c r="AX693" s="1">
        <v>13868</v>
      </c>
      <c r="BA693" s="21">
        <f t="shared" si="666"/>
        <v>184680</v>
      </c>
      <c r="BB693" s="22">
        <f t="shared" si="667"/>
        <v>15390</v>
      </c>
      <c r="BD693" s="7">
        <f t="shared" si="668"/>
        <v>196128</v>
      </c>
      <c r="BE693" s="7">
        <f t="shared" si="669"/>
        <v>11448</v>
      </c>
      <c r="BF693" s="8">
        <f t="shared" si="670"/>
        <v>6.1988304093567148E-2</v>
      </c>
      <c r="BG693" s="7">
        <f t="shared" si="671"/>
        <v>16344</v>
      </c>
      <c r="BI693" s="12">
        <f t="shared" si="672"/>
        <v>170147</v>
      </c>
      <c r="BJ693" s="12">
        <f t="shared" si="673"/>
        <v>-25981</v>
      </c>
      <c r="BK693" s="13">
        <f t="shared" si="674"/>
        <v>-0.13246961168216675</v>
      </c>
      <c r="BL693" s="24">
        <f t="shared" si="675"/>
        <v>14246.75</v>
      </c>
      <c r="BM693" s="24">
        <f t="shared" si="676"/>
        <v>14043.25</v>
      </c>
      <c r="BO693" s="17">
        <f t="shared" si="677"/>
        <v>166416</v>
      </c>
      <c r="BP693" s="17">
        <f t="shared" si="678"/>
        <v>-3731</v>
      </c>
      <c r="BQ693" s="18">
        <f t="shared" si="679"/>
        <v>-2.1928097468659424E-2</v>
      </c>
      <c r="BR693" s="25">
        <f t="shared" si="680"/>
        <v>13868</v>
      </c>
    </row>
    <row r="694" spans="1:70">
      <c r="A694" t="s">
        <v>11</v>
      </c>
      <c r="B694" t="s">
        <v>12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BA694" s="21"/>
      <c r="BB694" s="22"/>
      <c r="BD694" s="7"/>
      <c r="BE694" s="7"/>
      <c r="BF694" s="8"/>
      <c r="BG694" s="7"/>
      <c r="BI694" s="12"/>
      <c r="BJ694" s="12"/>
      <c r="BK694" s="13"/>
      <c r="BL694" s="24"/>
      <c r="BM694" s="24"/>
      <c r="BO694" s="17"/>
      <c r="BP694" s="17"/>
      <c r="BQ694" s="18"/>
      <c r="BR694" s="25"/>
    </row>
    <row r="695" spans="1:70">
      <c r="A695" t="s">
        <v>912</v>
      </c>
      <c r="C695" s="1">
        <v>284903</v>
      </c>
      <c r="D695" s="1">
        <v>159069</v>
      </c>
      <c r="E695" s="1">
        <v>154562</v>
      </c>
      <c r="F695" s="1">
        <v>83377</v>
      </c>
      <c r="G695" s="1">
        <v>121024</v>
      </c>
      <c r="H695" s="1">
        <v>180052</v>
      </c>
      <c r="I695" s="1">
        <v>182333</v>
      </c>
      <c r="J695" s="1">
        <v>159559</v>
      </c>
      <c r="K695" s="1">
        <v>217974</v>
      </c>
      <c r="L695" s="1">
        <v>172397</v>
      </c>
      <c r="M695" s="1">
        <v>167591</v>
      </c>
      <c r="N695" s="1">
        <v>267609</v>
      </c>
      <c r="O695" s="1">
        <v>298054</v>
      </c>
      <c r="P695" s="1">
        <v>324165</v>
      </c>
      <c r="Q695" s="1">
        <v>283357</v>
      </c>
      <c r="R695" s="1">
        <v>242826</v>
      </c>
      <c r="S695" s="1">
        <v>266573</v>
      </c>
      <c r="T695" s="1">
        <v>129380</v>
      </c>
      <c r="U695" s="1">
        <v>210042</v>
      </c>
      <c r="V695" s="1">
        <v>191675</v>
      </c>
      <c r="W695" s="1">
        <v>215083</v>
      </c>
      <c r="X695" s="1">
        <v>145423</v>
      </c>
      <c r="Y695" s="1">
        <v>123441</v>
      </c>
      <c r="Z695" s="1">
        <v>178007</v>
      </c>
      <c r="AA695" s="1">
        <v>131946</v>
      </c>
      <c r="AB695" s="1">
        <v>170337</v>
      </c>
      <c r="AC695" s="1">
        <v>218245</v>
      </c>
      <c r="AD695" s="1">
        <v>195704</v>
      </c>
      <c r="AE695" s="1">
        <v>211826</v>
      </c>
      <c r="AF695" s="1">
        <v>328461</v>
      </c>
      <c r="AG695" s="1">
        <v>377351</v>
      </c>
      <c r="AH695" s="1">
        <v>273318</v>
      </c>
      <c r="AI695" s="1">
        <v>239858</v>
      </c>
      <c r="AJ695" s="1">
        <v>205441</v>
      </c>
      <c r="AK695" s="1">
        <v>209037</v>
      </c>
      <c r="AL695" s="1">
        <v>209257</v>
      </c>
      <c r="AM695" s="50">
        <v>236104</v>
      </c>
      <c r="AN695" s="1">
        <v>253363</v>
      </c>
      <c r="AO695" s="1">
        <v>261649</v>
      </c>
      <c r="AP695" s="1">
        <v>246091</v>
      </c>
      <c r="AQ695" s="1">
        <v>296947</v>
      </c>
      <c r="AR695" s="1">
        <v>315273</v>
      </c>
      <c r="AS695" s="1">
        <v>292892</v>
      </c>
      <c r="AT695" s="1">
        <v>263525</v>
      </c>
      <c r="AU695" s="1">
        <v>233860</v>
      </c>
      <c r="AV695" s="1">
        <v>234080</v>
      </c>
      <c r="AW695" s="1">
        <v>234104</v>
      </c>
      <c r="AX695" s="1">
        <v>248360</v>
      </c>
      <c r="BA695" s="21">
        <f>SUM(C695:N695)</f>
        <v>2150450</v>
      </c>
      <c r="BB695" s="22">
        <f t="shared" ref="BB695" si="681">+BA695/12</f>
        <v>179204.16666666666</v>
      </c>
      <c r="BD695" s="7">
        <f>SUM(O695:Z695)</f>
        <v>2608026</v>
      </c>
      <c r="BE695" s="7">
        <f t="shared" ref="BE695" si="682">+BD695-BA695</f>
        <v>457576</v>
      </c>
      <c r="BF695" s="8">
        <f t="shared" ref="BF695" si="683">(BD695/BA695)-1</f>
        <v>0.21278151084656693</v>
      </c>
      <c r="BG695" s="7">
        <f t="shared" ref="BG695" si="684">BD695/12</f>
        <v>217335.5</v>
      </c>
      <c r="BI695" s="12">
        <f>+SUM(AA695:AL695)</f>
        <v>2770781</v>
      </c>
      <c r="BJ695" s="12">
        <f t="shared" ref="BJ695" si="685">+BI695-BD695</f>
        <v>162755</v>
      </c>
      <c r="BK695" s="13">
        <f t="shared" ref="BK695" si="686">(BI695/BD695)-1</f>
        <v>6.240543614212446E-2</v>
      </c>
      <c r="BL695" s="24">
        <f>SUM(AA695:AH695)/8</f>
        <v>238398.5</v>
      </c>
      <c r="BM695" s="24">
        <f>SUM(AI695:AL695)/4</f>
        <v>215898.25</v>
      </c>
      <c r="BO695" s="17">
        <f>+SUM(AM695:AX695)</f>
        <v>3116248</v>
      </c>
      <c r="BP695" s="17">
        <f t="shared" ref="BP695" si="687">+BO695-BI695</f>
        <v>345467</v>
      </c>
      <c r="BQ695" s="18">
        <f t="shared" ref="BQ695" si="688">(BO695/BI695)-1</f>
        <v>0.12468217444828733</v>
      </c>
      <c r="BR695" s="25">
        <f t="shared" ref="BR695" si="689">BO695/12</f>
        <v>259687.33333333334</v>
      </c>
    </row>
    <row r="696" spans="1:70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BA696" s="21"/>
      <c r="BB696" s="22"/>
      <c r="BD696" s="7"/>
      <c r="BE696" s="7"/>
      <c r="BF696" s="8"/>
      <c r="BG696" s="7"/>
      <c r="BI696" s="12"/>
      <c r="BJ696" s="12"/>
      <c r="BK696" s="13"/>
      <c r="BL696" s="24"/>
      <c r="BM696" s="24"/>
      <c r="BO696" s="17"/>
      <c r="BP696" s="17"/>
      <c r="BQ696" s="18"/>
      <c r="BR696" s="25"/>
    </row>
    <row r="697" spans="1:70">
      <c r="A697" t="s">
        <v>913</v>
      </c>
      <c r="B697">
        <v>470400</v>
      </c>
      <c r="C697" s="1">
        <v>0</v>
      </c>
      <c r="D697" s="1">
        <v>-1561</v>
      </c>
      <c r="E697" s="1">
        <v>0</v>
      </c>
      <c r="F697" s="1">
        <v>796</v>
      </c>
      <c r="G697" s="1">
        <v>1177</v>
      </c>
      <c r="H697" s="1">
        <v>168</v>
      </c>
      <c r="I697" s="1">
        <v>0</v>
      </c>
      <c r="J697" s="1">
        <v>20</v>
      </c>
      <c r="K697" s="1">
        <v>125</v>
      </c>
      <c r="L697" s="1">
        <v>0</v>
      </c>
      <c r="M697" s="1">
        <v>262</v>
      </c>
      <c r="N697" s="1">
        <v>2027</v>
      </c>
      <c r="O697" s="1">
        <v>0</v>
      </c>
      <c r="P697" s="1">
        <v>0</v>
      </c>
      <c r="Q697" s="1">
        <v>0</v>
      </c>
      <c r="R697" s="1">
        <v>380</v>
      </c>
      <c r="S697" s="1">
        <v>1284</v>
      </c>
      <c r="T697" s="1">
        <v>296</v>
      </c>
      <c r="U697" s="1">
        <v>0</v>
      </c>
      <c r="V697" s="1">
        <v>931</v>
      </c>
      <c r="W697" s="1">
        <v>0</v>
      </c>
      <c r="X697" s="1">
        <v>63</v>
      </c>
      <c r="Y697" s="1">
        <v>861</v>
      </c>
      <c r="Z697" s="1">
        <v>0</v>
      </c>
      <c r="AA697" s="1">
        <v>3761</v>
      </c>
      <c r="AB697" s="1">
        <v>16</v>
      </c>
      <c r="AC697" s="1">
        <v>1137</v>
      </c>
      <c r="AD697" s="1">
        <v>168</v>
      </c>
      <c r="AE697" s="1">
        <v>1576</v>
      </c>
      <c r="AF697" s="1">
        <v>0</v>
      </c>
      <c r="AG697" s="1">
        <v>0</v>
      </c>
      <c r="AH697" s="1">
        <v>0</v>
      </c>
      <c r="AI697" s="1">
        <v>0</v>
      </c>
      <c r="AJ697" s="1">
        <v>2000</v>
      </c>
      <c r="AK697" s="1">
        <v>2000</v>
      </c>
      <c r="AL697" s="1">
        <v>2000</v>
      </c>
      <c r="AM697" s="1">
        <v>2000</v>
      </c>
      <c r="AN697" s="1">
        <v>2000</v>
      </c>
      <c r="AO697" s="1">
        <v>2000</v>
      </c>
      <c r="AP697" s="1">
        <v>2000</v>
      </c>
      <c r="AQ697" s="1">
        <v>2000</v>
      </c>
      <c r="AR697" s="1">
        <v>2000</v>
      </c>
      <c r="AS697" s="1">
        <v>2000</v>
      </c>
      <c r="AT697" s="1">
        <v>2000</v>
      </c>
      <c r="AU697" s="1">
        <v>2000</v>
      </c>
      <c r="AV697" s="1">
        <v>2000</v>
      </c>
      <c r="AW697" s="1">
        <v>2000</v>
      </c>
      <c r="AX697" s="1">
        <v>2000</v>
      </c>
      <c r="BA697" s="21">
        <f t="shared" ref="BA697:BA702" si="690">SUM(C697:N697)</f>
        <v>3014</v>
      </c>
      <c r="BB697" s="22">
        <f t="shared" ref="BB697:BB702" si="691">+BA697/12</f>
        <v>251.16666666666666</v>
      </c>
      <c r="BD697" s="7">
        <f t="shared" ref="BD697:BD702" si="692">SUM(O697:Z697)</f>
        <v>3815</v>
      </c>
      <c r="BE697" s="7">
        <f t="shared" ref="BE697:BE702" si="693">+BD697-BA697</f>
        <v>801</v>
      </c>
      <c r="BF697" s="8">
        <f t="shared" ref="BF697:BF702" si="694">(BD697/BA697)-1</f>
        <v>0.26575978765759789</v>
      </c>
      <c r="BG697" s="7">
        <f t="shared" ref="BG697:BG702" si="695">BD697/12</f>
        <v>317.91666666666669</v>
      </c>
      <c r="BI697" s="12">
        <f t="shared" ref="BI697:BI702" si="696">+SUM(AA697:AL697)</f>
        <v>12658</v>
      </c>
      <c r="BJ697" s="12">
        <f t="shared" ref="BJ697:BJ702" si="697">+BI697-BD697</f>
        <v>8843</v>
      </c>
      <c r="BK697" s="13">
        <f t="shared" ref="BK697:BK702" si="698">(BI697/BD697)-1</f>
        <v>2.3179554390563566</v>
      </c>
      <c r="BL697" s="24">
        <f t="shared" ref="BL697:BL702" si="699">SUM(AA697:AH697)/8</f>
        <v>832.25</v>
      </c>
      <c r="BM697" s="24">
        <f t="shared" ref="BM697:BM702" si="700">SUM(AI697:AL697)/4</f>
        <v>1500</v>
      </c>
      <c r="BO697" s="17">
        <f t="shared" ref="BO697:BO702" si="701">+SUM(AM697:AX697)</f>
        <v>24000</v>
      </c>
      <c r="BP697" s="17">
        <f t="shared" ref="BP697:BP702" si="702">+BO697-BI697</f>
        <v>11342</v>
      </c>
      <c r="BQ697" s="18">
        <f t="shared" ref="BQ697:BQ702" si="703">(BO697/BI697)-1</f>
        <v>0.89603412861431497</v>
      </c>
      <c r="BR697" s="25">
        <f t="shared" ref="BR697:BR702" si="704">BO697/12</f>
        <v>2000</v>
      </c>
    </row>
    <row r="698" spans="1:70">
      <c r="A698" t="s">
        <v>914</v>
      </c>
      <c r="B698">
        <v>470435</v>
      </c>
      <c r="C698" s="1">
        <v>0</v>
      </c>
      <c r="D698" s="1">
        <v>0</v>
      </c>
      <c r="E698" s="1">
        <v>0</v>
      </c>
      <c r="F698" s="1">
        <v>0</v>
      </c>
      <c r="G698" s="1">
        <v>68</v>
      </c>
      <c r="H698" s="1">
        <v>180</v>
      </c>
      <c r="I698" s="1">
        <v>47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1167</v>
      </c>
      <c r="AN698" s="1">
        <v>1167</v>
      </c>
      <c r="AO698" s="1">
        <v>1167</v>
      </c>
      <c r="AP698" s="1">
        <v>1167</v>
      </c>
      <c r="AQ698" s="1">
        <v>1167</v>
      </c>
      <c r="AR698" s="1">
        <v>1167</v>
      </c>
      <c r="AS698" s="1">
        <v>1167</v>
      </c>
      <c r="AT698" s="1">
        <v>1167</v>
      </c>
      <c r="AU698" s="1">
        <v>1167</v>
      </c>
      <c r="AV698" s="1">
        <v>1167</v>
      </c>
      <c r="AW698" s="1">
        <v>1167</v>
      </c>
      <c r="AX698" s="1">
        <v>1167</v>
      </c>
      <c r="BA698" s="21">
        <f t="shared" si="690"/>
        <v>295</v>
      </c>
      <c r="BB698" s="22">
        <f t="shared" si="691"/>
        <v>24.583333333333332</v>
      </c>
      <c r="BD698" s="7">
        <f t="shared" si="692"/>
        <v>0</v>
      </c>
      <c r="BE698" s="7">
        <f t="shared" si="693"/>
        <v>-295</v>
      </c>
      <c r="BF698" s="8">
        <f t="shared" si="694"/>
        <v>-1</v>
      </c>
      <c r="BG698" s="7">
        <f t="shared" si="695"/>
        <v>0</v>
      </c>
      <c r="BI698" s="12">
        <f t="shared" si="696"/>
        <v>0</v>
      </c>
      <c r="BJ698" s="12">
        <f t="shared" si="697"/>
        <v>0</v>
      </c>
      <c r="BK698" s="13" t="e">
        <f t="shared" si="698"/>
        <v>#DIV/0!</v>
      </c>
      <c r="BL698" s="24">
        <f t="shared" si="699"/>
        <v>0</v>
      </c>
      <c r="BM698" s="24">
        <f t="shared" si="700"/>
        <v>0</v>
      </c>
      <c r="BO698" s="17">
        <f t="shared" si="701"/>
        <v>14004</v>
      </c>
      <c r="BP698" s="17">
        <f t="shared" si="702"/>
        <v>14004</v>
      </c>
      <c r="BQ698" s="18" t="e">
        <f t="shared" si="703"/>
        <v>#DIV/0!</v>
      </c>
      <c r="BR698" s="25">
        <f t="shared" si="704"/>
        <v>1167</v>
      </c>
    </row>
    <row r="699" spans="1:70">
      <c r="A699" t="s">
        <v>915</v>
      </c>
      <c r="B699">
        <v>470440</v>
      </c>
      <c r="C699" s="1">
        <v>32</v>
      </c>
      <c r="D699" s="1">
        <v>33026</v>
      </c>
      <c r="E699" s="1">
        <v>14595</v>
      </c>
      <c r="F699" s="1">
        <v>15824</v>
      </c>
      <c r="G699" s="1">
        <v>30064</v>
      </c>
      <c r="H699" s="1">
        <v>22576</v>
      </c>
      <c r="I699" s="1">
        <v>19989</v>
      </c>
      <c r="J699" s="1">
        <v>23476</v>
      </c>
      <c r="K699" s="1">
        <v>37007</v>
      </c>
      <c r="L699" s="1">
        <v>39727</v>
      </c>
      <c r="M699" s="1">
        <v>48688</v>
      </c>
      <c r="N699" s="1">
        <v>27867</v>
      </c>
      <c r="O699" s="1">
        <v>6720</v>
      </c>
      <c r="P699" s="1">
        <v>4175</v>
      </c>
      <c r="Q699" s="1">
        <v>21399</v>
      </c>
      <c r="R699" s="1">
        <v>29346</v>
      </c>
      <c r="S699" s="1">
        <v>15221</v>
      </c>
      <c r="T699" s="1">
        <v>35684</v>
      </c>
      <c r="U699" s="1">
        <v>39200</v>
      </c>
      <c r="V699" s="1">
        <v>16648</v>
      </c>
      <c r="W699" s="1">
        <v>14147</v>
      </c>
      <c r="X699" s="1">
        <v>21817</v>
      </c>
      <c r="Y699" s="1">
        <v>22335</v>
      </c>
      <c r="Z699" s="1">
        <v>14283</v>
      </c>
      <c r="AA699" s="1">
        <v>9852</v>
      </c>
      <c r="AB699" s="1">
        <v>10845</v>
      </c>
      <c r="AC699" s="1">
        <v>16239</v>
      </c>
      <c r="AD699" s="1">
        <v>12697</v>
      </c>
      <c r="AE699" s="1">
        <v>32526</v>
      </c>
      <c r="AF699" s="1">
        <v>14824</v>
      </c>
      <c r="AG699" s="1">
        <v>19089</v>
      </c>
      <c r="AH699" s="1">
        <v>25632</v>
      </c>
      <c r="AI699" s="1">
        <v>19233</v>
      </c>
      <c r="AJ699" s="1">
        <v>30245</v>
      </c>
      <c r="AK699" s="1">
        <v>26223</v>
      </c>
      <c r="AL699" s="1">
        <v>21323</v>
      </c>
      <c r="AM699" s="1">
        <v>20963</v>
      </c>
      <c r="AN699" s="1">
        <v>21754</v>
      </c>
      <c r="AO699" s="1">
        <v>24996</v>
      </c>
      <c r="AP699" s="1">
        <v>25906</v>
      </c>
      <c r="AQ699" s="1">
        <v>23337</v>
      </c>
      <c r="AR699" s="1">
        <v>24919</v>
      </c>
      <c r="AS699" s="1">
        <v>20965</v>
      </c>
      <c r="AT699" s="1">
        <v>27290</v>
      </c>
      <c r="AU699" s="1">
        <v>25037</v>
      </c>
      <c r="AV699" s="1">
        <v>21755</v>
      </c>
      <c r="AW699" s="1">
        <v>24918</v>
      </c>
      <c r="AX699" s="1">
        <v>21616</v>
      </c>
      <c r="BA699" s="21">
        <f t="shared" si="690"/>
        <v>312871</v>
      </c>
      <c r="BB699" s="22">
        <f t="shared" si="691"/>
        <v>26072.583333333332</v>
      </c>
      <c r="BD699" s="7">
        <f t="shared" si="692"/>
        <v>240975</v>
      </c>
      <c r="BE699" s="7">
        <f t="shared" si="693"/>
        <v>-71896</v>
      </c>
      <c r="BF699" s="8">
        <f t="shared" si="694"/>
        <v>-0.22979438810244479</v>
      </c>
      <c r="BG699" s="7">
        <f t="shared" si="695"/>
        <v>20081.25</v>
      </c>
      <c r="BI699" s="12">
        <f t="shared" si="696"/>
        <v>238728</v>
      </c>
      <c r="BJ699" s="12">
        <f t="shared" si="697"/>
        <v>-2247</v>
      </c>
      <c r="BK699" s="13">
        <f t="shared" si="698"/>
        <v>-9.3246187363834609E-3</v>
      </c>
      <c r="BL699" s="24">
        <f t="shared" si="699"/>
        <v>17713</v>
      </c>
      <c r="BM699" s="24">
        <f t="shared" si="700"/>
        <v>24256</v>
      </c>
      <c r="BO699" s="17">
        <f t="shared" si="701"/>
        <v>283456</v>
      </c>
      <c r="BP699" s="17">
        <f t="shared" si="702"/>
        <v>44728</v>
      </c>
      <c r="BQ699" s="18">
        <f t="shared" si="703"/>
        <v>0.18735967293321276</v>
      </c>
      <c r="BR699" s="25">
        <f t="shared" si="704"/>
        <v>23621.333333333332</v>
      </c>
    </row>
    <row r="700" spans="1:70">
      <c r="A700" t="s">
        <v>916</v>
      </c>
      <c r="B700">
        <v>470600</v>
      </c>
      <c r="C700" s="1">
        <v>7004</v>
      </c>
      <c r="D700" s="1">
        <v>2384</v>
      </c>
      <c r="E700" s="1">
        <v>2384</v>
      </c>
      <c r="F700" s="1">
        <v>2632</v>
      </c>
      <c r="G700" s="1">
        <v>2137</v>
      </c>
      <c r="H700" s="1">
        <v>2806</v>
      </c>
      <c r="I700" s="1">
        <v>9082</v>
      </c>
      <c r="J700" s="1">
        <v>47354</v>
      </c>
      <c r="K700" s="1">
        <v>3123</v>
      </c>
      <c r="L700" s="1">
        <v>5139</v>
      </c>
      <c r="M700" s="1">
        <v>2806</v>
      </c>
      <c r="N700" s="1">
        <v>2806</v>
      </c>
      <c r="O700" s="1">
        <v>7500</v>
      </c>
      <c r="P700" s="1">
        <v>4319</v>
      </c>
      <c r="Q700" s="1">
        <v>13380</v>
      </c>
      <c r="R700" s="1">
        <v>2806</v>
      </c>
      <c r="S700" s="1">
        <v>2806</v>
      </c>
      <c r="T700" s="1">
        <v>5374</v>
      </c>
      <c r="U700" s="1">
        <v>47797</v>
      </c>
      <c r="V700" s="1">
        <v>2723</v>
      </c>
      <c r="W700" s="1">
        <v>2830</v>
      </c>
      <c r="X700" s="1">
        <v>10281</v>
      </c>
      <c r="Y700" s="1">
        <v>2859</v>
      </c>
      <c r="Z700" s="1">
        <v>3450</v>
      </c>
      <c r="AA700" s="1">
        <v>7864</v>
      </c>
      <c r="AB700" s="1">
        <v>13714</v>
      </c>
      <c r="AC700" s="1">
        <v>4237</v>
      </c>
      <c r="AD700" s="1">
        <v>4214</v>
      </c>
      <c r="AE700" s="1">
        <v>8909</v>
      </c>
      <c r="AF700" s="1">
        <v>6534</v>
      </c>
      <c r="AG700" s="1">
        <v>4630</v>
      </c>
      <c r="AH700" s="1">
        <v>5736</v>
      </c>
      <c r="AI700" s="1">
        <v>5233</v>
      </c>
      <c r="AJ700" s="1">
        <v>0</v>
      </c>
      <c r="AK700" s="1">
        <v>0</v>
      </c>
      <c r="AL700" s="1">
        <v>400</v>
      </c>
      <c r="AM700" s="1">
        <v>63183</v>
      </c>
      <c r="AN700" s="1">
        <v>8628</v>
      </c>
      <c r="AO700" s="1">
        <v>15471</v>
      </c>
      <c r="AP700" s="1">
        <v>19051</v>
      </c>
      <c r="AQ700" s="1">
        <v>8628</v>
      </c>
      <c r="AR700" s="1">
        <v>8628</v>
      </c>
      <c r="AS700" s="1">
        <v>26859</v>
      </c>
      <c r="AT700" s="1">
        <v>8628</v>
      </c>
      <c r="AU700" s="1">
        <v>16096</v>
      </c>
      <c r="AV700" s="1">
        <v>19051</v>
      </c>
      <c r="AW700" s="1">
        <v>8628</v>
      </c>
      <c r="AX700" s="1">
        <v>8638</v>
      </c>
      <c r="BA700" s="21">
        <f t="shared" si="690"/>
        <v>89657</v>
      </c>
      <c r="BB700" s="22">
        <f t="shared" si="691"/>
        <v>7471.416666666667</v>
      </c>
      <c r="BD700" s="7">
        <f t="shared" si="692"/>
        <v>106125</v>
      </c>
      <c r="BE700" s="7">
        <f t="shared" si="693"/>
        <v>16468</v>
      </c>
      <c r="BF700" s="8">
        <f t="shared" si="694"/>
        <v>0.1836777942603478</v>
      </c>
      <c r="BG700" s="7">
        <f t="shared" si="695"/>
        <v>8843.75</v>
      </c>
      <c r="BI700" s="12">
        <f t="shared" si="696"/>
        <v>61471</v>
      </c>
      <c r="BJ700" s="12">
        <f t="shared" si="697"/>
        <v>-44654</v>
      </c>
      <c r="BK700" s="13">
        <f t="shared" si="698"/>
        <v>-0.42076796230859836</v>
      </c>
      <c r="BL700" s="24">
        <f t="shared" si="699"/>
        <v>6979.75</v>
      </c>
      <c r="BM700" s="24">
        <f t="shared" si="700"/>
        <v>1408.25</v>
      </c>
      <c r="BO700" s="17">
        <f t="shared" si="701"/>
        <v>211489</v>
      </c>
      <c r="BP700" s="17">
        <f t="shared" si="702"/>
        <v>150018</v>
      </c>
      <c r="BQ700" s="18">
        <f t="shared" si="703"/>
        <v>2.4404678628946983</v>
      </c>
      <c r="BR700" s="25">
        <f t="shared" si="704"/>
        <v>17624.083333333332</v>
      </c>
    </row>
    <row r="701" spans="1:70">
      <c r="A701" t="s">
        <v>917</v>
      </c>
      <c r="B701">
        <v>470601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1203</v>
      </c>
      <c r="V701" s="1">
        <v>350</v>
      </c>
      <c r="W701" s="1">
        <v>750</v>
      </c>
      <c r="X701" s="1">
        <v>417</v>
      </c>
      <c r="Y701" s="1">
        <v>4000</v>
      </c>
      <c r="Z701" s="1">
        <v>163</v>
      </c>
      <c r="AA701" s="1">
        <v>2841</v>
      </c>
      <c r="AB701" s="1">
        <v>0</v>
      </c>
      <c r="AC701" s="1">
        <v>0</v>
      </c>
      <c r="AD701" s="1">
        <v>11000</v>
      </c>
      <c r="AE701" s="1">
        <v>0</v>
      </c>
      <c r="AF701" s="1">
        <v>150</v>
      </c>
      <c r="AG701" s="1">
        <v>2384</v>
      </c>
      <c r="AH701" s="1">
        <v>3369</v>
      </c>
      <c r="AI701" s="1">
        <v>2733</v>
      </c>
      <c r="AJ701" s="1">
        <v>0</v>
      </c>
      <c r="AK701" s="1">
        <v>0</v>
      </c>
      <c r="AL701" s="1">
        <v>0</v>
      </c>
      <c r="AM701" s="1">
        <v>1583</v>
      </c>
      <c r="AN701" s="1">
        <v>1583</v>
      </c>
      <c r="AO701" s="1">
        <v>1583</v>
      </c>
      <c r="AP701" s="1">
        <v>1583</v>
      </c>
      <c r="AQ701" s="1">
        <v>1583</v>
      </c>
      <c r="AR701" s="1">
        <v>1583</v>
      </c>
      <c r="AS701" s="1">
        <v>1583</v>
      </c>
      <c r="AT701" s="1">
        <v>1583</v>
      </c>
      <c r="AU701" s="1">
        <v>1583</v>
      </c>
      <c r="AV701" s="1">
        <v>1583</v>
      </c>
      <c r="AW701" s="1">
        <v>1583</v>
      </c>
      <c r="AX701" s="1">
        <v>1587</v>
      </c>
      <c r="BA701" s="21">
        <f t="shared" si="690"/>
        <v>0</v>
      </c>
      <c r="BB701" s="22">
        <f t="shared" si="691"/>
        <v>0</v>
      </c>
      <c r="BD701" s="7">
        <f t="shared" si="692"/>
        <v>6883</v>
      </c>
      <c r="BE701" s="7">
        <f t="shared" si="693"/>
        <v>6883</v>
      </c>
      <c r="BF701" s="8" t="e">
        <f t="shared" si="694"/>
        <v>#DIV/0!</v>
      </c>
      <c r="BG701" s="7">
        <f t="shared" si="695"/>
        <v>573.58333333333337</v>
      </c>
      <c r="BI701" s="12">
        <f t="shared" si="696"/>
        <v>22477</v>
      </c>
      <c r="BJ701" s="12">
        <f t="shared" si="697"/>
        <v>15594</v>
      </c>
      <c r="BK701" s="13">
        <f t="shared" si="698"/>
        <v>2.2655818683713496</v>
      </c>
      <c r="BL701" s="24">
        <f t="shared" si="699"/>
        <v>2468</v>
      </c>
      <c r="BM701" s="24">
        <f t="shared" si="700"/>
        <v>683.25</v>
      </c>
      <c r="BO701" s="17">
        <f t="shared" si="701"/>
        <v>19000</v>
      </c>
      <c r="BP701" s="17">
        <f t="shared" si="702"/>
        <v>-3477</v>
      </c>
      <c r="BQ701" s="18">
        <f t="shared" si="703"/>
        <v>-0.15469146238377007</v>
      </c>
      <c r="BR701" s="25">
        <f t="shared" si="704"/>
        <v>1583.3333333333333</v>
      </c>
    </row>
    <row r="702" spans="1:70">
      <c r="A702" t="s">
        <v>918</v>
      </c>
      <c r="B702">
        <v>470605</v>
      </c>
      <c r="C702" s="1">
        <v>0</v>
      </c>
      <c r="D702" s="1">
        <v>0</v>
      </c>
      <c r="E702" s="1">
        <v>0</v>
      </c>
      <c r="F702" s="1">
        <v>333</v>
      </c>
      <c r="G702" s="1">
        <v>0</v>
      </c>
      <c r="H702" s="1">
        <v>14299</v>
      </c>
      <c r="I702" s="1">
        <v>51795</v>
      </c>
      <c r="J702" s="1">
        <v>0</v>
      </c>
      <c r="K702" s="1">
        <v>0</v>
      </c>
      <c r="L702" s="1">
        <v>391</v>
      </c>
      <c r="M702" s="1">
        <v>4427</v>
      </c>
      <c r="N702" s="1">
        <v>-19280</v>
      </c>
      <c r="O702" s="1">
        <v>-2214</v>
      </c>
      <c r="P702" s="1">
        <v>0</v>
      </c>
      <c r="Q702" s="1">
        <v>0</v>
      </c>
      <c r="R702" s="1">
        <v>3822</v>
      </c>
      <c r="S702" s="1">
        <v>80743</v>
      </c>
      <c r="T702" s="1">
        <v>-4732</v>
      </c>
      <c r="U702" s="1">
        <v>1785</v>
      </c>
      <c r="V702" s="1">
        <v>-1145</v>
      </c>
      <c r="W702" s="1">
        <v>0</v>
      </c>
      <c r="X702" s="1">
        <v>0</v>
      </c>
      <c r="Y702" s="1">
        <v>0</v>
      </c>
      <c r="Z702" s="1">
        <v>101</v>
      </c>
      <c r="AA702" s="1">
        <v>0</v>
      </c>
      <c r="AB702" s="1">
        <v>0</v>
      </c>
      <c r="AC702" s="1">
        <v>11050</v>
      </c>
      <c r="AD702" s="1">
        <v>11050</v>
      </c>
      <c r="AE702" s="1">
        <v>56763</v>
      </c>
      <c r="AF702" s="1">
        <v>17025</v>
      </c>
      <c r="AG702" s="1">
        <v>10568</v>
      </c>
      <c r="AH702" s="1">
        <v>2645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BA702" s="21">
        <f t="shared" si="690"/>
        <v>51965</v>
      </c>
      <c r="BB702" s="22">
        <f t="shared" si="691"/>
        <v>4330.416666666667</v>
      </c>
      <c r="BD702" s="7">
        <f t="shared" si="692"/>
        <v>78360</v>
      </c>
      <c r="BE702" s="7">
        <f t="shared" si="693"/>
        <v>26395</v>
      </c>
      <c r="BF702" s="8">
        <f t="shared" si="694"/>
        <v>0.50793803521601077</v>
      </c>
      <c r="BG702" s="7">
        <f t="shared" si="695"/>
        <v>6530</v>
      </c>
      <c r="BI702" s="12">
        <f t="shared" si="696"/>
        <v>109101</v>
      </c>
      <c r="BJ702" s="12">
        <f t="shared" si="697"/>
        <v>30741</v>
      </c>
      <c r="BK702" s="13">
        <f t="shared" si="698"/>
        <v>0.39230474732006115</v>
      </c>
      <c r="BL702" s="24">
        <f t="shared" si="699"/>
        <v>13637.625</v>
      </c>
      <c r="BM702" s="24">
        <f t="shared" si="700"/>
        <v>0</v>
      </c>
      <c r="BO702" s="17">
        <f t="shared" si="701"/>
        <v>0</v>
      </c>
      <c r="BP702" s="17">
        <f t="shared" si="702"/>
        <v>-109101</v>
      </c>
      <c r="BQ702" s="18">
        <f t="shared" si="703"/>
        <v>-1</v>
      </c>
      <c r="BR702" s="25">
        <f t="shared" si="704"/>
        <v>0</v>
      </c>
    </row>
    <row r="703" spans="1:70">
      <c r="A703" t="s">
        <v>11</v>
      </c>
      <c r="B703" t="s">
        <v>12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BA703" s="21"/>
      <c r="BB703" s="22"/>
      <c r="BD703" s="7"/>
      <c r="BE703" s="7"/>
      <c r="BF703" s="8"/>
      <c r="BG703" s="7"/>
      <c r="BI703" s="12"/>
      <c r="BJ703" s="12"/>
      <c r="BK703" s="13"/>
      <c r="BL703" s="24"/>
      <c r="BM703" s="24"/>
      <c r="BO703" s="17"/>
      <c r="BP703" s="17"/>
      <c r="BQ703" s="18"/>
      <c r="BR703" s="25"/>
    </row>
    <row r="704" spans="1:70">
      <c r="A704" t="s">
        <v>919</v>
      </c>
      <c r="C704" s="1">
        <v>7035</v>
      </c>
      <c r="D704" s="1">
        <v>33850</v>
      </c>
      <c r="E704" s="1">
        <v>16979</v>
      </c>
      <c r="F704" s="1">
        <v>19584</v>
      </c>
      <c r="G704" s="1">
        <v>33446</v>
      </c>
      <c r="H704" s="1">
        <v>40029</v>
      </c>
      <c r="I704" s="1">
        <v>80913</v>
      </c>
      <c r="J704" s="1">
        <v>70850</v>
      </c>
      <c r="K704" s="1">
        <v>40255</v>
      </c>
      <c r="L704" s="1">
        <v>45258</v>
      </c>
      <c r="M704" s="1">
        <v>56183</v>
      </c>
      <c r="N704" s="1">
        <v>13421</v>
      </c>
      <c r="O704" s="1">
        <v>12006</v>
      </c>
      <c r="P704" s="1">
        <v>8495</v>
      </c>
      <c r="Q704" s="1">
        <v>34780</v>
      </c>
      <c r="R704" s="1">
        <v>36354</v>
      </c>
      <c r="S704" s="1">
        <v>100053</v>
      </c>
      <c r="T704" s="1">
        <v>36622</v>
      </c>
      <c r="U704" s="1">
        <v>89985</v>
      </c>
      <c r="V704" s="1">
        <v>19509</v>
      </c>
      <c r="W704" s="1">
        <v>17728</v>
      </c>
      <c r="X704" s="1">
        <v>32578</v>
      </c>
      <c r="Y704" s="1">
        <v>30054</v>
      </c>
      <c r="Z704" s="1">
        <v>17996</v>
      </c>
      <c r="AA704" s="1">
        <v>24318</v>
      </c>
      <c r="AB704" s="1">
        <v>24575</v>
      </c>
      <c r="AC704" s="1">
        <v>32664</v>
      </c>
      <c r="AD704" s="1">
        <v>39130</v>
      </c>
      <c r="AE704" s="1">
        <v>99774</v>
      </c>
      <c r="AF704" s="1">
        <v>38534</v>
      </c>
      <c r="AG704" s="1">
        <v>36671</v>
      </c>
      <c r="AH704" s="1">
        <v>37381</v>
      </c>
      <c r="AI704" s="1">
        <v>27199</v>
      </c>
      <c r="AJ704" s="1">
        <v>32245</v>
      </c>
      <c r="AK704" s="1">
        <v>28223</v>
      </c>
      <c r="AL704" s="1">
        <v>23723</v>
      </c>
      <c r="AM704" s="50">
        <v>88897</v>
      </c>
      <c r="AN704" s="1">
        <v>35132</v>
      </c>
      <c r="AO704" s="1">
        <v>45218</v>
      </c>
      <c r="AP704" s="1">
        <v>49707</v>
      </c>
      <c r="AQ704" s="1">
        <v>36715</v>
      </c>
      <c r="AR704" s="1">
        <v>38296</v>
      </c>
      <c r="AS704" s="1">
        <v>52574</v>
      </c>
      <c r="AT704" s="1">
        <v>40668</v>
      </c>
      <c r="AU704" s="1">
        <v>45883</v>
      </c>
      <c r="AV704" s="1">
        <v>45556</v>
      </c>
      <c r="AW704" s="1">
        <v>38296</v>
      </c>
      <c r="AX704" s="1">
        <v>35009</v>
      </c>
      <c r="BA704" s="21">
        <f>SUM(C704:N704)</f>
        <v>457803</v>
      </c>
      <c r="BB704" s="22">
        <f t="shared" ref="BB704" si="705">+BA704/12</f>
        <v>38150.25</v>
      </c>
      <c r="BD704" s="7">
        <f>SUM(O704:Z704)</f>
        <v>436160</v>
      </c>
      <c r="BE704" s="7">
        <f t="shared" ref="BE704" si="706">+BD704-BA704</f>
        <v>-21643</v>
      </c>
      <c r="BF704" s="8">
        <f t="shared" ref="BF704" si="707">(BD704/BA704)-1</f>
        <v>-4.7275793299738078E-2</v>
      </c>
      <c r="BG704" s="7">
        <f t="shared" ref="BG704" si="708">BD704/12</f>
        <v>36346.666666666664</v>
      </c>
      <c r="BI704" s="12">
        <f>+SUM(AA704:AL704)</f>
        <v>444437</v>
      </c>
      <c r="BJ704" s="12">
        <f t="shared" ref="BJ704" si="709">+BI704-BD704</f>
        <v>8277</v>
      </c>
      <c r="BK704" s="13">
        <f t="shared" ref="BK704" si="710">(BI704/BD704)-1</f>
        <v>1.8976980924431341E-2</v>
      </c>
      <c r="BL704" s="24">
        <f>SUM(AA704:AH704)/8</f>
        <v>41630.875</v>
      </c>
      <c r="BM704" s="24">
        <f>SUM(AI704:AL704)/4</f>
        <v>27847.5</v>
      </c>
      <c r="BO704" s="17">
        <f>+SUM(AM704:AX704)</f>
        <v>551951</v>
      </c>
      <c r="BP704" s="17">
        <f t="shared" ref="BP704" si="711">+BO704-BI704</f>
        <v>107514</v>
      </c>
      <c r="BQ704" s="18">
        <f t="shared" ref="BQ704" si="712">(BO704/BI704)-1</f>
        <v>0.24191055200174594</v>
      </c>
      <c r="BR704" s="25">
        <f t="shared" ref="BR704" si="713">BO704/12</f>
        <v>45995.916666666664</v>
      </c>
    </row>
    <row r="705" spans="1:70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BA705" s="21"/>
      <c r="BB705" s="22"/>
      <c r="BD705" s="7"/>
      <c r="BE705" s="7"/>
      <c r="BF705" s="8"/>
      <c r="BG705" s="7"/>
      <c r="BI705" s="12"/>
      <c r="BJ705" s="12"/>
      <c r="BK705" s="13"/>
      <c r="BL705" s="24"/>
      <c r="BM705" s="24"/>
      <c r="BO705" s="17"/>
      <c r="BP705" s="17"/>
      <c r="BQ705" s="18"/>
      <c r="BR705" s="25"/>
    </row>
    <row r="706" spans="1:70">
      <c r="A706" t="s">
        <v>920</v>
      </c>
      <c r="C706" s="1">
        <v>303031</v>
      </c>
      <c r="D706" s="1">
        <v>204011</v>
      </c>
      <c r="E706" s="1">
        <v>182633</v>
      </c>
      <c r="F706" s="1">
        <v>114054</v>
      </c>
      <c r="G706" s="1">
        <v>165563</v>
      </c>
      <c r="H706" s="1">
        <v>231173</v>
      </c>
      <c r="I706" s="1">
        <v>275265</v>
      </c>
      <c r="J706" s="1">
        <v>242430</v>
      </c>
      <c r="K706" s="1">
        <v>270248</v>
      </c>
      <c r="L706" s="1">
        <v>229674</v>
      </c>
      <c r="M706" s="1">
        <v>235794</v>
      </c>
      <c r="N706" s="1">
        <v>293050</v>
      </c>
      <c r="O706" s="1">
        <v>320709</v>
      </c>
      <c r="P706" s="1">
        <v>343309</v>
      </c>
      <c r="Q706" s="1">
        <v>328785</v>
      </c>
      <c r="R706" s="1">
        <v>289829</v>
      </c>
      <c r="S706" s="1">
        <v>377275</v>
      </c>
      <c r="T706" s="1">
        <v>176651</v>
      </c>
      <c r="U706" s="1">
        <v>309831</v>
      </c>
      <c r="V706" s="1">
        <v>220989</v>
      </c>
      <c r="W706" s="1">
        <v>242615</v>
      </c>
      <c r="X706" s="1">
        <v>187805</v>
      </c>
      <c r="Y706" s="1">
        <v>163299</v>
      </c>
      <c r="Z706" s="1">
        <v>205807</v>
      </c>
      <c r="AA706" s="1">
        <v>169453</v>
      </c>
      <c r="AB706" s="1">
        <v>208101</v>
      </c>
      <c r="AC706" s="1">
        <v>264098</v>
      </c>
      <c r="AD706" s="1">
        <v>248023</v>
      </c>
      <c r="AE706" s="1">
        <v>324789</v>
      </c>
      <c r="AF706" s="1">
        <v>380184</v>
      </c>
      <c r="AG706" s="1">
        <v>428059</v>
      </c>
      <c r="AH706" s="1">
        <v>324736</v>
      </c>
      <c r="AI706" s="1">
        <v>281094</v>
      </c>
      <c r="AJ706" s="1">
        <v>251686</v>
      </c>
      <c r="AK706" s="1">
        <v>251260</v>
      </c>
      <c r="AL706" s="1">
        <v>246980</v>
      </c>
      <c r="AM706" s="50">
        <v>339000</v>
      </c>
      <c r="AN706" s="1">
        <v>302495</v>
      </c>
      <c r="AO706" s="1">
        <v>320866</v>
      </c>
      <c r="AP706" s="1">
        <v>309799</v>
      </c>
      <c r="AQ706" s="1">
        <v>347662</v>
      </c>
      <c r="AR706" s="1">
        <v>367569</v>
      </c>
      <c r="AS706" s="1">
        <v>359465</v>
      </c>
      <c r="AT706" s="1">
        <v>318193</v>
      </c>
      <c r="AU706" s="1">
        <v>293743</v>
      </c>
      <c r="AV706" s="1">
        <v>293636</v>
      </c>
      <c r="AW706" s="1">
        <v>286399</v>
      </c>
      <c r="AX706" s="1">
        <v>297369</v>
      </c>
      <c r="BA706" s="21">
        <f>SUM(C706:N706)</f>
        <v>2746926</v>
      </c>
      <c r="BB706" s="22">
        <f t="shared" ref="BB706" si="714">+BA706/12</f>
        <v>228910.5</v>
      </c>
      <c r="BD706" s="7">
        <f>SUM(O706:Z706)</f>
        <v>3166904</v>
      </c>
      <c r="BE706" s="7">
        <f t="shared" ref="BE706" si="715">+BD706-BA706</f>
        <v>419978</v>
      </c>
      <c r="BF706" s="8">
        <f t="shared" ref="BF706" si="716">(BD706/BA706)-1</f>
        <v>0.15289017614599021</v>
      </c>
      <c r="BG706" s="7">
        <f t="shared" ref="BG706" si="717">BD706/12</f>
        <v>263908.66666666669</v>
      </c>
      <c r="BI706" s="12">
        <f>+SUM(AA706:AL706)</f>
        <v>3378463</v>
      </c>
      <c r="BJ706" s="12">
        <f t="shared" ref="BJ706" si="718">+BI706-BD706</f>
        <v>211559</v>
      </c>
      <c r="BK706" s="13">
        <f t="shared" ref="BK706" si="719">(BI706/BD706)-1</f>
        <v>6.6803098546719397E-2</v>
      </c>
      <c r="BL706" s="24">
        <f>SUM(AA706:AH706)/8</f>
        <v>293430.375</v>
      </c>
      <c r="BM706" s="24">
        <f>SUM(AI706:AL706)/4</f>
        <v>257755</v>
      </c>
      <c r="BO706" s="17">
        <f>+SUM(AM706:AX706)</f>
        <v>3836196</v>
      </c>
      <c r="BP706" s="17">
        <f t="shared" ref="BP706" si="720">+BO706-BI706</f>
        <v>457733</v>
      </c>
      <c r="BQ706" s="18">
        <f t="shared" ref="BQ706" si="721">(BO706/BI706)-1</f>
        <v>0.13548557435733355</v>
      </c>
      <c r="BR706" s="25">
        <f t="shared" ref="BR706" si="722">BO706/12</f>
        <v>319683</v>
      </c>
    </row>
    <row r="707" spans="1:70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BA707" s="21"/>
      <c r="BB707" s="22"/>
      <c r="BD707" s="7"/>
      <c r="BE707" s="7"/>
      <c r="BF707" s="8"/>
      <c r="BG707" s="7"/>
      <c r="BI707" s="12"/>
      <c r="BJ707" s="12"/>
      <c r="BK707" s="13"/>
      <c r="BL707" s="24"/>
      <c r="BM707" s="24"/>
      <c r="BO707" s="17"/>
      <c r="BP707" s="17"/>
      <c r="BQ707" s="18"/>
      <c r="BR707" s="25"/>
    </row>
    <row r="708" spans="1:70">
      <c r="A708" t="s">
        <v>921</v>
      </c>
      <c r="C708" s="1">
        <v>5478923</v>
      </c>
      <c r="D708" s="1">
        <v>5807427</v>
      </c>
      <c r="E708" s="1">
        <v>5740632</v>
      </c>
      <c r="F708" s="1">
        <v>5671378</v>
      </c>
      <c r="G708" s="1">
        <v>6062327</v>
      </c>
      <c r="H708" s="1">
        <v>6041265</v>
      </c>
      <c r="I708" s="1">
        <v>6070559</v>
      </c>
      <c r="J708" s="1">
        <v>6427536</v>
      </c>
      <c r="K708" s="1">
        <v>5909040</v>
      </c>
      <c r="L708" s="1">
        <v>5959113</v>
      </c>
      <c r="M708" s="1">
        <v>6071952</v>
      </c>
      <c r="N708" s="1">
        <v>6298151</v>
      </c>
      <c r="O708" s="1">
        <v>6149404</v>
      </c>
      <c r="P708" s="1">
        <v>6120667</v>
      </c>
      <c r="Q708" s="1">
        <v>5256676</v>
      </c>
      <c r="R708" s="1">
        <v>6363558</v>
      </c>
      <c r="S708" s="1">
        <v>6518551</v>
      </c>
      <c r="T708" s="1">
        <v>5887627</v>
      </c>
      <c r="U708" s="1">
        <v>6446583</v>
      </c>
      <c r="V708" s="1">
        <v>6528736</v>
      </c>
      <c r="W708" s="1">
        <v>5809117</v>
      </c>
      <c r="X708" s="1">
        <v>6300923</v>
      </c>
      <c r="Y708" s="1">
        <v>6191325</v>
      </c>
      <c r="Z708" s="1">
        <v>6465779</v>
      </c>
      <c r="AA708" s="1">
        <v>6166233</v>
      </c>
      <c r="AB708" s="1">
        <v>6116993</v>
      </c>
      <c r="AC708" s="1">
        <v>6163820</v>
      </c>
      <c r="AD708" s="1">
        <v>5539991</v>
      </c>
      <c r="AE708" s="1">
        <v>6948938</v>
      </c>
      <c r="AF708" s="1">
        <v>7063418</v>
      </c>
      <c r="AG708" s="1">
        <v>7621463</v>
      </c>
      <c r="AH708" s="1">
        <v>6348233</v>
      </c>
      <c r="AI708" s="1">
        <v>6298840</v>
      </c>
      <c r="AJ708" s="1">
        <v>7194700</v>
      </c>
      <c r="AK708" s="1">
        <v>6253809</v>
      </c>
      <c r="AL708" s="1">
        <v>6811831</v>
      </c>
      <c r="AM708" s="1">
        <v>6828002</v>
      </c>
      <c r="AN708" s="1">
        <v>6607608</v>
      </c>
      <c r="AO708" s="1">
        <v>6944311</v>
      </c>
      <c r="AP708" s="1">
        <v>7075677</v>
      </c>
      <c r="AQ708" s="1">
        <v>7258059</v>
      </c>
      <c r="AR708" s="1">
        <v>7317271</v>
      </c>
      <c r="AS708" s="1">
        <v>7781396</v>
      </c>
      <c r="AT708" s="1">
        <v>7521331</v>
      </c>
      <c r="AU708" s="1">
        <v>7691348</v>
      </c>
      <c r="AV708" s="1">
        <v>7913678</v>
      </c>
      <c r="AW708" s="1">
        <v>7788478</v>
      </c>
      <c r="AX708" s="1">
        <v>7987899</v>
      </c>
      <c r="BA708" s="21">
        <f>SUM(C708:N708)</f>
        <v>71538303</v>
      </c>
      <c r="BB708" s="22">
        <f t="shared" ref="BB708" si="723">+BA708/12</f>
        <v>5961525.25</v>
      </c>
      <c r="BD708" s="7">
        <f>SUM(O708:Z708)</f>
        <v>74038946</v>
      </c>
      <c r="BE708" s="7">
        <f t="shared" ref="BE708" si="724">+BD708-BA708</f>
        <v>2500643</v>
      </c>
      <c r="BF708" s="8">
        <f t="shared" ref="BF708" si="725">(BD708/BA708)-1</f>
        <v>3.495530219664289E-2</v>
      </c>
      <c r="BG708" s="7">
        <f t="shared" ref="BG708" si="726">BD708/12</f>
        <v>6169912.166666667</v>
      </c>
      <c r="BI708" s="12">
        <f>+SUM(AA708:AL708)</f>
        <v>78528269</v>
      </c>
      <c r="BJ708" s="12">
        <f t="shared" ref="BJ708" si="727">+BI708-BD708</f>
        <v>4489323</v>
      </c>
      <c r="BK708" s="13">
        <f t="shared" ref="BK708" si="728">(BI708/BD708)-1</f>
        <v>6.0634615192928232E-2</v>
      </c>
      <c r="BL708" s="24">
        <f>SUM(AA708:AH708)/8</f>
        <v>6496136.125</v>
      </c>
      <c r="BM708" s="24">
        <f>SUM(AI708:AL708)/4</f>
        <v>6639795</v>
      </c>
      <c r="BO708" s="17">
        <f>+SUM(AM708:AX708)</f>
        <v>88715058</v>
      </c>
      <c r="BP708" s="17">
        <f t="shared" ref="BP708" si="729">+BO708-BI708</f>
        <v>10186789</v>
      </c>
      <c r="BQ708" s="18">
        <f t="shared" ref="BQ708" si="730">(BO708/BI708)-1</f>
        <v>0.12972129819899636</v>
      </c>
      <c r="BR708" s="25">
        <f t="shared" ref="BR708" si="731">BO708/12</f>
        <v>7392921.5</v>
      </c>
    </row>
    <row r="709" spans="1:70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BA709" s="21"/>
      <c r="BB709" s="22"/>
      <c r="BD709" s="7"/>
      <c r="BE709" s="7"/>
      <c r="BF709" s="8"/>
      <c r="BG709" s="7"/>
      <c r="BI709" s="12"/>
      <c r="BJ709" s="12"/>
      <c r="BK709" s="13"/>
      <c r="BL709" s="24"/>
      <c r="BM709" s="24"/>
      <c r="BO709" s="17"/>
      <c r="BP709" s="17"/>
      <c r="BQ709" s="18"/>
      <c r="BR709" s="25"/>
    </row>
    <row r="710" spans="1:70">
      <c r="A710" t="s">
        <v>922</v>
      </c>
      <c r="C710" s="1">
        <v>5478923</v>
      </c>
      <c r="D710" s="1">
        <v>5807427</v>
      </c>
      <c r="E710" s="1">
        <v>5740632</v>
      </c>
      <c r="F710" s="1">
        <v>5671378</v>
      </c>
      <c r="G710" s="1">
        <v>6062327</v>
      </c>
      <c r="H710" s="1">
        <v>6041265</v>
      </c>
      <c r="I710" s="1">
        <v>6070559</v>
      </c>
      <c r="J710" s="1">
        <v>6427536</v>
      </c>
      <c r="K710" s="1">
        <v>5909040</v>
      </c>
      <c r="L710" s="1">
        <v>5959113</v>
      </c>
      <c r="M710" s="1">
        <v>6071952</v>
      </c>
      <c r="N710" s="1">
        <v>6298151</v>
      </c>
      <c r="O710" s="1">
        <v>6149404</v>
      </c>
      <c r="P710" s="1">
        <v>6120667</v>
      </c>
      <c r="Q710" s="1">
        <v>5256676</v>
      </c>
      <c r="R710" s="1">
        <v>6363558</v>
      </c>
      <c r="S710" s="1">
        <v>6518551</v>
      </c>
      <c r="T710" s="1">
        <v>5887627</v>
      </c>
      <c r="U710" s="1">
        <v>6446583</v>
      </c>
      <c r="V710" s="1">
        <v>6528736</v>
      </c>
      <c r="W710" s="1">
        <v>5809117</v>
      </c>
      <c r="X710" s="1">
        <v>6300923</v>
      </c>
      <c r="Y710" s="1">
        <v>6191325</v>
      </c>
      <c r="Z710" s="1">
        <v>6465779</v>
      </c>
      <c r="AA710" s="1">
        <v>6166233</v>
      </c>
      <c r="AB710" s="1">
        <v>6116993</v>
      </c>
      <c r="AC710" s="1">
        <v>6163820</v>
      </c>
      <c r="AD710" s="1">
        <v>5539991</v>
      </c>
      <c r="AE710" s="1">
        <v>6948938</v>
      </c>
      <c r="AF710" s="1">
        <v>7063418</v>
      </c>
      <c r="AG710" s="1">
        <v>7621463</v>
      </c>
      <c r="AH710" s="1">
        <v>6348233</v>
      </c>
      <c r="AI710" s="1">
        <v>6298840</v>
      </c>
      <c r="AJ710" s="1">
        <v>7194700</v>
      </c>
      <c r="AK710" s="1">
        <v>6253809</v>
      </c>
      <c r="AL710" s="1">
        <v>6811831</v>
      </c>
      <c r="AM710" s="50">
        <v>6828002</v>
      </c>
      <c r="AN710" s="1">
        <v>6607608</v>
      </c>
      <c r="AO710" s="1">
        <v>6944311</v>
      </c>
      <c r="AP710" s="1">
        <v>7075677</v>
      </c>
      <c r="AQ710" s="1">
        <v>7258059</v>
      </c>
      <c r="AR710" s="1">
        <v>7317271</v>
      </c>
      <c r="AS710" s="1">
        <v>7781396</v>
      </c>
      <c r="AT710" s="1">
        <v>7521331</v>
      </c>
      <c r="AU710" s="1">
        <v>7691348</v>
      </c>
      <c r="AV710" s="1">
        <v>7913678</v>
      </c>
      <c r="AW710" s="1">
        <v>7788478</v>
      </c>
      <c r="AX710" s="1">
        <v>7987899</v>
      </c>
      <c r="BA710" s="21">
        <f>SUM(C710:N710)</f>
        <v>71538303</v>
      </c>
      <c r="BB710" s="22">
        <f t="shared" ref="BB710:BB711" si="732">+BA710/12</f>
        <v>5961525.25</v>
      </c>
      <c r="BD710" s="7">
        <f>SUM(O710:Z710)</f>
        <v>74038946</v>
      </c>
      <c r="BE710" s="7">
        <f t="shared" ref="BE710:BE711" si="733">+BD710-BA710</f>
        <v>2500643</v>
      </c>
      <c r="BF710" s="8">
        <f t="shared" ref="BF710:BF711" si="734">(BD710/BA710)-1</f>
        <v>3.495530219664289E-2</v>
      </c>
      <c r="BG710" s="7">
        <f t="shared" ref="BG710:BG711" si="735">BD710/12</f>
        <v>6169912.166666667</v>
      </c>
      <c r="BI710" s="12">
        <f>+SUM(AA710:AL710)</f>
        <v>78528269</v>
      </c>
      <c r="BJ710" s="12">
        <f t="shared" ref="BJ710:BJ711" si="736">+BI710-BD710</f>
        <v>4489323</v>
      </c>
      <c r="BK710" s="13">
        <f t="shared" ref="BK710:BK711" si="737">(BI710/BD710)-1</f>
        <v>6.0634615192928232E-2</v>
      </c>
      <c r="BL710" s="24">
        <f>SUM(AA710:AH710)/8</f>
        <v>6496136.125</v>
      </c>
      <c r="BM710" s="24">
        <f>SUM(AI710:AL710)/4</f>
        <v>6639795</v>
      </c>
      <c r="BO710" s="17">
        <f>+SUM(AM710:AX710)</f>
        <v>88715058</v>
      </c>
      <c r="BP710" s="17">
        <f t="shared" ref="BP710:BP711" si="738">+BO710-BI710</f>
        <v>10186789</v>
      </c>
      <c r="BQ710" s="18">
        <f t="shared" ref="BQ710:BQ711" si="739">(BO710/BI710)-1</f>
        <v>0.12972129819899636</v>
      </c>
      <c r="BR710" s="25">
        <f t="shared" ref="BR710:BR711" si="740">BO710/12</f>
        <v>7392921.5</v>
      </c>
    </row>
    <row r="711" spans="1:70">
      <c r="A711" t="s">
        <v>923</v>
      </c>
      <c r="C711" s="1">
        <v>5478923</v>
      </c>
      <c r="D711" s="1">
        <v>5807427</v>
      </c>
      <c r="E711" s="1">
        <v>5740632</v>
      </c>
      <c r="F711" s="1">
        <v>5671378</v>
      </c>
      <c r="G711" s="1">
        <v>6062327</v>
      </c>
      <c r="H711" s="1">
        <v>6041265</v>
      </c>
      <c r="I711" s="1">
        <v>6070559</v>
      </c>
      <c r="J711" s="1">
        <v>6427536</v>
      </c>
      <c r="K711" s="1">
        <v>5909040</v>
      </c>
      <c r="L711" s="1">
        <v>5959113</v>
      </c>
      <c r="M711" s="1">
        <v>6071952</v>
      </c>
      <c r="N711" s="1">
        <v>6298151</v>
      </c>
      <c r="O711" s="1">
        <v>6149404</v>
      </c>
      <c r="P711" s="1">
        <v>6120667</v>
      </c>
      <c r="Q711" s="1">
        <v>5256676</v>
      </c>
      <c r="R711" s="1">
        <v>6363558</v>
      </c>
      <c r="S711" s="1">
        <v>6518551</v>
      </c>
      <c r="T711" s="1">
        <v>5887627</v>
      </c>
      <c r="U711" s="1">
        <v>6446583</v>
      </c>
      <c r="V711" s="1">
        <v>6528736</v>
      </c>
      <c r="W711" s="1">
        <v>5809117</v>
      </c>
      <c r="X711" s="1">
        <v>6300923</v>
      </c>
      <c r="Y711" s="1">
        <v>6191325</v>
      </c>
      <c r="Z711" s="1">
        <v>6465779</v>
      </c>
      <c r="AA711" s="1">
        <v>6166233</v>
      </c>
      <c r="AB711" s="1">
        <v>6116993</v>
      </c>
      <c r="AC711" s="1">
        <v>6163820</v>
      </c>
      <c r="AD711" s="1">
        <v>5539991</v>
      </c>
      <c r="AE711" s="1">
        <v>6948938</v>
      </c>
      <c r="AF711" s="1">
        <v>7063418</v>
      </c>
      <c r="AG711" s="1">
        <v>7621463</v>
      </c>
      <c r="AH711" s="1">
        <v>6348233</v>
      </c>
      <c r="AI711" s="1">
        <v>6298840</v>
      </c>
      <c r="AJ711" s="1">
        <v>7194700</v>
      </c>
      <c r="AK711" s="1">
        <v>6253809</v>
      </c>
      <c r="AL711" s="1">
        <v>6811831</v>
      </c>
      <c r="AM711" s="1">
        <v>6828002</v>
      </c>
      <c r="AN711" s="1">
        <v>6607608</v>
      </c>
      <c r="AO711" s="1">
        <v>6944311</v>
      </c>
      <c r="AP711" s="1">
        <v>7075677</v>
      </c>
      <c r="AQ711" s="1">
        <v>7258059</v>
      </c>
      <c r="AR711" s="1">
        <v>7317271</v>
      </c>
      <c r="AS711" s="1">
        <v>7781396</v>
      </c>
      <c r="AT711" s="1">
        <v>7521331</v>
      </c>
      <c r="AU711" s="1">
        <v>7691348</v>
      </c>
      <c r="AV711" s="1">
        <v>7913678</v>
      </c>
      <c r="AW711" s="1">
        <v>7788478</v>
      </c>
      <c r="AX711" s="1">
        <v>7987899</v>
      </c>
      <c r="BA711" s="21">
        <f>SUM(C711:N711)</f>
        <v>71538303</v>
      </c>
      <c r="BB711" s="22">
        <f t="shared" si="732"/>
        <v>5961525.25</v>
      </c>
      <c r="BD711" s="7">
        <f>SUM(O711:Z711)</f>
        <v>74038946</v>
      </c>
      <c r="BE711" s="7">
        <f t="shared" si="733"/>
        <v>2500643</v>
      </c>
      <c r="BF711" s="8">
        <f t="shared" si="734"/>
        <v>3.495530219664289E-2</v>
      </c>
      <c r="BG711" s="7">
        <f t="shared" si="735"/>
        <v>6169912.166666667</v>
      </c>
      <c r="BI711" s="12">
        <f>+SUM(AA711:AL711)</f>
        <v>78528269</v>
      </c>
      <c r="BJ711" s="12">
        <f t="shared" si="736"/>
        <v>4489323</v>
      </c>
      <c r="BK711" s="13">
        <f t="shared" si="737"/>
        <v>6.0634615192928232E-2</v>
      </c>
      <c r="BL711" s="24">
        <f>SUM(AA711:AH711)/8</f>
        <v>6496136.125</v>
      </c>
      <c r="BM711" s="24">
        <f>SUM(AI711:AL711)/4</f>
        <v>6639795</v>
      </c>
      <c r="BO711" s="17">
        <f>+SUM(AM711:AX711)</f>
        <v>88715058</v>
      </c>
      <c r="BP711" s="17">
        <f t="shared" si="738"/>
        <v>10186789</v>
      </c>
      <c r="BQ711" s="18">
        <f t="shared" si="739"/>
        <v>0.12972129819899636</v>
      </c>
      <c r="BR711" s="25">
        <f t="shared" si="740"/>
        <v>7392921.5</v>
      </c>
    </row>
    <row r="712" spans="1:70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BA712" s="21"/>
      <c r="BB712" s="22"/>
      <c r="BD712" s="7"/>
      <c r="BE712" s="7"/>
      <c r="BF712" s="8"/>
      <c r="BG712" s="7"/>
      <c r="BI712" s="12"/>
      <c r="BJ712" s="12"/>
      <c r="BK712" s="13"/>
      <c r="BL712" s="24"/>
      <c r="BM712" s="24"/>
      <c r="BO712" s="17"/>
      <c r="BP712" s="17"/>
      <c r="BQ712" s="18"/>
      <c r="BR712" s="25"/>
    </row>
    <row r="713" spans="1:70">
      <c r="A713" t="s">
        <v>539</v>
      </c>
      <c r="C713">
        <v>1800145</v>
      </c>
      <c r="D713">
        <v>783179</v>
      </c>
      <c r="E713">
        <v>1546318</v>
      </c>
      <c r="F713">
        <v>1113469</v>
      </c>
      <c r="G713">
        <v>527099</v>
      </c>
      <c r="H713">
        <v>349801</v>
      </c>
      <c r="I713">
        <v>1144775</v>
      </c>
      <c r="J713">
        <v>541468</v>
      </c>
      <c r="K713">
        <v>133374</v>
      </c>
      <c r="L713">
        <v>201025</v>
      </c>
      <c r="M713">
        <v>637530</v>
      </c>
      <c r="N713">
        <v>304557</v>
      </c>
      <c r="O713">
        <v>20448</v>
      </c>
      <c r="P713">
        <v>161180</v>
      </c>
      <c r="Q713">
        <v>232028</v>
      </c>
      <c r="R713">
        <v>212060</v>
      </c>
      <c r="S713">
        <v>107444</v>
      </c>
      <c r="T713">
        <v>740698</v>
      </c>
      <c r="U713">
        <v>411777</v>
      </c>
      <c r="V713">
        <v>763925</v>
      </c>
      <c r="W713">
        <v>899354</v>
      </c>
      <c r="X713">
        <v>415619</v>
      </c>
      <c r="Y713">
        <v>941607</v>
      </c>
      <c r="Z713">
        <v>1115290</v>
      </c>
      <c r="AA713">
        <v>508818</v>
      </c>
      <c r="AB713">
        <v>405771</v>
      </c>
      <c r="AC713">
        <v>765180</v>
      </c>
      <c r="AD713">
        <v>371581</v>
      </c>
      <c r="AE713">
        <v>299193</v>
      </c>
      <c r="AF713">
        <v>62160</v>
      </c>
      <c r="AG713">
        <v>485716</v>
      </c>
      <c r="AH713">
        <v>2132509</v>
      </c>
      <c r="AI713">
        <v>975536</v>
      </c>
      <c r="AJ713">
        <v>458220</v>
      </c>
      <c r="AK713">
        <v>1211263</v>
      </c>
      <c r="AL713">
        <v>907523</v>
      </c>
      <c r="AM713">
        <v>989673</v>
      </c>
      <c r="AN713">
        <v>1127160</v>
      </c>
      <c r="AO713">
        <v>1314244</v>
      </c>
      <c r="AP713">
        <v>1025794</v>
      </c>
      <c r="AQ713">
        <v>1328291</v>
      </c>
      <c r="AR713">
        <v>1312770</v>
      </c>
      <c r="AS713">
        <v>1464433</v>
      </c>
      <c r="AT713">
        <v>1603107</v>
      </c>
      <c r="AU713">
        <v>1427501</v>
      </c>
      <c r="AV713">
        <v>1654506</v>
      </c>
      <c r="AW713">
        <v>1621147</v>
      </c>
      <c r="AX713">
        <v>1792976</v>
      </c>
      <c r="BA713" s="21">
        <f>SUM(C713:N713)</f>
        <v>9082740</v>
      </c>
      <c r="BB713" s="22">
        <f t="shared" ref="BB713" si="741">+BA713/12</f>
        <v>756895</v>
      </c>
      <c r="BD713" s="7">
        <f>SUM(O713:Z713)</f>
        <v>6021430</v>
      </c>
      <c r="BE713" s="7">
        <f t="shared" ref="BE713" si="742">+BD713-BA713</f>
        <v>-3061310</v>
      </c>
      <c r="BF713" s="8">
        <f t="shared" ref="BF713" si="743">(BD713/BA713)-1</f>
        <v>-0.33704697040760823</v>
      </c>
      <c r="BG713" s="7">
        <f t="shared" ref="BG713" si="744">BD713/12</f>
        <v>501785.83333333331</v>
      </c>
      <c r="BI713" s="12">
        <f>+SUM(AA713:AL713)</f>
        <v>8583470</v>
      </c>
      <c r="BJ713" s="12">
        <f t="shared" ref="BJ713" si="745">+BI713-BD713</f>
        <v>2562040</v>
      </c>
      <c r="BK713" s="13">
        <f t="shared" ref="BK713" si="746">(BI713/BD713)-1</f>
        <v>0.42548696904223737</v>
      </c>
      <c r="BL713" s="24">
        <f>SUM(AA713:AH713)/8</f>
        <v>628866</v>
      </c>
      <c r="BM713" s="24">
        <f>SUM(AI713:AL713)/4</f>
        <v>888135.5</v>
      </c>
      <c r="BO713" s="17">
        <f>+SUM(AM713:AX713)</f>
        <v>16661602</v>
      </c>
      <c r="BP713" s="17">
        <f t="shared" ref="BP713" si="747">+BO713-BI713</f>
        <v>8078132</v>
      </c>
      <c r="BQ713" s="18">
        <f t="shared" ref="BQ713" si="748">(BO713/BI713)-1</f>
        <v>0.94112660730450504</v>
      </c>
      <c r="BR713" s="25">
        <f t="shared" ref="BR713" si="749">BO713/12</f>
        <v>1388466.8333333333</v>
      </c>
    </row>
    <row r="714" spans="1:70">
      <c r="A714" t="s">
        <v>333</v>
      </c>
      <c r="B714" t="s">
        <v>334</v>
      </c>
      <c r="AM714" s="1">
        <v>989669</v>
      </c>
    </row>
    <row r="715" spans="1:70">
      <c r="AM715" s="26">
        <f>+AM713-AM714</f>
        <v>4</v>
      </c>
    </row>
  </sheetData>
  <mergeCells count="4">
    <mergeCell ref="BA1:BB1"/>
    <mergeCell ref="BD1:BG1"/>
    <mergeCell ref="BI1:BM1"/>
    <mergeCell ref="BO1:BR1"/>
  </mergeCells>
  <pageMargins left="0.7" right="0.7" top="0.75" bottom="0.75" header="0.3" footer="0.3"/>
  <pageSetup orientation="portrait" r:id="rId1"/>
  <ignoredErrors>
    <ignoredError sqref="BA3 BD3:BR3 BA8:BR8 BA6:BR6 BA4:BR5 BA7:BR7 BA9:BR71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A053-9730-4263-9BF7-83A025AC43D8}">
  <dimension ref="A1:BT44"/>
  <sheetViews>
    <sheetView zoomScale="85" zoomScaleNormal="85" workbookViewId="0">
      <pane xSplit="2" ySplit="2" topLeftCell="BB26" activePane="bottomRight" state="frozen"/>
      <selection pane="bottomRight" activeCell="BG30" sqref="BG30"/>
      <selection pane="bottomLeft" activeCell="A3" sqref="A3"/>
      <selection pane="topRight" activeCell="C1" sqref="C1"/>
    </sheetView>
  </sheetViews>
  <sheetFormatPr defaultRowHeight="15"/>
  <cols>
    <col min="1" max="1" width="27.7109375" bestFit="1" customWidth="1"/>
    <col min="2" max="2" width="10.28515625" bestFit="1" customWidth="1"/>
    <col min="3" max="3" width="12.7109375" bestFit="1" customWidth="1"/>
    <col min="4" max="9" width="10" hidden="1" customWidth="1"/>
    <col min="10" max="10" width="11" hidden="1" customWidth="1"/>
    <col min="11" max="11" width="10" hidden="1" customWidth="1"/>
    <col min="12" max="13" width="11" hidden="1" customWidth="1"/>
    <col min="14" max="15" width="14.28515625" bestFit="1" customWidth="1"/>
    <col min="16" max="25" width="11" hidden="1" customWidth="1"/>
    <col min="26" max="27" width="14.28515625" bestFit="1" customWidth="1"/>
    <col min="28" max="34" width="11" hidden="1" customWidth="1"/>
    <col min="35" max="37" width="11" style="14" hidden="1" customWidth="1"/>
    <col min="38" max="38" width="12.5703125" style="14" bestFit="1" customWidth="1"/>
    <col min="39" max="39" width="11" customWidth="1"/>
    <col min="40" max="49" width="12.5703125" hidden="1" customWidth="1"/>
    <col min="50" max="50" width="12.5703125" bestFit="1" customWidth="1"/>
    <col min="51" max="51" width="14.5703125" bestFit="1" customWidth="1"/>
    <col min="53" max="53" width="13.7109375" style="23" bestFit="1" customWidth="1"/>
    <col min="54" max="54" width="12.28515625" style="23" bestFit="1" customWidth="1"/>
    <col min="55" max="55" width="1.5703125" customWidth="1"/>
    <col min="56" max="56" width="13.7109375" style="9" bestFit="1" customWidth="1"/>
    <col min="57" max="57" width="12.7109375" style="9" bestFit="1" customWidth="1"/>
    <col min="58" max="58" width="9.5703125" style="9" bestFit="1" customWidth="1"/>
    <col min="59" max="59" width="12.28515625" style="9" bestFit="1" customWidth="1"/>
    <col min="60" max="60" width="1.5703125" customWidth="1"/>
    <col min="61" max="61" width="14.7109375" style="14" bestFit="1" customWidth="1"/>
    <col min="62" max="62" width="13.28515625" style="14" bestFit="1" customWidth="1"/>
    <col min="63" max="63" width="11" style="14" bestFit="1" customWidth="1"/>
    <col min="64" max="64" width="12.7109375" style="14" bestFit="1" customWidth="1"/>
    <col min="65" max="65" width="13.28515625" style="14" bestFit="1" customWidth="1"/>
    <col min="66" max="66" width="1.5703125" customWidth="1"/>
    <col min="67" max="67" width="14.7109375" style="19" bestFit="1" customWidth="1"/>
    <col min="68" max="68" width="12.7109375" style="19" bestFit="1" customWidth="1"/>
    <col min="69" max="69" width="11.28515625" style="19" bestFit="1" customWidth="1"/>
    <col min="70" max="70" width="12.7109375" style="19" bestFit="1" customWidth="1"/>
    <col min="71" max="71" width="13.5703125" style="1" bestFit="1" customWidth="1"/>
    <col min="72" max="72" width="10.28515625" bestFit="1" customWidth="1"/>
  </cols>
  <sheetData>
    <row r="1" spans="1:70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s="14" t="s">
        <v>1</v>
      </c>
      <c r="AJ1" s="14" t="s">
        <v>1</v>
      </c>
      <c r="AK1" s="14" t="s">
        <v>1</v>
      </c>
      <c r="AL1" s="14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BA1" s="54">
        <v>2023</v>
      </c>
      <c r="BB1" s="54"/>
      <c r="BD1" s="51">
        <v>2024</v>
      </c>
      <c r="BE1" s="51"/>
      <c r="BF1" s="51"/>
      <c r="BG1" s="51"/>
      <c r="BI1" s="52">
        <v>2025</v>
      </c>
      <c r="BJ1" s="52"/>
      <c r="BK1" s="52"/>
      <c r="BL1" s="52"/>
      <c r="BM1" s="52"/>
      <c r="BO1" s="53">
        <v>2026</v>
      </c>
      <c r="BP1" s="53"/>
      <c r="BQ1" s="53"/>
      <c r="BR1" s="53"/>
    </row>
    <row r="2" spans="1:70">
      <c r="B2" t="s">
        <v>2</v>
      </c>
      <c r="C2" s="3">
        <v>44927</v>
      </c>
      <c r="D2" s="3">
        <v>44958</v>
      </c>
      <c r="E2" s="3">
        <v>44986</v>
      </c>
      <c r="F2" s="3">
        <v>45017</v>
      </c>
      <c r="G2" s="3">
        <v>45047</v>
      </c>
      <c r="H2" s="3">
        <v>45078</v>
      </c>
      <c r="I2" s="3">
        <v>45108</v>
      </c>
      <c r="J2" s="3">
        <v>45139</v>
      </c>
      <c r="K2" s="3">
        <v>45170</v>
      </c>
      <c r="L2" s="3">
        <v>45200</v>
      </c>
      <c r="M2" s="3">
        <v>45231</v>
      </c>
      <c r="N2" s="3">
        <v>45261</v>
      </c>
      <c r="O2" s="3">
        <v>45292</v>
      </c>
      <c r="P2" s="3">
        <v>45323</v>
      </c>
      <c r="Q2" s="3">
        <v>45352</v>
      </c>
      <c r="R2" s="3">
        <v>45383</v>
      </c>
      <c r="S2" s="3">
        <v>45413</v>
      </c>
      <c r="T2" s="3">
        <v>45444</v>
      </c>
      <c r="U2" s="3">
        <v>45474</v>
      </c>
      <c r="V2" s="3">
        <v>45505</v>
      </c>
      <c r="W2" s="3">
        <v>45536</v>
      </c>
      <c r="X2" s="3">
        <v>45566</v>
      </c>
      <c r="Y2" s="3">
        <v>45597</v>
      </c>
      <c r="Z2" s="3">
        <v>45627</v>
      </c>
      <c r="AA2" s="3">
        <v>45658</v>
      </c>
      <c r="AB2" s="3">
        <v>45689</v>
      </c>
      <c r="AC2" s="3">
        <v>45717</v>
      </c>
      <c r="AD2" s="3">
        <v>45748</v>
      </c>
      <c r="AE2" s="3">
        <v>45778</v>
      </c>
      <c r="AF2" s="3">
        <v>45809</v>
      </c>
      <c r="AG2" s="3">
        <v>45839</v>
      </c>
      <c r="AH2" s="3">
        <v>45870</v>
      </c>
      <c r="AI2" s="46">
        <v>45901</v>
      </c>
      <c r="AJ2" s="46">
        <v>45931</v>
      </c>
      <c r="AK2" s="46">
        <v>45962</v>
      </c>
      <c r="AL2" s="46">
        <v>45992</v>
      </c>
      <c r="AM2" s="3">
        <v>46023</v>
      </c>
      <c r="AN2" s="3">
        <v>46054</v>
      </c>
      <c r="AO2" s="3">
        <v>46082</v>
      </c>
      <c r="AP2" s="3">
        <v>46113</v>
      </c>
      <c r="AQ2" s="3">
        <v>46143</v>
      </c>
      <c r="AR2" s="3">
        <v>46174</v>
      </c>
      <c r="AS2" s="3">
        <v>46204</v>
      </c>
      <c r="AT2" s="3">
        <v>46235</v>
      </c>
      <c r="AU2" s="3">
        <v>46266</v>
      </c>
      <c r="AV2" s="3">
        <v>46296</v>
      </c>
      <c r="AW2" s="3">
        <v>46327</v>
      </c>
      <c r="AX2" s="3">
        <v>46357</v>
      </c>
      <c r="AY2" t="s">
        <v>924</v>
      </c>
      <c r="BA2" s="20" t="s">
        <v>543</v>
      </c>
      <c r="BB2" s="20" t="s">
        <v>544</v>
      </c>
      <c r="BD2" s="5" t="s">
        <v>543</v>
      </c>
      <c r="BE2" s="5" t="s">
        <v>3</v>
      </c>
      <c r="BF2" s="5" t="s">
        <v>4</v>
      </c>
      <c r="BG2" s="5" t="s">
        <v>545</v>
      </c>
      <c r="BI2" s="10" t="s">
        <v>543</v>
      </c>
      <c r="BJ2" s="10" t="s">
        <v>3</v>
      </c>
      <c r="BK2" s="10" t="s">
        <v>4</v>
      </c>
      <c r="BL2" s="10" t="s">
        <v>546</v>
      </c>
      <c r="BM2" s="10" t="s">
        <v>547</v>
      </c>
      <c r="BO2" s="15" t="s">
        <v>543</v>
      </c>
      <c r="BP2" s="15" t="s">
        <v>3</v>
      </c>
      <c r="BQ2" s="15" t="s">
        <v>4</v>
      </c>
      <c r="BR2" s="15" t="s">
        <v>545</v>
      </c>
    </row>
    <row r="3" spans="1:70">
      <c r="A3" t="s">
        <v>555</v>
      </c>
      <c r="C3" s="1">
        <v>823043</v>
      </c>
      <c r="D3" s="1">
        <v>841766</v>
      </c>
      <c r="E3" s="1">
        <v>769474</v>
      </c>
      <c r="F3" s="1">
        <v>849793</v>
      </c>
      <c r="G3" s="1">
        <v>880714</v>
      </c>
      <c r="H3" s="1">
        <v>744838</v>
      </c>
      <c r="I3" s="1">
        <v>774462</v>
      </c>
      <c r="J3" s="1">
        <v>879371</v>
      </c>
      <c r="K3" s="1">
        <v>818187</v>
      </c>
      <c r="L3" s="1">
        <v>723729</v>
      </c>
      <c r="M3" s="1">
        <v>889937</v>
      </c>
      <c r="N3" s="1">
        <v>929628</v>
      </c>
      <c r="O3" s="1">
        <v>833860</v>
      </c>
      <c r="P3" s="1">
        <v>880764</v>
      </c>
      <c r="Q3" s="1">
        <v>945528</v>
      </c>
      <c r="R3" s="1">
        <v>865948</v>
      </c>
      <c r="S3" s="1">
        <v>956494</v>
      </c>
      <c r="T3" s="1">
        <v>922130</v>
      </c>
      <c r="U3" s="1">
        <v>864936</v>
      </c>
      <c r="V3" s="1">
        <v>905282</v>
      </c>
      <c r="W3" s="1">
        <v>888412</v>
      </c>
      <c r="X3" s="1">
        <v>818316</v>
      </c>
      <c r="Y3" s="1">
        <v>825069</v>
      </c>
      <c r="Z3" s="1">
        <v>914223</v>
      </c>
      <c r="AA3" s="1">
        <v>850377</v>
      </c>
      <c r="AB3" s="1">
        <v>826400</v>
      </c>
      <c r="AC3" s="1">
        <v>916097</v>
      </c>
      <c r="AD3" s="1">
        <v>800615</v>
      </c>
      <c r="AE3" s="1">
        <v>1286378</v>
      </c>
      <c r="AF3" s="1">
        <v>1828776</v>
      </c>
      <c r="AG3" s="1">
        <v>1882105</v>
      </c>
      <c r="AH3" s="1">
        <v>1675137</v>
      </c>
      <c r="AI3" s="30">
        <v>1576655</v>
      </c>
      <c r="AJ3" s="30">
        <v>2057904</v>
      </c>
      <c r="AK3" s="30">
        <v>1014257</v>
      </c>
      <c r="AL3" s="30">
        <v>998107</v>
      </c>
      <c r="AM3" s="1">
        <v>1019087</v>
      </c>
      <c r="AN3" s="1">
        <v>969309</v>
      </c>
      <c r="AO3" s="1">
        <v>976692</v>
      </c>
      <c r="AP3" s="1">
        <v>950641</v>
      </c>
      <c r="AQ3" s="1">
        <v>945073</v>
      </c>
      <c r="AR3" s="1">
        <v>894527</v>
      </c>
      <c r="AS3" s="1">
        <v>889951</v>
      </c>
      <c r="AT3" s="1">
        <v>882016</v>
      </c>
      <c r="AU3" s="1">
        <v>848038</v>
      </c>
      <c r="AV3" s="1">
        <v>860325</v>
      </c>
      <c r="AW3" s="1">
        <v>861298</v>
      </c>
      <c r="AX3" s="1">
        <v>858840</v>
      </c>
      <c r="AY3" s="1">
        <v>47383459</v>
      </c>
      <c r="BA3" s="21">
        <f>SUM(C3:N3)</f>
        <v>9924942</v>
      </c>
      <c r="BB3" s="22">
        <f>+BA3/12</f>
        <v>827078.5</v>
      </c>
      <c r="BD3" s="7">
        <f>SUM(O3:Z3)</f>
        <v>10620962</v>
      </c>
      <c r="BE3" s="7">
        <f>+BD3-BA3</f>
        <v>696020</v>
      </c>
      <c r="BF3" s="8">
        <f>(BD3/BA3)-1</f>
        <v>7.0128369515912503E-2</v>
      </c>
      <c r="BG3" s="7">
        <f>BD3/12</f>
        <v>885080.16666666663</v>
      </c>
      <c r="BI3" s="12">
        <f>+SUM(AA3:AL3)</f>
        <v>15712808</v>
      </c>
      <c r="BJ3" s="12">
        <f>+BI3-BD3</f>
        <v>5091846</v>
      </c>
      <c r="BK3" s="13">
        <f>(BI3/BD3)-1</f>
        <v>0.47941476487723045</v>
      </c>
      <c r="BL3" s="12">
        <f>SUM(AA3:AH3)/8</f>
        <v>1258235.625</v>
      </c>
      <c r="BM3" s="12">
        <f>SUM(AI3:AL3)/4</f>
        <v>1411730.75</v>
      </c>
      <c r="BO3" s="17">
        <f>+SUM(AM3:AX3)</f>
        <v>10955797</v>
      </c>
      <c r="BP3" s="17">
        <f>+BO3-BI3</f>
        <v>-4757011</v>
      </c>
      <c r="BQ3" s="18">
        <f>(BO3/BI3)-1</f>
        <v>-0.30274735107817774</v>
      </c>
      <c r="BR3" s="17">
        <f>BO3/12</f>
        <v>912983.08333333337</v>
      </c>
    </row>
    <row r="4" spans="1:70">
      <c r="A4" t="s">
        <v>595</v>
      </c>
      <c r="C4" s="1">
        <v>109</v>
      </c>
      <c r="D4" s="1">
        <v>0</v>
      </c>
      <c r="E4" s="1">
        <v>0</v>
      </c>
      <c r="F4" s="1">
        <v>0</v>
      </c>
      <c r="G4" s="1">
        <v>283</v>
      </c>
      <c r="H4" s="1">
        <v>0</v>
      </c>
      <c r="I4" s="1">
        <v>0</v>
      </c>
      <c r="J4" s="1">
        <v>635</v>
      </c>
      <c r="K4" s="1">
        <v>217</v>
      </c>
      <c r="L4" s="1">
        <v>237</v>
      </c>
      <c r="M4" s="1">
        <v>0</v>
      </c>
      <c r="N4" s="1">
        <v>0</v>
      </c>
      <c r="O4" s="1">
        <v>0</v>
      </c>
      <c r="P4" s="1">
        <v>12</v>
      </c>
      <c r="Q4" s="1">
        <v>299</v>
      </c>
      <c r="R4" s="1">
        <v>0</v>
      </c>
      <c r="S4" s="1">
        <v>0</v>
      </c>
      <c r="T4" s="1">
        <v>345</v>
      </c>
      <c r="U4" s="1">
        <v>270</v>
      </c>
      <c r="V4" s="1">
        <v>100</v>
      </c>
      <c r="W4" s="1">
        <v>0</v>
      </c>
      <c r="X4" s="1">
        <v>0</v>
      </c>
      <c r="Y4" s="1">
        <v>219</v>
      </c>
      <c r="Z4" s="1">
        <v>204</v>
      </c>
      <c r="AA4" s="1">
        <v>566</v>
      </c>
      <c r="AB4" s="1">
        <v>66</v>
      </c>
      <c r="AC4" s="1">
        <v>0</v>
      </c>
      <c r="AD4" s="1">
        <v>79</v>
      </c>
      <c r="AE4" s="1">
        <v>385</v>
      </c>
      <c r="AF4" s="1">
        <v>431</v>
      </c>
      <c r="AG4" s="1">
        <v>2135</v>
      </c>
      <c r="AH4" s="1">
        <v>-1100</v>
      </c>
      <c r="AI4" s="30">
        <v>0</v>
      </c>
      <c r="AJ4" s="30">
        <v>0</v>
      </c>
      <c r="AK4" s="30">
        <v>0</v>
      </c>
      <c r="AL4" s="30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5493</v>
      </c>
      <c r="BA4" s="21">
        <f>SUM(C4:N4)</f>
        <v>1481</v>
      </c>
      <c r="BB4" s="22">
        <f>+BA4/12</f>
        <v>123.41666666666667</v>
      </c>
      <c r="BD4" s="7">
        <f>SUM(O4:Z4)</f>
        <v>1449</v>
      </c>
      <c r="BE4" s="7">
        <f>+BD4-BA4</f>
        <v>-32</v>
      </c>
      <c r="BF4" s="8">
        <f>(BD4/BA4)-1</f>
        <v>-2.1607022282241761E-2</v>
      </c>
      <c r="BG4" s="7">
        <f>BD4/12</f>
        <v>120.75</v>
      </c>
      <c r="BI4" s="12">
        <f>+SUM(AA4:AL4)</f>
        <v>2562</v>
      </c>
      <c r="BJ4" s="12">
        <f>+BI4-BD4</f>
        <v>1113</v>
      </c>
      <c r="BK4" s="13">
        <f>(BI4/BD4)-1</f>
        <v>0.76811594202898559</v>
      </c>
      <c r="BL4" s="12">
        <f>SUM(AA4:AH4)/8</f>
        <v>320.25</v>
      </c>
      <c r="BM4" s="12">
        <f>SUM(AI4:AL4)/4</f>
        <v>0</v>
      </c>
      <c r="BO4" s="17">
        <f>+SUM(AM4:AX4)</f>
        <v>0</v>
      </c>
      <c r="BP4" s="17">
        <f>+BO4-BI4</f>
        <v>-2562</v>
      </c>
      <c r="BQ4" s="18">
        <f>(BO4/BI4)-1</f>
        <v>-1</v>
      </c>
      <c r="BR4" s="17">
        <f>BO4/12</f>
        <v>0</v>
      </c>
    </row>
    <row r="5" spans="1:70">
      <c r="A5" t="s">
        <v>596</v>
      </c>
      <c r="C5" s="1">
        <v>7350052</v>
      </c>
      <c r="D5" s="1">
        <v>6833924</v>
      </c>
      <c r="E5" s="1">
        <v>7644681</v>
      </c>
      <c r="F5" s="1">
        <v>7713673</v>
      </c>
      <c r="G5" s="1">
        <v>8251065</v>
      </c>
      <c r="H5" s="1">
        <v>8386653</v>
      </c>
      <c r="I5" s="1">
        <v>8819906</v>
      </c>
      <c r="J5" s="1">
        <v>9153984</v>
      </c>
      <c r="K5" s="1">
        <v>9006923</v>
      </c>
      <c r="L5" s="1">
        <v>9438769</v>
      </c>
      <c r="M5" s="1">
        <v>9341577</v>
      </c>
      <c r="N5" s="1">
        <v>9756919</v>
      </c>
      <c r="O5" s="1">
        <v>9797190</v>
      </c>
      <c r="P5" s="1">
        <v>9262151</v>
      </c>
      <c r="Q5" s="1">
        <v>9787237</v>
      </c>
      <c r="R5" s="1">
        <v>9483253</v>
      </c>
      <c r="S5" s="1">
        <v>9964306</v>
      </c>
      <c r="T5" s="1">
        <v>9602677</v>
      </c>
      <c r="U5" s="1">
        <v>9997599</v>
      </c>
      <c r="V5" s="1">
        <v>10222129</v>
      </c>
      <c r="W5" s="1">
        <v>9894310</v>
      </c>
      <c r="X5" s="1">
        <v>10140652</v>
      </c>
      <c r="Y5" s="1">
        <v>9935244</v>
      </c>
      <c r="Z5" s="1">
        <v>10294079</v>
      </c>
      <c r="AA5" s="1">
        <v>10171141</v>
      </c>
      <c r="AB5" s="1">
        <v>9349283</v>
      </c>
      <c r="AC5" s="1">
        <v>10409621</v>
      </c>
      <c r="AD5" s="1">
        <v>10174466</v>
      </c>
      <c r="AE5" s="1">
        <v>10526903</v>
      </c>
      <c r="AF5" s="1">
        <v>10321123</v>
      </c>
      <c r="AG5" s="1">
        <v>10735769</v>
      </c>
      <c r="AH5" s="1">
        <v>10757487</v>
      </c>
      <c r="AI5" s="30">
        <v>10598430</v>
      </c>
      <c r="AJ5" s="30">
        <v>11045510</v>
      </c>
      <c r="AK5" s="30">
        <v>11022756</v>
      </c>
      <c r="AL5" s="30">
        <v>11354025</v>
      </c>
      <c r="AM5" s="1">
        <v>11380930</v>
      </c>
      <c r="AN5" s="1">
        <v>10515144</v>
      </c>
      <c r="AO5" s="1">
        <v>11506031</v>
      </c>
      <c r="AP5" s="1">
        <v>11280308</v>
      </c>
      <c r="AQ5" s="1">
        <v>11709562</v>
      </c>
      <c r="AR5" s="1">
        <v>11493165</v>
      </c>
      <c r="AS5" s="1">
        <v>11934526</v>
      </c>
      <c r="AT5" s="1">
        <v>12063200</v>
      </c>
      <c r="AU5" s="1">
        <v>11829892</v>
      </c>
      <c r="AV5" s="1">
        <v>12239105</v>
      </c>
      <c r="AW5" s="1">
        <v>11970373</v>
      </c>
      <c r="AX5" s="1">
        <v>12365882</v>
      </c>
      <c r="AY5" s="1">
        <v>483054676</v>
      </c>
      <c r="BA5" s="21">
        <f>SUM(C5:N5)</f>
        <v>101698126</v>
      </c>
      <c r="BB5" s="22">
        <f>+BA5/12</f>
        <v>8474843.833333334</v>
      </c>
      <c r="BD5" s="7">
        <f>SUM(O5:Z5)</f>
        <v>118380827</v>
      </c>
      <c r="BE5" s="7">
        <f>+BD5-BA5</f>
        <v>16682701</v>
      </c>
      <c r="BF5" s="8">
        <f>(BD5/BA5)-1</f>
        <v>0.1640413806641825</v>
      </c>
      <c r="BG5" s="7">
        <f>BD5/12</f>
        <v>9865068.916666666</v>
      </c>
      <c r="BI5" s="12">
        <f>+SUM(AA5:AL5)</f>
        <v>126466514</v>
      </c>
      <c r="BJ5" s="12">
        <f>+BI5-BD5</f>
        <v>8085687</v>
      </c>
      <c r="BK5" s="13">
        <f>(BI5/BD5)-1</f>
        <v>6.8302335816593063E-2</v>
      </c>
      <c r="BL5" s="12">
        <f>SUM(AA5:AH5)/8</f>
        <v>10305724.125</v>
      </c>
      <c r="BM5" s="12">
        <f>SUM(AI5:AL5)/4</f>
        <v>11005180.25</v>
      </c>
      <c r="BO5" s="17">
        <f>+SUM(AM5:AX5)</f>
        <v>140288118</v>
      </c>
      <c r="BP5" s="17">
        <f>+BO5-BI5</f>
        <v>13821604</v>
      </c>
      <c r="BQ5" s="18">
        <f>(BO5/BI5)-1</f>
        <v>0.10929062218003405</v>
      </c>
      <c r="BR5" s="17">
        <f>BO5/12</f>
        <v>11690676.5</v>
      </c>
    </row>
    <row r="6" spans="1:70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30"/>
      <c r="AJ6" s="30"/>
      <c r="AK6" s="30"/>
      <c r="AL6" s="30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BA6" s="21"/>
      <c r="BB6" s="22"/>
      <c r="BD6" s="7"/>
      <c r="BE6" s="7"/>
      <c r="BF6" s="8"/>
      <c r="BG6" s="7"/>
      <c r="BI6" s="12"/>
      <c r="BJ6" s="12"/>
      <c r="BK6" s="13"/>
      <c r="BL6" s="12"/>
      <c r="BM6" s="12"/>
      <c r="BO6" s="17"/>
      <c r="BP6" s="17"/>
      <c r="BQ6" s="18"/>
      <c r="BR6" s="17"/>
    </row>
    <row r="7" spans="1:70">
      <c r="A7" t="s">
        <v>597</v>
      </c>
      <c r="C7" s="1">
        <v>8173095</v>
      </c>
      <c r="D7" s="1">
        <v>7675689</v>
      </c>
      <c r="E7" s="1">
        <v>8414156</v>
      </c>
      <c r="F7" s="1">
        <v>8563466</v>
      </c>
      <c r="G7" s="1">
        <v>9131779</v>
      </c>
      <c r="H7" s="1">
        <v>9131492</v>
      </c>
      <c r="I7" s="1">
        <v>9594368</v>
      </c>
      <c r="J7" s="1">
        <v>10033356</v>
      </c>
      <c r="K7" s="1">
        <v>9825109</v>
      </c>
      <c r="L7" s="1">
        <v>10162498</v>
      </c>
      <c r="M7" s="1">
        <v>10231514</v>
      </c>
      <c r="N7" s="1">
        <v>10686547</v>
      </c>
      <c r="O7" s="1">
        <v>10631050</v>
      </c>
      <c r="P7" s="1">
        <v>10142916</v>
      </c>
      <c r="Q7" s="1">
        <v>10732765</v>
      </c>
      <c r="R7" s="1">
        <v>10349201</v>
      </c>
      <c r="S7" s="1">
        <v>10920800</v>
      </c>
      <c r="T7" s="1">
        <v>10524807</v>
      </c>
      <c r="U7" s="1">
        <v>10862535</v>
      </c>
      <c r="V7" s="1">
        <v>11127411</v>
      </c>
      <c r="W7" s="1">
        <v>10782722</v>
      </c>
      <c r="X7" s="1">
        <v>10958968</v>
      </c>
      <c r="Y7" s="1">
        <v>10760313</v>
      </c>
      <c r="Z7" s="1">
        <v>11208301</v>
      </c>
      <c r="AA7" s="1">
        <v>11021519</v>
      </c>
      <c r="AB7" s="1">
        <v>10175683</v>
      </c>
      <c r="AC7" s="1">
        <v>11325718</v>
      </c>
      <c r="AD7" s="1">
        <v>10975081</v>
      </c>
      <c r="AE7" s="1">
        <v>11813281</v>
      </c>
      <c r="AF7" s="1">
        <v>12149899</v>
      </c>
      <c r="AG7" s="1">
        <v>12617874</v>
      </c>
      <c r="AH7" s="1">
        <v>12432624</v>
      </c>
      <c r="AI7" s="30">
        <v>12175086</v>
      </c>
      <c r="AJ7" s="30">
        <v>13103415</v>
      </c>
      <c r="AK7" s="30">
        <v>12037013</v>
      </c>
      <c r="AL7" s="30">
        <v>12352132</v>
      </c>
      <c r="AM7" s="1">
        <v>12400017</v>
      </c>
      <c r="AN7" s="1">
        <v>11484453</v>
      </c>
      <c r="AO7" s="1">
        <v>12482722</v>
      </c>
      <c r="AP7" s="1">
        <v>12230948</v>
      </c>
      <c r="AQ7" s="1">
        <v>12654636</v>
      </c>
      <c r="AR7" s="1">
        <v>12387691</v>
      </c>
      <c r="AS7" s="1">
        <v>12824477</v>
      </c>
      <c r="AT7" s="1">
        <v>12945216</v>
      </c>
      <c r="AU7" s="1">
        <v>12677930</v>
      </c>
      <c r="AV7" s="1">
        <v>13099430</v>
      </c>
      <c r="AW7" s="1">
        <v>12831672</v>
      </c>
      <c r="AX7" s="1">
        <v>13224722</v>
      </c>
      <c r="AY7" s="1">
        <v>530438134</v>
      </c>
      <c r="BA7" s="21">
        <f>SUM(C7:N7)</f>
        <v>111623069</v>
      </c>
      <c r="BB7" s="22">
        <f>+BA7/12</f>
        <v>9301922.416666666</v>
      </c>
      <c r="BD7" s="7">
        <f>SUM(O7:Z7)</f>
        <v>129001789</v>
      </c>
      <c r="BE7" s="7">
        <f>+BD7-BA7</f>
        <v>17378720</v>
      </c>
      <c r="BF7" s="8">
        <f>(BD7/BA7)-1</f>
        <v>0.15569111435199834</v>
      </c>
      <c r="BG7" s="7">
        <f>BD7/12</f>
        <v>10750149.083333334</v>
      </c>
      <c r="BI7" s="12">
        <f>+SUM(AA7:AL7)</f>
        <v>142179325</v>
      </c>
      <c r="BJ7" s="12">
        <f>+BI7-BD7</f>
        <v>13177536</v>
      </c>
      <c r="BK7" s="13">
        <f>(BI7/BD7)-1</f>
        <v>0.10215002522174332</v>
      </c>
      <c r="BL7" s="12">
        <f>SUM(AA7:AH7)/8</f>
        <v>11563959.875</v>
      </c>
      <c r="BM7" s="12">
        <f>SUM(AI7:AL7)/4</f>
        <v>12416911.5</v>
      </c>
      <c r="BO7" s="17">
        <f>+SUM(AM7:AX7)</f>
        <v>151243914</v>
      </c>
      <c r="BP7" s="17">
        <f>+BO7-BI7</f>
        <v>9064589</v>
      </c>
      <c r="BQ7" s="18">
        <f>(BO7/BI7)-1</f>
        <v>6.375462114481123E-2</v>
      </c>
      <c r="BR7" s="17">
        <f>BO7/12</f>
        <v>12603659.5</v>
      </c>
    </row>
    <row r="8" spans="1:70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30"/>
      <c r="AJ8" s="30"/>
      <c r="AK8" s="30"/>
      <c r="AL8" s="30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BA8" s="21"/>
      <c r="BB8" s="22"/>
      <c r="BD8" s="7"/>
      <c r="BE8" s="7"/>
      <c r="BF8" s="8"/>
      <c r="BG8" s="7"/>
      <c r="BI8" s="12"/>
      <c r="BJ8" s="12"/>
      <c r="BK8" s="13"/>
      <c r="BL8" s="12"/>
      <c r="BM8" s="12"/>
      <c r="BO8" s="17"/>
      <c r="BP8" s="17"/>
      <c r="BQ8" s="18"/>
      <c r="BR8" s="17"/>
    </row>
    <row r="9" spans="1:70">
      <c r="A9" t="s">
        <v>605</v>
      </c>
      <c r="C9" s="1">
        <v>1542896</v>
      </c>
      <c r="D9" s="1">
        <v>1473921</v>
      </c>
      <c r="E9" s="1">
        <v>1729813</v>
      </c>
      <c r="F9" s="1">
        <v>1751942</v>
      </c>
      <c r="G9" s="1">
        <v>1842805</v>
      </c>
      <c r="H9" s="1">
        <v>1811062</v>
      </c>
      <c r="I9" s="1">
        <v>2171595</v>
      </c>
      <c r="J9" s="1">
        <v>2612865</v>
      </c>
      <c r="K9" s="1">
        <v>2730212</v>
      </c>
      <c r="L9" s="1">
        <v>2931749</v>
      </c>
      <c r="M9" s="1">
        <v>3025383</v>
      </c>
      <c r="N9" s="1">
        <v>3326012</v>
      </c>
      <c r="O9" s="1">
        <v>3398382</v>
      </c>
      <c r="P9" s="1">
        <v>3269248</v>
      </c>
      <c r="Q9" s="1">
        <v>3599507</v>
      </c>
      <c r="R9" s="1">
        <v>3574879</v>
      </c>
      <c r="S9" s="1">
        <v>3819107</v>
      </c>
      <c r="T9" s="1">
        <v>3775773</v>
      </c>
      <c r="U9" s="1">
        <v>3907457</v>
      </c>
      <c r="V9" s="1">
        <v>3755426</v>
      </c>
      <c r="W9" s="1">
        <v>3523514</v>
      </c>
      <c r="X9" s="1">
        <v>3596654</v>
      </c>
      <c r="Y9" s="1">
        <v>3478827</v>
      </c>
      <c r="Z9" s="1">
        <v>3597838</v>
      </c>
      <c r="AA9" s="1">
        <v>3453158</v>
      </c>
      <c r="AB9" s="1">
        <v>3003756</v>
      </c>
      <c r="AC9" s="1">
        <v>3208357</v>
      </c>
      <c r="AD9" s="1">
        <v>3063156</v>
      </c>
      <c r="AE9" s="1">
        <v>3152469</v>
      </c>
      <c r="AF9" s="1">
        <v>3090055</v>
      </c>
      <c r="AG9" s="1">
        <v>3321887</v>
      </c>
      <c r="AH9" s="1">
        <v>3431302</v>
      </c>
      <c r="AI9" s="30">
        <v>3712959</v>
      </c>
      <c r="AJ9" s="30">
        <v>3820631</v>
      </c>
      <c r="AK9" s="30">
        <v>3725044</v>
      </c>
      <c r="AL9" s="30">
        <v>3941771</v>
      </c>
      <c r="AM9" s="1">
        <v>3937536</v>
      </c>
      <c r="AN9" s="1">
        <v>3495098</v>
      </c>
      <c r="AO9" s="1">
        <v>3867825</v>
      </c>
      <c r="AP9" s="1">
        <v>3747965</v>
      </c>
      <c r="AQ9" s="1">
        <v>3876889</v>
      </c>
      <c r="AR9" s="1">
        <v>3644374</v>
      </c>
      <c r="AS9" s="1">
        <v>3770002</v>
      </c>
      <c r="AT9" s="1">
        <v>3797959</v>
      </c>
      <c r="AU9" s="1">
        <v>3599275</v>
      </c>
      <c r="AV9" s="1">
        <v>3743312</v>
      </c>
      <c r="AW9" s="1">
        <v>3655994</v>
      </c>
      <c r="AX9" s="1">
        <v>3808685</v>
      </c>
      <c r="AY9" s="1">
        <v>155011056</v>
      </c>
      <c r="BA9" s="21">
        <f>SUM(C9:N9)</f>
        <v>26950255</v>
      </c>
      <c r="BB9" s="22">
        <f>+BA9/12</f>
        <v>2245854.5833333335</v>
      </c>
      <c r="BD9" s="7">
        <f>SUM(O9:Z9)</f>
        <v>43296612</v>
      </c>
      <c r="BE9" s="7">
        <f>+BD9-BA9</f>
        <v>16346357</v>
      </c>
      <c r="BF9" s="8">
        <f>(BD9/BA9)-1</f>
        <v>0.60653811995470908</v>
      </c>
      <c r="BG9" s="7">
        <f>BD9/12</f>
        <v>3608051</v>
      </c>
      <c r="BI9" s="12">
        <f>+SUM(AA9:AL9)</f>
        <v>40924545</v>
      </c>
      <c r="BJ9" s="12">
        <f>+BI9-BD9</f>
        <v>-2372067</v>
      </c>
      <c r="BK9" s="13">
        <f>(BI9/BD9)-1</f>
        <v>-5.4786434559821906E-2</v>
      </c>
      <c r="BL9" s="12">
        <f>SUM(AA9:AH9)/8</f>
        <v>3215517.5</v>
      </c>
      <c r="BM9" s="12">
        <f>SUM(AI9:AL9)/4</f>
        <v>3800101.25</v>
      </c>
      <c r="BO9" s="17">
        <f>+SUM(AM9:AX9)</f>
        <v>44944914</v>
      </c>
      <c r="BP9" s="17">
        <f>+BO9-BI9</f>
        <v>4020369</v>
      </c>
      <c r="BQ9" s="18">
        <f>(BO9/BI9)-1</f>
        <v>9.8238575407496809E-2</v>
      </c>
      <c r="BR9" s="17">
        <f>BO9/12</f>
        <v>3745409.5</v>
      </c>
    </row>
    <row r="10" spans="1:70">
      <c r="A10" t="s">
        <v>609</v>
      </c>
      <c r="C10" s="1">
        <v>514566</v>
      </c>
      <c r="D10" s="1">
        <v>434646</v>
      </c>
      <c r="E10" s="1">
        <v>527620</v>
      </c>
      <c r="F10" s="1">
        <v>631100</v>
      </c>
      <c r="G10" s="1">
        <v>872401</v>
      </c>
      <c r="H10" s="1">
        <v>998886</v>
      </c>
      <c r="I10" s="1">
        <v>1022417</v>
      </c>
      <c r="J10" s="1">
        <v>1034355</v>
      </c>
      <c r="K10" s="1">
        <v>1000273</v>
      </c>
      <c r="L10" s="1">
        <v>958362</v>
      </c>
      <c r="M10" s="1">
        <v>871336</v>
      </c>
      <c r="N10" s="1">
        <v>833184</v>
      </c>
      <c r="O10" s="1">
        <v>751089</v>
      </c>
      <c r="P10" s="1">
        <v>516075</v>
      </c>
      <c r="Q10" s="1">
        <v>626191</v>
      </c>
      <c r="R10" s="1">
        <v>497615</v>
      </c>
      <c r="S10" s="1">
        <v>473141</v>
      </c>
      <c r="T10" s="1">
        <v>404873</v>
      </c>
      <c r="U10" s="1">
        <v>403638</v>
      </c>
      <c r="V10" s="1">
        <v>411335</v>
      </c>
      <c r="W10" s="1">
        <v>402291</v>
      </c>
      <c r="X10" s="1">
        <v>405006</v>
      </c>
      <c r="Y10" s="1">
        <v>393996</v>
      </c>
      <c r="Z10" s="1">
        <v>405484</v>
      </c>
      <c r="AA10" s="1">
        <v>405732</v>
      </c>
      <c r="AB10" s="1">
        <v>368486</v>
      </c>
      <c r="AC10" s="1">
        <v>402439</v>
      </c>
      <c r="AD10" s="1">
        <v>391875</v>
      </c>
      <c r="AE10" s="1">
        <v>724717</v>
      </c>
      <c r="AF10" s="1">
        <v>1301449</v>
      </c>
      <c r="AG10" s="1">
        <v>1339901</v>
      </c>
      <c r="AH10" s="1">
        <v>1025543</v>
      </c>
      <c r="AI10" s="30">
        <v>672493</v>
      </c>
      <c r="AJ10" s="30">
        <v>896554</v>
      </c>
      <c r="AK10" s="30">
        <v>456674</v>
      </c>
      <c r="AL10" s="30">
        <v>298105</v>
      </c>
      <c r="AM10" s="1">
        <v>336643</v>
      </c>
      <c r="AN10" s="1">
        <v>304065</v>
      </c>
      <c r="AO10" s="1">
        <v>336643</v>
      </c>
      <c r="AP10" s="1">
        <v>325784</v>
      </c>
      <c r="AQ10" s="1">
        <v>336643</v>
      </c>
      <c r="AR10" s="1">
        <v>325784</v>
      </c>
      <c r="AS10" s="1">
        <v>305218</v>
      </c>
      <c r="AT10" s="1">
        <v>273794</v>
      </c>
      <c r="AU10" s="1">
        <v>264962</v>
      </c>
      <c r="AV10" s="1">
        <v>267105</v>
      </c>
      <c r="AW10" s="1">
        <v>252016</v>
      </c>
      <c r="AX10" s="1">
        <v>260417</v>
      </c>
      <c r="AY10" s="1">
        <v>25096470</v>
      </c>
      <c r="BA10" s="21">
        <f>SUM(C10:N10)</f>
        <v>9699146</v>
      </c>
      <c r="BB10" s="22">
        <f>+BA10/12</f>
        <v>808262.16666666663</v>
      </c>
      <c r="BD10" s="7">
        <f>SUM(O10:Z10)</f>
        <v>5690734</v>
      </c>
      <c r="BE10" s="7">
        <f>+BD10-BA10</f>
        <v>-4008412</v>
      </c>
      <c r="BF10" s="8">
        <f>(BD10/BA10)-1</f>
        <v>-0.41327473573446571</v>
      </c>
      <c r="BG10" s="7">
        <f>BD10/12</f>
        <v>474227.83333333331</v>
      </c>
      <c r="BI10" s="12">
        <f>+SUM(AA10:AL10)</f>
        <v>8283968</v>
      </c>
      <c r="BJ10" s="12">
        <f>+BI10-BD10</f>
        <v>2593234</v>
      </c>
      <c r="BK10" s="13">
        <f>(BI10/BD10)-1</f>
        <v>0.45569411608414656</v>
      </c>
      <c r="BL10" s="12">
        <f>SUM(AA10:AH10)/8</f>
        <v>745017.75</v>
      </c>
      <c r="BM10" s="12">
        <f>SUM(AI10:AL10)/4</f>
        <v>580956.5</v>
      </c>
      <c r="BO10" s="17">
        <f>+SUM(AM10:AX10)</f>
        <v>3589074</v>
      </c>
      <c r="BP10" s="17">
        <f>+BO10-BI10</f>
        <v>-4694894</v>
      </c>
      <c r="BQ10" s="18">
        <f>(BO10/BI10)-1</f>
        <v>-0.56674458423789176</v>
      </c>
      <c r="BR10" s="17">
        <f>BO10/12</f>
        <v>299089.5</v>
      </c>
    </row>
    <row r="11" spans="1:70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30"/>
      <c r="AJ11" s="30"/>
      <c r="AK11" s="30"/>
      <c r="AL11" s="30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BA11" s="21"/>
      <c r="BB11" s="22"/>
      <c r="BD11" s="7"/>
      <c r="BE11" s="7"/>
      <c r="BF11" s="8"/>
      <c r="BG11" s="7"/>
      <c r="BI11" s="12"/>
      <c r="BJ11" s="12"/>
      <c r="BK11" s="13"/>
      <c r="BL11" s="12"/>
      <c r="BM11" s="12"/>
      <c r="BO11" s="17"/>
      <c r="BP11" s="17"/>
      <c r="BQ11" s="18"/>
      <c r="BR11" s="17"/>
    </row>
    <row r="12" spans="1:70">
      <c r="A12" t="s">
        <v>610</v>
      </c>
      <c r="C12" s="1">
        <v>2057462</v>
      </c>
      <c r="D12" s="1">
        <v>1908567</v>
      </c>
      <c r="E12" s="1">
        <v>2257433</v>
      </c>
      <c r="F12" s="1">
        <v>2383043</v>
      </c>
      <c r="G12" s="1">
        <v>2715205</v>
      </c>
      <c r="H12" s="1">
        <v>2809948</v>
      </c>
      <c r="I12" s="1">
        <v>3194013</v>
      </c>
      <c r="J12" s="1">
        <v>3647220</v>
      </c>
      <c r="K12" s="1">
        <v>3730485</v>
      </c>
      <c r="L12" s="1">
        <v>3890111</v>
      </c>
      <c r="M12" s="1">
        <v>3896719</v>
      </c>
      <c r="N12" s="1">
        <v>4159196</v>
      </c>
      <c r="O12" s="1">
        <v>4149472</v>
      </c>
      <c r="P12" s="1">
        <v>3785323</v>
      </c>
      <c r="Q12" s="1">
        <v>4225698</v>
      </c>
      <c r="R12" s="1">
        <v>4072494</v>
      </c>
      <c r="S12" s="1">
        <v>4292249</v>
      </c>
      <c r="T12" s="1">
        <v>4180646</v>
      </c>
      <c r="U12" s="1">
        <v>4311095</v>
      </c>
      <c r="V12" s="1">
        <v>4166762</v>
      </c>
      <c r="W12" s="1">
        <v>3925804</v>
      </c>
      <c r="X12" s="1">
        <v>4001660</v>
      </c>
      <c r="Y12" s="1">
        <v>3872823</v>
      </c>
      <c r="Z12" s="1">
        <v>4003323</v>
      </c>
      <c r="AA12" s="1">
        <v>3858890</v>
      </c>
      <c r="AB12" s="1">
        <v>3372242</v>
      </c>
      <c r="AC12" s="1">
        <v>3610796</v>
      </c>
      <c r="AD12" s="1">
        <v>3455031</v>
      </c>
      <c r="AE12" s="1">
        <v>3877186</v>
      </c>
      <c r="AF12" s="1">
        <v>4391503</v>
      </c>
      <c r="AG12" s="1">
        <v>4661788</v>
      </c>
      <c r="AH12" s="1">
        <v>4456845</v>
      </c>
      <c r="AI12" s="30">
        <v>4385452</v>
      </c>
      <c r="AJ12" s="30">
        <v>4717185</v>
      </c>
      <c r="AK12" s="30">
        <v>4181718</v>
      </c>
      <c r="AL12" s="30">
        <v>4239877</v>
      </c>
      <c r="AM12" s="1">
        <v>4274179</v>
      </c>
      <c r="AN12" s="1">
        <v>3799162</v>
      </c>
      <c r="AO12" s="1">
        <v>4204468</v>
      </c>
      <c r="AP12" s="1">
        <v>4073749</v>
      </c>
      <c r="AQ12" s="1">
        <v>4213532</v>
      </c>
      <c r="AR12" s="1">
        <v>3970158</v>
      </c>
      <c r="AS12" s="1">
        <v>4075220</v>
      </c>
      <c r="AT12" s="1">
        <v>4071752</v>
      </c>
      <c r="AU12" s="1">
        <v>3864237</v>
      </c>
      <c r="AV12" s="1">
        <v>4010417</v>
      </c>
      <c r="AW12" s="1">
        <v>3908011</v>
      </c>
      <c r="AX12" s="1">
        <v>4069102</v>
      </c>
      <c r="AY12" s="1">
        <v>180107526</v>
      </c>
      <c r="BA12" s="21">
        <f>SUM(C12:N12)</f>
        <v>36649402</v>
      </c>
      <c r="BB12" s="22">
        <f>+BA12/12</f>
        <v>3054116.8333333335</v>
      </c>
      <c r="BD12" s="7">
        <f>SUM(O12:Z12)</f>
        <v>48987349</v>
      </c>
      <c r="BE12" s="7">
        <f>+BD12-BA12</f>
        <v>12337947</v>
      </c>
      <c r="BF12" s="8">
        <f>(BD12/BA12)-1</f>
        <v>0.33664797586601813</v>
      </c>
      <c r="BG12" s="7">
        <f>BD12/12</f>
        <v>4082279.0833333335</v>
      </c>
      <c r="BI12" s="12">
        <f>+SUM(AA12:AL12)</f>
        <v>49208513</v>
      </c>
      <c r="BJ12" s="12">
        <f>+BI12-BD12</f>
        <v>221164</v>
      </c>
      <c r="BK12" s="13">
        <f>(BI12/BD12)-1</f>
        <v>4.5147166465366873E-3</v>
      </c>
      <c r="BL12" s="12">
        <f>SUM(AA12:AH12)/8</f>
        <v>3960535.125</v>
      </c>
      <c r="BM12" s="12">
        <f>SUM(AI12:AL12)/4</f>
        <v>4381058</v>
      </c>
      <c r="BO12" s="17">
        <f>+SUM(AM12:AX12)</f>
        <v>48533987</v>
      </c>
      <c r="BP12" s="17">
        <f>+BO12-BI12</f>
        <v>-674526</v>
      </c>
      <c r="BQ12" s="18">
        <f>(BO12/BI12)-1</f>
        <v>-1.3707506260146496E-2</v>
      </c>
      <c r="BR12" s="17">
        <f>BO12/12</f>
        <v>4044498.9166666665</v>
      </c>
    </row>
    <row r="13" spans="1:70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30"/>
      <c r="AJ13" s="30"/>
      <c r="AK13" s="30"/>
      <c r="AL13" s="30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BA13" s="21"/>
      <c r="BB13" s="22"/>
      <c r="BD13" s="7"/>
      <c r="BE13" s="7"/>
      <c r="BF13" s="8"/>
      <c r="BG13" s="7"/>
      <c r="BI13" s="12"/>
      <c r="BJ13" s="12"/>
      <c r="BK13" s="13"/>
      <c r="BL13" s="12"/>
      <c r="BM13" s="12"/>
      <c r="BO13" s="17"/>
      <c r="BP13" s="17"/>
      <c r="BQ13" s="18"/>
      <c r="BR13" s="17"/>
    </row>
    <row r="14" spans="1:70">
      <c r="A14" t="s">
        <v>611</v>
      </c>
      <c r="C14" s="1">
        <v>2057462</v>
      </c>
      <c r="D14" s="1">
        <v>1908567</v>
      </c>
      <c r="E14" s="1">
        <v>2257433</v>
      </c>
      <c r="F14" s="1">
        <v>2383043</v>
      </c>
      <c r="G14" s="1">
        <v>2715205</v>
      </c>
      <c r="H14" s="1">
        <v>2809948</v>
      </c>
      <c r="I14" s="1">
        <v>3194013</v>
      </c>
      <c r="J14" s="1">
        <v>3647220</v>
      </c>
      <c r="K14" s="1">
        <v>3730485</v>
      </c>
      <c r="L14" s="1">
        <v>3890111</v>
      </c>
      <c r="M14" s="1">
        <v>3896719</v>
      </c>
      <c r="N14" s="1">
        <v>4159196</v>
      </c>
      <c r="O14" s="1">
        <v>4149472</v>
      </c>
      <c r="P14" s="1">
        <v>3785323</v>
      </c>
      <c r="Q14" s="1">
        <v>4225698</v>
      </c>
      <c r="R14" s="1">
        <v>4072494</v>
      </c>
      <c r="S14" s="1">
        <v>4292249</v>
      </c>
      <c r="T14" s="1">
        <v>4180646</v>
      </c>
      <c r="U14" s="1">
        <v>4311095</v>
      </c>
      <c r="V14" s="1">
        <v>4166762</v>
      </c>
      <c r="W14" s="1">
        <v>3925804</v>
      </c>
      <c r="X14" s="1">
        <v>4001660</v>
      </c>
      <c r="Y14" s="1">
        <v>3872823</v>
      </c>
      <c r="Z14" s="1">
        <v>4003323</v>
      </c>
      <c r="AA14" s="1">
        <v>3858890</v>
      </c>
      <c r="AB14" s="1">
        <v>3372242</v>
      </c>
      <c r="AC14" s="1">
        <v>3610796</v>
      </c>
      <c r="AD14" s="1">
        <v>3455031</v>
      </c>
      <c r="AE14" s="1">
        <v>3877186</v>
      </c>
      <c r="AF14" s="1">
        <v>4391503</v>
      </c>
      <c r="AG14" s="1">
        <v>4661788</v>
      </c>
      <c r="AH14" s="1">
        <v>4456845</v>
      </c>
      <c r="AI14" s="30">
        <v>4385452</v>
      </c>
      <c r="AJ14" s="30">
        <v>4717185</v>
      </c>
      <c r="AK14" s="30">
        <v>4181718</v>
      </c>
      <c r="AL14" s="30">
        <v>4239877</v>
      </c>
      <c r="AM14" s="1">
        <v>4274179</v>
      </c>
      <c r="AN14" s="1">
        <v>3799162</v>
      </c>
      <c r="AO14" s="1">
        <v>4204468</v>
      </c>
      <c r="AP14" s="1">
        <v>4073749</v>
      </c>
      <c r="AQ14" s="1">
        <v>4213532</v>
      </c>
      <c r="AR14" s="1">
        <v>3970158</v>
      </c>
      <c r="AS14" s="1">
        <v>4075220</v>
      </c>
      <c r="AT14" s="1">
        <v>4071752</v>
      </c>
      <c r="AU14" s="1">
        <v>3864237</v>
      </c>
      <c r="AV14" s="1">
        <v>4010417</v>
      </c>
      <c r="AW14" s="1">
        <v>3908011</v>
      </c>
      <c r="AX14" s="1">
        <v>4069102</v>
      </c>
      <c r="AY14" s="1">
        <v>180107526</v>
      </c>
      <c r="BA14" s="21">
        <f>SUM(C14:N14)</f>
        <v>36649402</v>
      </c>
      <c r="BB14" s="22">
        <f>+BA14/12</f>
        <v>3054116.8333333335</v>
      </c>
      <c r="BD14" s="7">
        <f>SUM(O14:Z14)</f>
        <v>48987349</v>
      </c>
      <c r="BE14" s="7">
        <f>+BD14-BA14</f>
        <v>12337947</v>
      </c>
      <c r="BF14" s="8">
        <f>(BD14/BA14)-1</f>
        <v>0.33664797586601813</v>
      </c>
      <c r="BG14" s="7">
        <f>BD14/12</f>
        <v>4082279.0833333335</v>
      </c>
      <c r="BI14" s="12">
        <f>+SUM(AA14:AL14)</f>
        <v>49208513</v>
      </c>
      <c r="BJ14" s="12">
        <f>+BI14-BD14</f>
        <v>221164</v>
      </c>
      <c r="BK14" s="13">
        <f>(BI14/BD14)-1</f>
        <v>4.5147166465366873E-3</v>
      </c>
      <c r="BL14" s="12">
        <f>SUM(AA14:AH14)/8</f>
        <v>3960535.125</v>
      </c>
      <c r="BM14" s="12">
        <f>SUM(AI14:AL14)/4</f>
        <v>4381058</v>
      </c>
      <c r="BO14" s="17">
        <f>+SUM(AM14:AX14)</f>
        <v>48533987</v>
      </c>
      <c r="BP14" s="17">
        <f>+BO14-BI14</f>
        <v>-674526</v>
      </c>
      <c r="BQ14" s="18">
        <f>(BO14/BI14)-1</f>
        <v>-1.3707506260146496E-2</v>
      </c>
      <c r="BR14" s="17">
        <f>BO14/12</f>
        <v>4044498.9166666665</v>
      </c>
    </row>
    <row r="15" spans="1:70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30"/>
      <c r="AJ15" s="30"/>
      <c r="AK15" s="30"/>
      <c r="AL15" s="30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BA15" s="21"/>
      <c r="BB15" s="22"/>
      <c r="BD15" s="7"/>
      <c r="BE15" s="7"/>
      <c r="BF15" s="8"/>
      <c r="BG15" s="7"/>
      <c r="BI15" s="12"/>
      <c r="BJ15" s="12"/>
      <c r="BK15" s="13"/>
      <c r="BL15" s="12"/>
      <c r="BM15" s="12"/>
      <c r="BO15" s="17"/>
      <c r="BP15" s="17"/>
      <c r="BQ15" s="18"/>
      <c r="BR15" s="17"/>
    </row>
    <row r="16" spans="1:70">
      <c r="A16" t="s">
        <v>612</v>
      </c>
      <c r="C16" s="1">
        <v>6115633</v>
      </c>
      <c r="D16" s="1">
        <v>5767122</v>
      </c>
      <c r="E16" s="1">
        <v>6156722</v>
      </c>
      <c r="F16" s="1">
        <v>6180423</v>
      </c>
      <c r="G16" s="1">
        <v>6416573</v>
      </c>
      <c r="H16" s="1">
        <v>6321543</v>
      </c>
      <c r="I16" s="1">
        <v>6400356</v>
      </c>
      <c r="J16" s="1">
        <v>6386135</v>
      </c>
      <c r="K16" s="1">
        <v>6094624</v>
      </c>
      <c r="L16" s="1">
        <v>6272386</v>
      </c>
      <c r="M16" s="1">
        <v>6334796</v>
      </c>
      <c r="N16" s="1">
        <v>6527350</v>
      </c>
      <c r="O16" s="1">
        <v>6481578</v>
      </c>
      <c r="P16" s="1">
        <v>6357593</v>
      </c>
      <c r="Q16" s="1">
        <v>6507066</v>
      </c>
      <c r="R16" s="1">
        <v>6276708</v>
      </c>
      <c r="S16" s="1">
        <v>6628551</v>
      </c>
      <c r="T16" s="1">
        <v>6344161</v>
      </c>
      <c r="U16" s="1">
        <v>6551440</v>
      </c>
      <c r="V16" s="1">
        <v>6960649</v>
      </c>
      <c r="W16" s="1">
        <v>6856917</v>
      </c>
      <c r="X16" s="1">
        <v>6957308</v>
      </c>
      <c r="Y16" s="1">
        <v>6887490</v>
      </c>
      <c r="Z16" s="1">
        <v>7204979</v>
      </c>
      <c r="AA16" s="1">
        <v>7162629</v>
      </c>
      <c r="AB16" s="1">
        <v>6803441</v>
      </c>
      <c r="AC16" s="1">
        <v>7714923</v>
      </c>
      <c r="AD16" s="1">
        <v>7520050</v>
      </c>
      <c r="AE16" s="1">
        <v>7936096</v>
      </c>
      <c r="AF16" s="1">
        <v>7758396</v>
      </c>
      <c r="AG16" s="1">
        <v>7956086</v>
      </c>
      <c r="AH16" s="1">
        <v>7975779</v>
      </c>
      <c r="AI16" s="30">
        <v>7789634</v>
      </c>
      <c r="AJ16" s="30">
        <v>8386230</v>
      </c>
      <c r="AK16" s="30">
        <v>7855296</v>
      </c>
      <c r="AL16" s="30">
        <v>8112255</v>
      </c>
      <c r="AM16" s="1">
        <v>8125838</v>
      </c>
      <c r="AN16" s="1">
        <v>7685291</v>
      </c>
      <c r="AO16" s="1">
        <v>8278254</v>
      </c>
      <c r="AP16" s="1">
        <v>8157200</v>
      </c>
      <c r="AQ16" s="1">
        <v>8441103</v>
      </c>
      <c r="AR16" s="1">
        <v>8417533</v>
      </c>
      <c r="AS16" s="1">
        <v>8749257</v>
      </c>
      <c r="AT16" s="1">
        <v>8873464</v>
      </c>
      <c r="AU16" s="1">
        <v>8813693</v>
      </c>
      <c r="AV16" s="1">
        <v>9089013</v>
      </c>
      <c r="AW16" s="1">
        <v>8923661</v>
      </c>
      <c r="AX16" s="1">
        <v>9155620</v>
      </c>
      <c r="AY16" s="1">
        <v>350330608</v>
      </c>
      <c r="BA16" s="21">
        <f>SUM(C16:N16)</f>
        <v>74973663</v>
      </c>
      <c r="BB16" s="22">
        <f>+BA16/12</f>
        <v>6247805.25</v>
      </c>
      <c r="BD16" s="7">
        <f>SUM(O16:Z16)</f>
        <v>80014440</v>
      </c>
      <c r="BE16" s="7">
        <f>+BD16-BA16</f>
        <v>5040777</v>
      </c>
      <c r="BF16" s="8">
        <f>(BD16/BA16)-1</f>
        <v>6.7233969880863276E-2</v>
      </c>
      <c r="BG16" s="7">
        <f>BD16/12</f>
        <v>6667870</v>
      </c>
      <c r="BI16" s="12">
        <f>+SUM(AA16:AL16)</f>
        <v>92970815</v>
      </c>
      <c r="BJ16" s="12">
        <f>+BI16-BD16</f>
        <v>12956375</v>
      </c>
      <c r="BK16" s="13">
        <f>(BI16/BD16)-1</f>
        <v>0.16192545995447816</v>
      </c>
      <c r="BL16" s="12">
        <f>SUM(AA16:AH16)/8</f>
        <v>7603425</v>
      </c>
      <c r="BM16" s="12">
        <f>SUM(AI16:AL16)/4</f>
        <v>8035853.75</v>
      </c>
      <c r="BO16" s="17">
        <f>+SUM(AM16:AX16)</f>
        <v>102709927</v>
      </c>
      <c r="BP16" s="17">
        <f>+BO16-BI16</f>
        <v>9739112</v>
      </c>
      <c r="BQ16" s="18">
        <f>(BO16/BI16)-1</f>
        <v>0.1047545081754957</v>
      </c>
      <c r="BR16" s="17">
        <f>BO16/12</f>
        <v>8559160.583333334</v>
      </c>
    </row>
    <row r="17" spans="1:71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30"/>
      <c r="AJ17" s="30"/>
      <c r="AK17" s="30"/>
      <c r="AL17" s="30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BA17" s="21"/>
      <c r="BB17" s="22"/>
      <c r="BD17" s="7"/>
      <c r="BE17" s="7"/>
      <c r="BF17" s="8"/>
      <c r="BG17" s="7"/>
      <c r="BI17" s="12"/>
      <c r="BJ17" s="12"/>
      <c r="BK17" s="13"/>
      <c r="BL17" s="12"/>
      <c r="BM17" s="12"/>
      <c r="BO17" s="17"/>
      <c r="BP17" s="17"/>
      <c r="BQ17" s="18"/>
      <c r="BR17" s="17"/>
    </row>
    <row r="18" spans="1:71">
      <c r="A18" t="s">
        <v>616</v>
      </c>
      <c r="C18" s="1">
        <v>924997</v>
      </c>
      <c r="D18" s="1">
        <v>1076269</v>
      </c>
      <c r="E18" s="1">
        <v>1005972</v>
      </c>
      <c r="F18" s="1">
        <v>1374512</v>
      </c>
      <c r="G18" s="1">
        <v>1790877</v>
      </c>
      <c r="H18" s="1">
        <v>1890810</v>
      </c>
      <c r="I18" s="1">
        <v>1244623</v>
      </c>
      <c r="J18" s="1">
        <v>1910109</v>
      </c>
      <c r="K18" s="1">
        <v>1900994</v>
      </c>
      <c r="L18" s="1">
        <v>2186956</v>
      </c>
      <c r="M18" s="1">
        <v>1518174</v>
      </c>
      <c r="N18" s="1">
        <v>2333819</v>
      </c>
      <c r="O18" s="1">
        <v>2308615</v>
      </c>
      <c r="P18" s="1">
        <v>1913134</v>
      </c>
      <c r="Q18" s="1">
        <v>2893585</v>
      </c>
      <c r="R18" s="1">
        <v>1757731</v>
      </c>
      <c r="S18" s="1">
        <v>2036652</v>
      </c>
      <c r="T18" s="1">
        <v>1643831</v>
      </c>
      <c r="U18" s="1">
        <v>2145598</v>
      </c>
      <c r="V18" s="1">
        <v>1738079</v>
      </c>
      <c r="W18" s="1">
        <v>2063605</v>
      </c>
      <c r="X18" s="1">
        <v>2264016</v>
      </c>
      <c r="Y18" s="1">
        <v>1783854</v>
      </c>
      <c r="Z18" s="1">
        <v>2609528</v>
      </c>
      <c r="AA18" s="1">
        <v>2551124</v>
      </c>
      <c r="AB18" s="1">
        <v>2435698</v>
      </c>
      <c r="AC18" s="1">
        <v>2888927</v>
      </c>
      <c r="AD18" s="1">
        <v>3769476</v>
      </c>
      <c r="AE18" s="1">
        <v>2848514</v>
      </c>
      <c r="AF18" s="1">
        <v>2805462</v>
      </c>
      <c r="AG18" s="1">
        <v>2072769</v>
      </c>
      <c r="AH18" s="1">
        <v>2393581</v>
      </c>
      <c r="AI18" s="30">
        <v>3744831</v>
      </c>
      <c r="AJ18" s="30">
        <v>2906524</v>
      </c>
      <c r="AK18" s="30">
        <v>2536389</v>
      </c>
      <c r="AL18" s="30">
        <v>2543179</v>
      </c>
      <c r="AM18" s="1">
        <v>2581357</v>
      </c>
      <c r="AN18" s="1">
        <v>2452289</v>
      </c>
      <c r="AO18" s="1">
        <v>2498822</v>
      </c>
      <c r="AP18" s="1">
        <v>2666253</v>
      </c>
      <c r="AQ18" s="1">
        <v>2502618</v>
      </c>
      <c r="AR18" s="1">
        <v>2606822</v>
      </c>
      <c r="AS18" s="1">
        <v>2545728</v>
      </c>
      <c r="AT18" s="1">
        <v>2593919</v>
      </c>
      <c r="AU18" s="1">
        <v>2570853</v>
      </c>
      <c r="AV18" s="1">
        <v>2410192</v>
      </c>
      <c r="AW18" s="1">
        <v>2433170</v>
      </c>
      <c r="AX18" s="1">
        <v>2312650</v>
      </c>
      <c r="AY18" s="1">
        <v>109102252</v>
      </c>
      <c r="BA18" s="21">
        <f>SUM(C18:N18)</f>
        <v>19158112</v>
      </c>
      <c r="BB18" s="22">
        <f>+BA18/12</f>
        <v>1596509.3333333333</v>
      </c>
      <c r="BD18" s="7">
        <f>SUM(O18:Z18)</f>
        <v>25158228</v>
      </c>
      <c r="BE18" s="7">
        <f>+BD18-BA18</f>
        <v>6000116</v>
      </c>
      <c r="BF18" s="8">
        <f>(BD18/BA18)-1</f>
        <v>0.31318931635852221</v>
      </c>
      <c r="BG18" s="7">
        <f>BD18/12</f>
        <v>2096519</v>
      </c>
      <c r="BI18" s="12">
        <f>+SUM(AA18:AL18)</f>
        <v>33496474</v>
      </c>
      <c r="BJ18" s="12">
        <f>+BI18-BD18</f>
        <v>8338246</v>
      </c>
      <c r="BK18" s="13">
        <f>(BI18/BD18)-1</f>
        <v>0.33143216604921455</v>
      </c>
      <c r="BL18" s="12">
        <f>SUM(AA18:AH18)/8</f>
        <v>2720693.875</v>
      </c>
      <c r="BM18" s="12">
        <f>SUM(AI18:AL18)/4</f>
        <v>2932730.75</v>
      </c>
      <c r="BO18" s="17">
        <f>+SUM(AM18:AX18)</f>
        <v>30174673</v>
      </c>
      <c r="BP18" s="17">
        <f>+BO18-BI18</f>
        <v>-3321801</v>
      </c>
      <c r="BQ18" s="18">
        <f>(BO18/BI18)-1</f>
        <v>-9.9168676679223022E-2</v>
      </c>
      <c r="BR18" s="17">
        <f>BO18/12</f>
        <v>2514556.0833333335</v>
      </c>
      <c r="BS18" s="42"/>
    </row>
    <row r="19" spans="1:71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30"/>
      <c r="AJ19" s="30"/>
      <c r="AK19" s="30"/>
      <c r="AL19" s="30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BA19" s="21"/>
      <c r="BB19" s="22"/>
      <c r="BD19" s="7"/>
      <c r="BE19" s="7"/>
      <c r="BF19" s="8"/>
      <c r="BG19" s="7"/>
      <c r="BI19" s="12"/>
      <c r="BJ19" s="12"/>
      <c r="BK19" s="13"/>
      <c r="BL19" s="12"/>
      <c r="BM19" s="12"/>
      <c r="BO19" s="17"/>
      <c r="BP19" s="17"/>
      <c r="BQ19" s="18"/>
      <c r="BR19" s="17"/>
    </row>
    <row r="20" spans="1:71">
      <c r="A20" t="s">
        <v>619</v>
      </c>
      <c r="C20" s="1">
        <v>6</v>
      </c>
      <c r="D20" s="1">
        <v>5</v>
      </c>
      <c r="E20" s="1">
        <v>4</v>
      </c>
      <c r="F20" s="1">
        <v>3</v>
      </c>
      <c r="G20" s="1">
        <v>2</v>
      </c>
      <c r="H20" s="1">
        <v>2</v>
      </c>
      <c r="I20" s="1">
        <v>2</v>
      </c>
      <c r="J20" s="1">
        <v>2</v>
      </c>
      <c r="K20" s="1">
        <v>-11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30">
        <v>0</v>
      </c>
      <c r="AJ20" s="30">
        <v>28045</v>
      </c>
      <c r="AK20" s="30">
        <v>27346</v>
      </c>
      <c r="AL20" s="30">
        <v>26652</v>
      </c>
      <c r="AM20" s="1">
        <v>25963</v>
      </c>
      <c r="AN20" s="1">
        <v>25280</v>
      </c>
      <c r="AO20" s="1">
        <v>24601</v>
      </c>
      <c r="AP20" s="1">
        <v>28095</v>
      </c>
      <c r="AQ20" s="1">
        <v>35594</v>
      </c>
      <c r="AR20" s="1">
        <v>43098</v>
      </c>
      <c r="AS20" s="1">
        <v>50608</v>
      </c>
      <c r="AT20" s="1">
        <v>58121</v>
      </c>
      <c r="AU20" s="1">
        <v>65641</v>
      </c>
      <c r="AV20" s="1">
        <v>73165</v>
      </c>
      <c r="AW20" s="1">
        <v>80694</v>
      </c>
      <c r="AX20" s="1">
        <v>88228</v>
      </c>
      <c r="AY20" s="1">
        <v>15</v>
      </c>
      <c r="BA20" s="21">
        <f>SUM(C20:N20)</f>
        <v>15</v>
      </c>
      <c r="BB20" s="22">
        <f>+BA20/12</f>
        <v>1.25</v>
      </c>
      <c r="BD20" s="7">
        <f>SUM(O20:Z20)</f>
        <v>0</v>
      </c>
      <c r="BE20" s="7">
        <f>+BD20-BA20</f>
        <v>-15</v>
      </c>
      <c r="BF20" s="8">
        <f>(BD20/BA20)-1</f>
        <v>-1</v>
      </c>
      <c r="BG20" s="7">
        <f>BD20/12</f>
        <v>0</v>
      </c>
      <c r="BI20" s="12">
        <f>+SUM(AA20:AL20)</f>
        <v>82043</v>
      </c>
      <c r="BJ20" s="12">
        <f>+BI20-BD20</f>
        <v>82043</v>
      </c>
      <c r="BK20" s="13" t="e">
        <f>(BI20/BD20)-1</f>
        <v>#DIV/0!</v>
      </c>
      <c r="BL20" s="12">
        <f>SUM(AA20:AH20)/8</f>
        <v>0</v>
      </c>
      <c r="BM20" s="12">
        <f>SUM(AI20:AL20)/4</f>
        <v>20510.75</v>
      </c>
      <c r="BO20" s="17">
        <f>+SUM(AM20:AX20)</f>
        <v>599088</v>
      </c>
      <c r="BP20" s="17">
        <f>+BO20-BI20</f>
        <v>517045</v>
      </c>
      <c r="BQ20" s="18">
        <f>(BO20/BI20)-1</f>
        <v>6.3021220579452235</v>
      </c>
      <c r="BR20" s="17">
        <f>BO20/12</f>
        <v>49924</v>
      </c>
    </row>
    <row r="21" spans="1:71">
      <c r="A21" t="s">
        <v>673</v>
      </c>
      <c r="C21" s="1">
        <v>911250</v>
      </c>
      <c r="D21" s="1">
        <v>798300</v>
      </c>
      <c r="E21" s="1">
        <v>894953</v>
      </c>
      <c r="F21" s="1">
        <v>846854</v>
      </c>
      <c r="G21" s="1">
        <v>813835</v>
      </c>
      <c r="H21" s="1">
        <v>816023</v>
      </c>
      <c r="I21" s="1">
        <v>857980</v>
      </c>
      <c r="J21" s="1">
        <v>848237</v>
      </c>
      <c r="K21" s="1">
        <v>826661</v>
      </c>
      <c r="L21" s="1">
        <v>878294</v>
      </c>
      <c r="M21" s="1">
        <v>779346</v>
      </c>
      <c r="N21" s="1">
        <v>855414</v>
      </c>
      <c r="O21" s="1">
        <v>877691</v>
      </c>
      <c r="P21" s="1">
        <v>783557</v>
      </c>
      <c r="Q21" s="1">
        <v>760350</v>
      </c>
      <c r="R21" s="1">
        <v>831529</v>
      </c>
      <c r="S21" s="1">
        <v>830555</v>
      </c>
      <c r="T21" s="1">
        <v>805896</v>
      </c>
      <c r="U21" s="1">
        <v>919013</v>
      </c>
      <c r="V21" s="1">
        <v>856231</v>
      </c>
      <c r="W21" s="1">
        <v>798499</v>
      </c>
      <c r="X21" s="1">
        <v>835904</v>
      </c>
      <c r="Y21" s="1">
        <v>790656</v>
      </c>
      <c r="Z21" s="1">
        <v>866857</v>
      </c>
      <c r="AA21" s="1">
        <v>934642</v>
      </c>
      <c r="AB21" s="1">
        <v>851834</v>
      </c>
      <c r="AC21" s="1">
        <v>874467</v>
      </c>
      <c r="AD21" s="1">
        <v>877338</v>
      </c>
      <c r="AE21" s="1">
        <v>880001</v>
      </c>
      <c r="AF21" s="1">
        <v>893809</v>
      </c>
      <c r="AG21" s="1">
        <v>952147</v>
      </c>
      <c r="AH21" s="1">
        <v>874872</v>
      </c>
      <c r="AI21" s="30">
        <v>820816</v>
      </c>
      <c r="AJ21" s="30">
        <v>866511</v>
      </c>
      <c r="AK21" s="30">
        <v>839576</v>
      </c>
      <c r="AL21" s="30">
        <v>839663</v>
      </c>
      <c r="AM21" s="1">
        <v>930266</v>
      </c>
      <c r="AN21" s="1">
        <v>919451</v>
      </c>
      <c r="AO21" s="1">
        <v>922024</v>
      </c>
      <c r="AP21" s="1">
        <v>928023</v>
      </c>
      <c r="AQ21" s="1">
        <v>918068</v>
      </c>
      <c r="AR21" s="1">
        <v>914766</v>
      </c>
      <c r="AS21" s="1">
        <v>1155706</v>
      </c>
      <c r="AT21" s="1">
        <v>1148471</v>
      </c>
      <c r="AU21" s="1">
        <v>1147650</v>
      </c>
      <c r="AV21" s="1">
        <v>1151600</v>
      </c>
      <c r="AW21" s="1">
        <v>1157189</v>
      </c>
      <c r="AX21" s="1">
        <v>1161512</v>
      </c>
      <c r="AY21" s="1">
        <v>41547902</v>
      </c>
      <c r="BA21" s="21">
        <f>SUM(C21:N21)</f>
        <v>10127147</v>
      </c>
      <c r="BB21" s="22">
        <f>+BA21/12</f>
        <v>843928.91666666663</v>
      </c>
      <c r="BD21" s="7">
        <f>SUM(O21:Z21)</f>
        <v>9956738</v>
      </c>
      <c r="BE21" s="7">
        <f>+BD21-BA21</f>
        <v>-170409</v>
      </c>
      <c r="BF21" s="8">
        <f>(BD21/BA21)-1</f>
        <v>-1.6826950374078664E-2</v>
      </c>
      <c r="BG21" s="7">
        <f>BD21/12</f>
        <v>829728.16666666663</v>
      </c>
      <c r="BI21" s="12">
        <f>+SUM(AA21:AL21)</f>
        <v>10505676</v>
      </c>
      <c r="BJ21" s="12">
        <f>+BI21-BD21</f>
        <v>548938</v>
      </c>
      <c r="BK21" s="13">
        <f>(BI21/BD21)-1</f>
        <v>5.5132313414292922E-2</v>
      </c>
      <c r="BL21" s="12">
        <f>SUM(AA21:AH21)/8</f>
        <v>892388.75</v>
      </c>
      <c r="BM21" s="12">
        <f>SUM(AI21:AL21)/4</f>
        <v>841641.5</v>
      </c>
      <c r="BO21" s="17">
        <f>+SUM(AM21:AX21)</f>
        <v>12454726</v>
      </c>
      <c r="BP21" s="17">
        <f>+BO21-BI21</f>
        <v>1949050</v>
      </c>
      <c r="BQ21" s="18">
        <f>(BO21/BI21)-1</f>
        <v>0.18552352080913215</v>
      </c>
      <c r="BR21" s="17">
        <f>BO21/12</f>
        <v>1037893.8333333334</v>
      </c>
    </row>
    <row r="22" spans="1:71">
      <c r="A22" t="s">
        <v>675</v>
      </c>
      <c r="C22" s="1">
        <v>1176425</v>
      </c>
      <c r="D22" s="1">
        <v>1101449</v>
      </c>
      <c r="E22" s="1">
        <v>1234091</v>
      </c>
      <c r="F22" s="1">
        <v>1132078</v>
      </c>
      <c r="G22" s="1">
        <v>1148267</v>
      </c>
      <c r="H22" s="1">
        <v>1144308</v>
      </c>
      <c r="I22" s="1">
        <v>1201621</v>
      </c>
      <c r="J22" s="1">
        <v>1241370</v>
      </c>
      <c r="K22" s="1">
        <v>1034050</v>
      </c>
      <c r="L22" s="1">
        <v>1195364</v>
      </c>
      <c r="M22" s="1">
        <v>1113514</v>
      </c>
      <c r="N22" s="1">
        <v>1553763</v>
      </c>
      <c r="O22" s="1">
        <v>1119198</v>
      </c>
      <c r="P22" s="1">
        <v>1052677</v>
      </c>
      <c r="Q22" s="1">
        <v>1085765</v>
      </c>
      <c r="R22" s="1">
        <v>1225112</v>
      </c>
      <c r="S22" s="1">
        <v>1203540</v>
      </c>
      <c r="T22" s="1">
        <v>1117313</v>
      </c>
      <c r="U22" s="1">
        <v>1531617</v>
      </c>
      <c r="V22" s="1">
        <v>1212641</v>
      </c>
      <c r="W22" s="1">
        <v>1108660</v>
      </c>
      <c r="X22" s="1">
        <v>1187346</v>
      </c>
      <c r="Y22" s="1">
        <v>1240268</v>
      </c>
      <c r="Z22" s="1">
        <v>2118761</v>
      </c>
      <c r="AA22" s="1">
        <v>1126647</v>
      </c>
      <c r="AB22" s="1">
        <v>1298606</v>
      </c>
      <c r="AC22" s="1">
        <v>1228537</v>
      </c>
      <c r="AD22" s="1">
        <v>1283660</v>
      </c>
      <c r="AE22" s="1">
        <v>1286988</v>
      </c>
      <c r="AF22" s="1">
        <v>1275776</v>
      </c>
      <c r="AG22" s="1">
        <v>1265932</v>
      </c>
      <c r="AH22" s="1">
        <v>2019179</v>
      </c>
      <c r="AI22" s="30">
        <v>1270235</v>
      </c>
      <c r="AJ22" s="30">
        <v>1278658</v>
      </c>
      <c r="AK22" s="30">
        <v>1279243</v>
      </c>
      <c r="AL22" s="30">
        <v>1283963</v>
      </c>
      <c r="AM22" s="1">
        <v>1216966</v>
      </c>
      <c r="AN22" s="1">
        <v>1407035</v>
      </c>
      <c r="AO22" s="1">
        <v>1332498</v>
      </c>
      <c r="AP22" s="1">
        <v>1349406</v>
      </c>
      <c r="AQ22" s="1">
        <v>1389202</v>
      </c>
      <c r="AR22" s="1">
        <v>1556465</v>
      </c>
      <c r="AS22" s="1">
        <v>1560986</v>
      </c>
      <c r="AT22" s="1">
        <v>1363300</v>
      </c>
      <c r="AU22" s="1">
        <v>1387718</v>
      </c>
      <c r="AV22" s="1">
        <v>1394598</v>
      </c>
      <c r="AW22" s="1">
        <v>1411251</v>
      </c>
      <c r="AX22" s="1">
        <v>1418165</v>
      </c>
      <c r="AY22" s="1">
        <v>61449367</v>
      </c>
      <c r="BA22" s="21">
        <f>SUM(C22:N22)</f>
        <v>14276300</v>
      </c>
      <c r="BB22" s="22">
        <f>+BA22/12</f>
        <v>1189691.6666666667</v>
      </c>
      <c r="BD22" s="7">
        <f>SUM(O22:Z22)</f>
        <v>15202898</v>
      </c>
      <c r="BE22" s="7">
        <f>+BD22-BA22</f>
        <v>926598</v>
      </c>
      <c r="BF22" s="8">
        <f>(BD22/BA22)-1</f>
        <v>6.4904632152588571E-2</v>
      </c>
      <c r="BG22" s="7">
        <f>BD22/12</f>
        <v>1266908.1666666667</v>
      </c>
      <c r="BI22" s="12">
        <f>+SUM(AA22:AL22)</f>
        <v>15897424</v>
      </c>
      <c r="BJ22" s="12">
        <f>+BI22-BD22</f>
        <v>694526</v>
      </c>
      <c r="BK22" s="13">
        <f>(BI22/BD22)-1</f>
        <v>4.5683790024770188E-2</v>
      </c>
      <c r="BL22" s="12">
        <f>SUM(AA22:AH22)/8</f>
        <v>1348165.625</v>
      </c>
      <c r="BM22" s="12">
        <f>SUM(AI22:AL22)/4</f>
        <v>1278024.75</v>
      </c>
      <c r="BO22" s="17">
        <f>+SUM(AM22:AX22)</f>
        <v>16787590</v>
      </c>
      <c r="BP22" s="17">
        <f>+BO22-BI22</f>
        <v>890166</v>
      </c>
      <c r="BQ22" s="18">
        <f>(BO22/BI22)-1</f>
        <v>5.5994354808678537E-2</v>
      </c>
      <c r="BR22" s="17">
        <f>BO22/12</f>
        <v>1398965.8333333333</v>
      </c>
    </row>
    <row r="23" spans="1:71">
      <c r="A23" t="s">
        <v>705</v>
      </c>
      <c r="C23" s="1">
        <v>-753</v>
      </c>
      <c r="D23" s="1">
        <v>0</v>
      </c>
      <c r="E23" s="1">
        <v>-7151</v>
      </c>
      <c r="F23" s="1">
        <v>0</v>
      </c>
      <c r="G23" s="1">
        <v>-1625</v>
      </c>
      <c r="H23" s="1">
        <v>0</v>
      </c>
      <c r="I23" s="1">
        <v>0</v>
      </c>
      <c r="J23" s="1">
        <v>-403369</v>
      </c>
      <c r="K23" s="1">
        <v>11916</v>
      </c>
      <c r="L23" s="1">
        <v>-1050</v>
      </c>
      <c r="M23" s="1">
        <v>0</v>
      </c>
      <c r="N23" s="1">
        <v>0</v>
      </c>
      <c r="O23" s="1">
        <v>0</v>
      </c>
      <c r="P23" s="1">
        <v>-1154</v>
      </c>
      <c r="Q23" s="1">
        <v>-29108</v>
      </c>
      <c r="R23" s="1">
        <v>0</v>
      </c>
      <c r="S23" s="1">
        <v>0</v>
      </c>
      <c r="T23" s="1">
        <v>-4786</v>
      </c>
      <c r="U23" s="1">
        <v>-1888</v>
      </c>
      <c r="V23" s="1">
        <v>-1220</v>
      </c>
      <c r="W23" s="1">
        <v>-8000</v>
      </c>
      <c r="X23" s="1">
        <v>0</v>
      </c>
      <c r="Y23" s="1">
        <v>1629</v>
      </c>
      <c r="Z23" s="1">
        <v>0</v>
      </c>
      <c r="AA23" s="1">
        <v>-2256</v>
      </c>
      <c r="AB23" s="1">
        <v>-4581</v>
      </c>
      <c r="AC23" s="1">
        <v>0</v>
      </c>
      <c r="AD23" s="1">
        <v>0</v>
      </c>
      <c r="AE23" s="1">
        <v>6439</v>
      </c>
      <c r="AF23" s="1">
        <v>-3060</v>
      </c>
      <c r="AG23" s="1">
        <v>-5783</v>
      </c>
      <c r="AH23" s="1">
        <v>-4494</v>
      </c>
      <c r="AI23" s="30">
        <v>-1138522</v>
      </c>
      <c r="AJ23" s="30">
        <v>0</v>
      </c>
      <c r="AK23" s="30">
        <v>0</v>
      </c>
      <c r="AL23" s="30">
        <v>0</v>
      </c>
      <c r="AM23" s="1">
        <v>-100000</v>
      </c>
      <c r="AN23" s="1">
        <v>-150000</v>
      </c>
      <c r="AO23" s="1">
        <v>-200000</v>
      </c>
      <c r="AP23" s="1">
        <v>-305000</v>
      </c>
      <c r="AQ23" s="1">
        <v>-305000</v>
      </c>
      <c r="AR23" s="1">
        <v>-305000</v>
      </c>
      <c r="AS23" s="1">
        <v>-275000</v>
      </c>
      <c r="AT23" s="1">
        <v>-275000</v>
      </c>
      <c r="AU23" s="1">
        <v>-275000</v>
      </c>
      <c r="AV23" s="1">
        <v>-270000</v>
      </c>
      <c r="AW23" s="1">
        <v>-270000</v>
      </c>
      <c r="AX23" s="1">
        <v>-270000</v>
      </c>
      <c r="AY23" s="1">
        <v>-460294</v>
      </c>
      <c r="BA23" s="21">
        <f>SUM(C23:N23)</f>
        <v>-402032</v>
      </c>
      <c r="BB23" s="22">
        <f>+BA23/12</f>
        <v>-33502.666666666664</v>
      </c>
      <c r="BD23" s="7">
        <f>SUM(O23:Z23)</f>
        <v>-44527</v>
      </c>
      <c r="BE23" s="7">
        <f>+BD23-BA23</f>
        <v>357505</v>
      </c>
      <c r="BF23" s="8">
        <f>(BD23/BA23)-1</f>
        <v>-0.88924513471564448</v>
      </c>
      <c r="BG23" s="7">
        <f>BD23/12</f>
        <v>-3710.5833333333335</v>
      </c>
      <c r="BI23" s="12">
        <f>+SUM(AA23:AL23)</f>
        <v>-1152257</v>
      </c>
      <c r="BJ23" s="12">
        <f>+BI23-BD23</f>
        <v>-1107730</v>
      </c>
      <c r="BK23" s="13">
        <f>(BI23/BD23)-1</f>
        <v>24.877714645046826</v>
      </c>
      <c r="BL23" s="12">
        <f>SUM(AA23:AH23)/8</f>
        <v>-1716.875</v>
      </c>
      <c r="BM23" s="12">
        <f>SUM(AI23:AL23)/4</f>
        <v>-284630.5</v>
      </c>
      <c r="BO23" s="17">
        <f>+SUM(AM23:AX23)</f>
        <v>-3000000</v>
      </c>
      <c r="BP23" s="17">
        <f>+BO23-BI23</f>
        <v>-1847743</v>
      </c>
      <c r="BQ23" s="18">
        <f>(BO23/BI23)-1</f>
        <v>1.6035858319801921</v>
      </c>
      <c r="BR23" s="17">
        <f>BO23/12</f>
        <v>-250000</v>
      </c>
    </row>
    <row r="24" spans="1:71">
      <c r="A24" t="s">
        <v>706</v>
      </c>
      <c r="C24" s="1">
        <v>2088433</v>
      </c>
      <c r="D24" s="1">
        <v>1899753</v>
      </c>
      <c r="E24" s="1">
        <v>2136199</v>
      </c>
      <c r="F24" s="1">
        <v>1978936</v>
      </c>
      <c r="G24" s="1">
        <v>1963729</v>
      </c>
      <c r="H24" s="1">
        <v>1960333</v>
      </c>
      <c r="I24" s="1">
        <v>2059602</v>
      </c>
      <c r="J24" s="1">
        <v>2492977</v>
      </c>
      <c r="K24" s="1">
        <v>1848784</v>
      </c>
      <c r="L24" s="1">
        <v>2074707</v>
      </c>
      <c r="M24" s="1">
        <v>1892860</v>
      </c>
      <c r="N24" s="1">
        <v>2409177</v>
      </c>
      <c r="O24" s="1">
        <v>1996889</v>
      </c>
      <c r="P24" s="1">
        <v>1837388</v>
      </c>
      <c r="Q24" s="1">
        <v>1875223</v>
      </c>
      <c r="R24" s="1">
        <v>2056641</v>
      </c>
      <c r="S24" s="1">
        <v>2034096</v>
      </c>
      <c r="T24" s="1">
        <v>1927995</v>
      </c>
      <c r="U24" s="1">
        <v>2452519</v>
      </c>
      <c r="V24" s="1">
        <v>2070092</v>
      </c>
      <c r="W24" s="1">
        <v>1915159</v>
      </c>
      <c r="X24" s="1">
        <v>2023250</v>
      </c>
      <c r="Y24" s="1">
        <v>2029296</v>
      </c>
      <c r="Z24" s="1">
        <v>2985618</v>
      </c>
      <c r="AA24" s="1">
        <v>2063545</v>
      </c>
      <c r="AB24" s="1">
        <v>2155021</v>
      </c>
      <c r="AC24" s="1">
        <v>2103004</v>
      </c>
      <c r="AD24" s="1">
        <v>2160998</v>
      </c>
      <c r="AE24" s="1">
        <v>2160549</v>
      </c>
      <c r="AF24" s="1">
        <v>2172645</v>
      </c>
      <c r="AG24" s="1">
        <v>2223862</v>
      </c>
      <c r="AH24" s="1">
        <v>2898544</v>
      </c>
      <c r="AI24" s="30">
        <v>3229573</v>
      </c>
      <c r="AJ24" s="30">
        <v>2173214</v>
      </c>
      <c r="AK24" s="30">
        <v>2146165</v>
      </c>
      <c r="AL24" s="30">
        <v>2150278</v>
      </c>
      <c r="AM24" s="1">
        <v>2273195</v>
      </c>
      <c r="AN24" s="1">
        <v>2501766</v>
      </c>
      <c r="AO24" s="1">
        <v>2479123</v>
      </c>
      <c r="AP24" s="1">
        <v>2610524</v>
      </c>
      <c r="AQ24" s="1">
        <v>2647864</v>
      </c>
      <c r="AR24" s="1">
        <v>2819329</v>
      </c>
      <c r="AS24" s="1">
        <v>3042300</v>
      </c>
      <c r="AT24" s="1">
        <v>2844892</v>
      </c>
      <c r="AU24" s="1">
        <v>2876009</v>
      </c>
      <c r="AV24" s="1">
        <v>2889363</v>
      </c>
      <c r="AW24" s="1">
        <v>2919134</v>
      </c>
      <c r="AX24" s="1">
        <v>2937905</v>
      </c>
      <c r="AY24" s="1">
        <v>103457578</v>
      </c>
      <c r="BA24" s="21">
        <f>SUM(C24:N24)</f>
        <v>24805490</v>
      </c>
      <c r="BB24" s="22">
        <f>+BA24/12</f>
        <v>2067124.1666666667</v>
      </c>
      <c r="BD24" s="7">
        <f>SUM(O24:Z24)</f>
        <v>25204166</v>
      </c>
      <c r="BE24" s="7">
        <f>+BD24-BA24</f>
        <v>398676</v>
      </c>
      <c r="BF24" s="8">
        <f>(BD24/BA24)-1</f>
        <v>1.6072087267778201E-2</v>
      </c>
      <c r="BG24" s="7">
        <f>BD24/12</f>
        <v>2100347.1666666665</v>
      </c>
      <c r="BI24" s="12">
        <f>+SUM(AA24:AL24)</f>
        <v>27637398</v>
      </c>
      <c r="BJ24" s="12">
        <f>+BI24-BD24</f>
        <v>2433232</v>
      </c>
      <c r="BK24" s="13">
        <f>(BI24/BD24)-1</f>
        <v>9.6540865506123064E-2</v>
      </c>
      <c r="BL24" s="12">
        <f>SUM(AA24:AH24)/8</f>
        <v>2242271</v>
      </c>
      <c r="BM24" s="12">
        <f>SUM(AI24:AL24)/4</f>
        <v>2424807.5</v>
      </c>
      <c r="BO24" s="17">
        <f>+SUM(AM24:AX24)</f>
        <v>32841404</v>
      </c>
      <c r="BP24" s="17">
        <f>+BO24-BI24</f>
        <v>5204006</v>
      </c>
      <c r="BQ24" s="18">
        <f>(BO24/BI24)-1</f>
        <v>0.18829580121833467</v>
      </c>
      <c r="BR24" s="17">
        <f>BO24/12</f>
        <v>2736783.6666666665</v>
      </c>
    </row>
    <row r="25" spans="1:71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30"/>
      <c r="AJ25" s="30"/>
      <c r="AK25" s="30"/>
      <c r="AL25" s="30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BA25" s="21"/>
      <c r="BB25" s="22"/>
      <c r="BD25" s="7"/>
      <c r="BE25" s="7"/>
      <c r="BF25" s="8"/>
      <c r="BG25" s="7"/>
      <c r="BI25" s="12"/>
      <c r="BJ25" s="12"/>
      <c r="BK25" s="13"/>
      <c r="BL25" s="12"/>
      <c r="BM25" s="12"/>
      <c r="BO25" s="17"/>
      <c r="BP25" s="17"/>
      <c r="BQ25" s="18"/>
      <c r="BR25" s="17"/>
    </row>
    <row r="26" spans="1:71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30"/>
      <c r="AJ26" s="30"/>
      <c r="AK26" s="30"/>
      <c r="AL26" s="30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BA26" s="21"/>
      <c r="BB26" s="22"/>
      <c r="BD26" s="7"/>
      <c r="BE26" s="7"/>
      <c r="BF26" s="8"/>
      <c r="BG26" s="7"/>
      <c r="BI26" s="12"/>
      <c r="BJ26" s="12"/>
      <c r="BK26" s="13"/>
      <c r="BL26" s="12"/>
      <c r="BM26" s="12"/>
      <c r="BO26" s="17"/>
      <c r="BP26" s="17"/>
      <c r="BQ26" s="18"/>
      <c r="BR26" s="17"/>
    </row>
    <row r="27" spans="1:71">
      <c r="A27" t="s">
        <v>718</v>
      </c>
      <c r="C27" s="1">
        <v>2054835</v>
      </c>
      <c r="D27" s="1">
        <v>2046146</v>
      </c>
      <c r="E27" s="1">
        <v>2216705</v>
      </c>
      <c r="F27" s="1">
        <v>2102602</v>
      </c>
      <c r="G27" s="1">
        <v>2236863</v>
      </c>
      <c r="H27" s="1">
        <v>2089167</v>
      </c>
      <c r="I27" s="1">
        <v>2122667</v>
      </c>
      <c r="J27" s="1">
        <v>2339546</v>
      </c>
      <c r="K27" s="1">
        <v>1939170</v>
      </c>
      <c r="L27" s="1">
        <v>2174261</v>
      </c>
      <c r="M27" s="1">
        <v>2285310</v>
      </c>
      <c r="N27" s="1">
        <v>1996512</v>
      </c>
      <c r="O27" s="1">
        <v>2486617</v>
      </c>
      <c r="P27" s="1">
        <v>2349839</v>
      </c>
      <c r="Q27" s="1">
        <v>1840542</v>
      </c>
      <c r="R27" s="1">
        <v>2349489</v>
      </c>
      <c r="S27" s="1">
        <v>2554018</v>
      </c>
      <c r="T27" s="1">
        <v>2262183</v>
      </c>
      <c r="U27" s="1">
        <v>2505639</v>
      </c>
      <c r="V27" s="1">
        <v>2441195</v>
      </c>
      <c r="W27" s="1">
        <v>2382332</v>
      </c>
      <c r="X27" s="1">
        <v>2628454</v>
      </c>
      <c r="Y27" s="1">
        <v>2510348</v>
      </c>
      <c r="Z27" s="1">
        <v>2456260</v>
      </c>
      <c r="AA27" s="1">
        <v>2555211</v>
      </c>
      <c r="AB27" s="1">
        <v>2363978</v>
      </c>
      <c r="AC27" s="1">
        <v>2449946</v>
      </c>
      <c r="AD27" s="1">
        <v>1835882</v>
      </c>
      <c r="AE27" s="1">
        <v>2713044</v>
      </c>
      <c r="AF27" s="1">
        <v>2560837</v>
      </c>
      <c r="AG27" s="1">
        <v>2785231</v>
      </c>
      <c r="AH27" s="1">
        <v>2700193</v>
      </c>
      <c r="AI27" s="30">
        <v>2710999</v>
      </c>
      <c r="AJ27" s="30">
        <v>2836523</v>
      </c>
      <c r="AK27" s="30">
        <v>2306136</v>
      </c>
      <c r="AL27" s="30">
        <v>2710792</v>
      </c>
      <c r="AM27" s="1">
        <v>2584834</v>
      </c>
      <c r="AN27" s="1">
        <v>2388939</v>
      </c>
      <c r="AO27" s="1">
        <v>2668746</v>
      </c>
      <c r="AP27" s="1">
        <v>2813015</v>
      </c>
      <c r="AQ27" s="1">
        <v>2764188</v>
      </c>
      <c r="AR27" s="1">
        <v>2914579</v>
      </c>
      <c r="AS27" s="1">
        <v>3093827</v>
      </c>
      <c r="AT27" s="1">
        <v>2875535</v>
      </c>
      <c r="AU27" s="1">
        <v>3033072</v>
      </c>
      <c r="AV27" s="1">
        <v>3061194</v>
      </c>
      <c r="AW27" s="1">
        <v>2950793</v>
      </c>
      <c r="AX27" s="1">
        <v>3202052</v>
      </c>
      <c r="AY27" s="1">
        <v>118287434</v>
      </c>
      <c r="BA27" s="21">
        <f t="shared" ref="BA27:BA35" si="0">SUM(C27:N27)</f>
        <v>25603784</v>
      </c>
      <c r="BB27" s="22">
        <f t="shared" ref="BB27:BB35" si="1">+BA27/12</f>
        <v>2133648.6666666665</v>
      </c>
      <c r="BD27" s="7">
        <f t="shared" ref="BD27:BD35" si="2">SUM(O27:Z27)</f>
        <v>28766916</v>
      </c>
      <c r="BE27" s="7">
        <f t="shared" ref="BE27:BE35" si="3">+BD27-BA27</f>
        <v>3163132</v>
      </c>
      <c r="BF27" s="8">
        <f t="shared" ref="BF27:BF35" si="4">(BD27/BA27)-1</f>
        <v>0.12354158275979832</v>
      </c>
      <c r="BG27" s="7">
        <f t="shared" ref="BG27:BG35" si="5">BD27/12</f>
        <v>2397243</v>
      </c>
      <c r="BI27" s="12">
        <f t="shared" ref="BI27:BI35" si="6">+SUM(AA27:AL27)</f>
        <v>30528772</v>
      </c>
      <c r="BJ27" s="12">
        <f t="shared" ref="BJ27:BJ35" si="7">+BI27-BD27</f>
        <v>1761856</v>
      </c>
      <c r="BK27" s="13">
        <f t="shared" ref="BK27:BK35" si="8">(BI27/BD27)-1</f>
        <v>6.1245911796732111E-2</v>
      </c>
      <c r="BL27" s="12">
        <f t="shared" ref="BL27:BL35" si="9">SUM(AA27:AH27)/8</f>
        <v>2495540.25</v>
      </c>
      <c r="BM27" s="12">
        <f t="shared" ref="BM27:BM35" si="10">SUM(AI27:AL27)/4</f>
        <v>2641112.5</v>
      </c>
      <c r="BO27" s="17">
        <f t="shared" ref="BO27:BO35" si="11">+SUM(AM27:AX27)</f>
        <v>34350774</v>
      </c>
      <c r="BP27" s="17">
        <f t="shared" ref="BP27:BP35" si="12">+BO27-BI27</f>
        <v>3822002</v>
      </c>
      <c r="BQ27" s="18">
        <f t="shared" ref="BQ27:BQ35" si="13">(BO27/BI27)-1</f>
        <v>0.12519344046986225</v>
      </c>
      <c r="BR27" s="17">
        <f t="shared" ref="BR27:BR35" si="14">BO27/12</f>
        <v>2862564.5</v>
      </c>
    </row>
    <row r="28" spans="1:71">
      <c r="A28" t="s">
        <v>744</v>
      </c>
      <c r="C28" s="1">
        <v>663589</v>
      </c>
      <c r="D28" s="1">
        <v>615836</v>
      </c>
      <c r="E28" s="1">
        <v>664475</v>
      </c>
      <c r="F28" s="1">
        <v>499781</v>
      </c>
      <c r="G28" s="1">
        <v>720468</v>
      </c>
      <c r="H28" s="1">
        <v>636993</v>
      </c>
      <c r="I28" s="1">
        <v>511972</v>
      </c>
      <c r="J28" s="1">
        <v>707843</v>
      </c>
      <c r="K28" s="1">
        <v>515095</v>
      </c>
      <c r="L28" s="1">
        <v>638866</v>
      </c>
      <c r="M28" s="1">
        <v>721132</v>
      </c>
      <c r="N28" s="1">
        <v>723053</v>
      </c>
      <c r="O28" s="1">
        <v>651611</v>
      </c>
      <c r="P28" s="1">
        <v>738796</v>
      </c>
      <c r="Q28" s="1">
        <v>559594</v>
      </c>
      <c r="R28" s="1">
        <v>972792</v>
      </c>
      <c r="S28" s="1">
        <v>763347</v>
      </c>
      <c r="T28" s="1">
        <v>706017</v>
      </c>
      <c r="U28" s="1">
        <v>810933</v>
      </c>
      <c r="V28" s="1">
        <v>686129</v>
      </c>
      <c r="W28" s="1">
        <v>539462</v>
      </c>
      <c r="X28" s="1">
        <v>777976</v>
      </c>
      <c r="Y28" s="1">
        <v>784678</v>
      </c>
      <c r="Z28" s="1">
        <v>722905</v>
      </c>
      <c r="AA28" s="1">
        <v>867967</v>
      </c>
      <c r="AB28" s="1">
        <v>744853</v>
      </c>
      <c r="AC28" s="1">
        <v>736291</v>
      </c>
      <c r="AD28" s="1">
        <v>521554</v>
      </c>
      <c r="AE28" s="1">
        <v>955885</v>
      </c>
      <c r="AF28" s="1">
        <v>805617</v>
      </c>
      <c r="AG28" s="1">
        <v>1426586</v>
      </c>
      <c r="AH28" s="1">
        <v>383439</v>
      </c>
      <c r="AI28" s="30">
        <v>-98014</v>
      </c>
      <c r="AJ28" s="30">
        <v>906187</v>
      </c>
      <c r="AK28" s="30">
        <v>845428</v>
      </c>
      <c r="AL28" s="30">
        <v>857578</v>
      </c>
      <c r="AM28" s="1">
        <v>886960</v>
      </c>
      <c r="AN28" s="1">
        <v>870714</v>
      </c>
      <c r="AO28" s="1">
        <v>874284</v>
      </c>
      <c r="AP28" s="1">
        <v>874279</v>
      </c>
      <c r="AQ28" s="1">
        <v>871754</v>
      </c>
      <c r="AR28" s="1">
        <v>874085</v>
      </c>
      <c r="AS28" s="1">
        <v>876226</v>
      </c>
      <c r="AT28" s="1">
        <v>871995</v>
      </c>
      <c r="AU28" s="1">
        <v>874224</v>
      </c>
      <c r="AV28" s="1">
        <v>874224</v>
      </c>
      <c r="AW28" s="1">
        <v>871943</v>
      </c>
      <c r="AX28" s="1">
        <v>875175</v>
      </c>
      <c r="AY28" s="1">
        <v>35786635</v>
      </c>
      <c r="BA28" s="21">
        <f t="shared" si="0"/>
        <v>7619103</v>
      </c>
      <c r="BB28" s="22">
        <f t="shared" si="1"/>
        <v>634925.25</v>
      </c>
      <c r="BD28" s="7">
        <f t="shared" si="2"/>
        <v>8714240</v>
      </c>
      <c r="BE28" s="7">
        <f t="shared" si="3"/>
        <v>1095137</v>
      </c>
      <c r="BF28" s="8">
        <f t="shared" si="4"/>
        <v>0.14373568647122892</v>
      </c>
      <c r="BG28" s="7">
        <f t="shared" si="5"/>
        <v>726186.66666666663</v>
      </c>
      <c r="BI28" s="12">
        <f t="shared" si="6"/>
        <v>8953371</v>
      </c>
      <c r="BJ28" s="12">
        <f t="shared" si="7"/>
        <v>239131</v>
      </c>
      <c r="BK28" s="13">
        <f t="shared" si="8"/>
        <v>2.7441406249999911E-2</v>
      </c>
      <c r="BL28" s="12">
        <f t="shared" si="9"/>
        <v>805274</v>
      </c>
      <c r="BM28" s="12">
        <f t="shared" si="10"/>
        <v>627794.75</v>
      </c>
      <c r="BO28" s="17">
        <f t="shared" si="11"/>
        <v>10495863</v>
      </c>
      <c r="BP28" s="17">
        <f t="shared" si="12"/>
        <v>1542492</v>
      </c>
      <c r="BQ28" s="18">
        <f t="shared" si="13"/>
        <v>0.17228058571458726</v>
      </c>
      <c r="BR28" s="17">
        <f t="shared" si="14"/>
        <v>874655.25</v>
      </c>
    </row>
    <row r="29" spans="1:71">
      <c r="A29" t="s">
        <v>753</v>
      </c>
      <c r="C29" s="1">
        <v>303288</v>
      </c>
      <c r="D29" s="1">
        <v>313184</v>
      </c>
      <c r="E29" s="1">
        <v>264336</v>
      </c>
      <c r="F29" s="1">
        <v>300541</v>
      </c>
      <c r="G29" s="1">
        <v>277191</v>
      </c>
      <c r="H29" s="1">
        <v>264542</v>
      </c>
      <c r="I29" s="1">
        <v>284591</v>
      </c>
      <c r="J29" s="1">
        <v>282750</v>
      </c>
      <c r="K29" s="1">
        <v>267450</v>
      </c>
      <c r="L29" s="1">
        <v>297273</v>
      </c>
      <c r="M29" s="1">
        <v>264695</v>
      </c>
      <c r="N29" s="1">
        <v>270407</v>
      </c>
      <c r="O29" s="1">
        <v>281126</v>
      </c>
      <c r="P29" s="1">
        <v>260165</v>
      </c>
      <c r="Q29" s="1">
        <v>316862</v>
      </c>
      <c r="R29" s="1">
        <v>274810</v>
      </c>
      <c r="S29" s="1">
        <v>257067</v>
      </c>
      <c r="T29" s="1">
        <v>242705</v>
      </c>
      <c r="U29" s="1">
        <v>260095</v>
      </c>
      <c r="V29" s="1">
        <v>279875</v>
      </c>
      <c r="W29" s="1">
        <v>251448</v>
      </c>
      <c r="X29" s="1">
        <v>286393</v>
      </c>
      <c r="Y29" s="1">
        <v>252807</v>
      </c>
      <c r="Z29" s="1">
        <v>251527</v>
      </c>
      <c r="AA29" s="1">
        <v>269618</v>
      </c>
      <c r="AB29" s="1">
        <v>269820</v>
      </c>
      <c r="AC29" s="1">
        <v>276546</v>
      </c>
      <c r="AD29" s="1">
        <v>258992</v>
      </c>
      <c r="AE29" s="1">
        <v>277465</v>
      </c>
      <c r="AF29" s="1">
        <v>261063</v>
      </c>
      <c r="AG29" s="1">
        <v>296971</v>
      </c>
      <c r="AH29" s="1">
        <v>305448</v>
      </c>
      <c r="AI29" s="30">
        <v>304251</v>
      </c>
      <c r="AJ29" s="30">
        <v>273426</v>
      </c>
      <c r="AK29" s="30">
        <v>303763</v>
      </c>
      <c r="AL29" s="30">
        <v>303762</v>
      </c>
      <c r="AM29" s="1">
        <v>320089</v>
      </c>
      <c r="AN29" s="1">
        <v>322592</v>
      </c>
      <c r="AO29" s="1">
        <v>322289</v>
      </c>
      <c r="AP29" s="1">
        <v>325467</v>
      </c>
      <c r="AQ29" s="1">
        <v>326888</v>
      </c>
      <c r="AR29" s="1">
        <v>329831</v>
      </c>
      <c r="AS29" s="1">
        <v>329831</v>
      </c>
      <c r="AT29" s="1">
        <v>330852</v>
      </c>
      <c r="AU29" s="1">
        <v>354935</v>
      </c>
      <c r="AV29" s="1">
        <v>355557</v>
      </c>
      <c r="AW29" s="1">
        <v>354950</v>
      </c>
      <c r="AX29" s="1">
        <v>355255</v>
      </c>
      <c r="AY29" s="1">
        <v>13230333</v>
      </c>
      <c r="BA29" s="21">
        <f t="shared" si="0"/>
        <v>3390248</v>
      </c>
      <c r="BB29" s="22">
        <f t="shared" si="1"/>
        <v>282520.66666666669</v>
      </c>
      <c r="BD29" s="7">
        <f t="shared" si="2"/>
        <v>3214880</v>
      </c>
      <c r="BE29" s="7">
        <f t="shared" si="3"/>
        <v>-175368</v>
      </c>
      <c r="BF29" s="8">
        <f t="shared" si="4"/>
        <v>-5.1727189279368369E-2</v>
      </c>
      <c r="BG29" s="7">
        <f t="shared" si="5"/>
        <v>267906.66666666669</v>
      </c>
      <c r="BI29" s="12">
        <f t="shared" si="6"/>
        <v>3401125</v>
      </c>
      <c r="BJ29" s="12">
        <f t="shared" si="7"/>
        <v>186245</v>
      </c>
      <c r="BK29" s="13">
        <f t="shared" si="8"/>
        <v>5.7932177872890955E-2</v>
      </c>
      <c r="BL29" s="12">
        <f t="shared" si="9"/>
        <v>276990.375</v>
      </c>
      <c r="BM29" s="12">
        <f t="shared" si="10"/>
        <v>296300.5</v>
      </c>
      <c r="BO29" s="17">
        <f t="shared" si="11"/>
        <v>4028536</v>
      </c>
      <c r="BP29" s="17">
        <f t="shared" si="12"/>
        <v>627411</v>
      </c>
      <c r="BQ29" s="18">
        <f t="shared" si="13"/>
        <v>0.18447160865889956</v>
      </c>
      <c r="BR29" s="17">
        <f t="shared" si="14"/>
        <v>335711.33333333331</v>
      </c>
    </row>
    <row r="30" spans="1:71">
      <c r="A30" t="s">
        <v>829</v>
      </c>
      <c r="C30" s="1">
        <v>1269428</v>
      </c>
      <c r="D30" s="1">
        <v>1432157</v>
      </c>
      <c r="E30" s="1">
        <v>1313093</v>
      </c>
      <c r="F30" s="1">
        <v>1315752</v>
      </c>
      <c r="G30" s="1">
        <v>1351870</v>
      </c>
      <c r="H30" s="1">
        <v>1586829</v>
      </c>
      <c r="I30" s="1">
        <v>1567459</v>
      </c>
      <c r="J30" s="1">
        <v>1653735</v>
      </c>
      <c r="K30" s="1">
        <v>1615640</v>
      </c>
      <c r="L30" s="1">
        <v>1617424</v>
      </c>
      <c r="M30" s="1">
        <v>1528269</v>
      </c>
      <c r="N30" s="1">
        <v>1680430</v>
      </c>
      <c r="O30" s="1">
        <v>1463054</v>
      </c>
      <c r="P30" s="1">
        <v>1475321</v>
      </c>
      <c r="Q30" s="1">
        <v>1411897</v>
      </c>
      <c r="R30" s="1">
        <v>1446771</v>
      </c>
      <c r="S30" s="1">
        <v>1476109</v>
      </c>
      <c r="T30" s="1">
        <v>1498424</v>
      </c>
      <c r="U30" s="1">
        <v>1425115</v>
      </c>
      <c r="V30" s="1">
        <v>1338679</v>
      </c>
      <c r="W30" s="1">
        <v>1435695</v>
      </c>
      <c r="X30" s="1">
        <v>1470576</v>
      </c>
      <c r="Y30" s="1">
        <v>1403607</v>
      </c>
      <c r="Z30" s="1">
        <v>1591041</v>
      </c>
      <c r="AA30" s="1">
        <v>1370971</v>
      </c>
      <c r="AB30" s="1">
        <v>1457716</v>
      </c>
      <c r="AC30" s="1">
        <v>1452389</v>
      </c>
      <c r="AD30" s="1">
        <v>1518026</v>
      </c>
      <c r="AE30" s="1">
        <v>1619628</v>
      </c>
      <c r="AF30" s="1">
        <v>1567305</v>
      </c>
      <c r="AG30" s="1">
        <v>1631559</v>
      </c>
      <c r="AH30" s="1">
        <v>1508366</v>
      </c>
      <c r="AI30" s="30">
        <v>1655586</v>
      </c>
      <c r="AJ30" s="30">
        <v>1420890</v>
      </c>
      <c r="AK30" s="30">
        <v>1356428</v>
      </c>
      <c r="AL30" s="30">
        <v>1393448</v>
      </c>
      <c r="AM30" s="1">
        <v>1465661</v>
      </c>
      <c r="AN30" s="1">
        <v>1494975</v>
      </c>
      <c r="AO30" s="1">
        <v>1494975</v>
      </c>
      <c r="AP30" s="1">
        <v>1553601</v>
      </c>
      <c r="AQ30" s="1">
        <v>1582914</v>
      </c>
      <c r="AR30" s="1">
        <v>1612227</v>
      </c>
      <c r="AS30" s="1">
        <v>1641541</v>
      </c>
      <c r="AT30" s="1">
        <v>1670854</v>
      </c>
      <c r="AU30" s="1">
        <v>1700167</v>
      </c>
      <c r="AV30" s="1">
        <v>1807649</v>
      </c>
      <c r="AW30" s="1">
        <v>1758794</v>
      </c>
      <c r="AX30" s="1">
        <v>1758794</v>
      </c>
      <c r="AY30" s="1">
        <v>73143711</v>
      </c>
      <c r="BA30" s="21">
        <f t="shared" si="0"/>
        <v>17932086</v>
      </c>
      <c r="BB30" s="22">
        <f t="shared" si="1"/>
        <v>1494340.5</v>
      </c>
      <c r="BD30" s="7">
        <f t="shared" si="2"/>
        <v>17436289</v>
      </c>
      <c r="BE30" s="7">
        <f t="shared" si="3"/>
        <v>-495797</v>
      </c>
      <c r="BF30" s="8">
        <f t="shared" si="4"/>
        <v>-2.7648595930222508E-2</v>
      </c>
      <c r="BG30" s="7">
        <f t="shared" si="5"/>
        <v>1453024.0833333333</v>
      </c>
      <c r="BI30" s="12">
        <f t="shared" si="6"/>
        <v>17952312</v>
      </c>
      <c r="BJ30" s="12">
        <f t="shared" si="7"/>
        <v>516023</v>
      </c>
      <c r="BK30" s="13">
        <f t="shared" si="8"/>
        <v>2.9594772144462711E-2</v>
      </c>
      <c r="BL30" s="12">
        <f t="shared" si="9"/>
        <v>1515745</v>
      </c>
      <c r="BM30" s="12">
        <f t="shared" si="10"/>
        <v>1456588</v>
      </c>
      <c r="BO30" s="17">
        <f t="shared" si="11"/>
        <v>19542152</v>
      </c>
      <c r="BP30" s="17">
        <f t="shared" si="12"/>
        <v>1589840</v>
      </c>
      <c r="BQ30" s="18">
        <f t="shared" si="13"/>
        <v>8.8559066932437425E-2</v>
      </c>
      <c r="BR30" s="17">
        <f t="shared" si="14"/>
        <v>1628512.6666666667</v>
      </c>
    </row>
    <row r="31" spans="1:71">
      <c r="A31" t="s">
        <v>856</v>
      </c>
      <c r="C31" s="1">
        <v>296191</v>
      </c>
      <c r="D31" s="1">
        <v>470051</v>
      </c>
      <c r="E31" s="1">
        <v>403679</v>
      </c>
      <c r="F31" s="1">
        <v>566102</v>
      </c>
      <c r="G31" s="1">
        <v>634823</v>
      </c>
      <c r="H31" s="1">
        <v>497460</v>
      </c>
      <c r="I31" s="1">
        <v>454520</v>
      </c>
      <c r="J31" s="1">
        <v>550494</v>
      </c>
      <c r="K31" s="1">
        <v>582242</v>
      </c>
      <c r="L31" s="1">
        <v>446260</v>
      </c>
      <c r="M31" s="1">
        <v>401863</v>
      </c>
      <c r="N31" s="1">
        <v>529563</v>
      </c>
      <c r="O31" s="1">
        <v>421047</v>
      </c>
      <c r="P31" s="1">
        <v>455374</v>
      </c>
      <c r="Q31" s="1">
        <v>301474</v>
      </c>
      <c r="R31" s="1">
        <v>411452</v>
      </c>
      <c r="S31" s="1">
        <v>506119</v>
      </c>
      <c r="T31" s="1">
        <v>445588</v>
      </c>
      <c r="U31" s="1">
        <v>497947</v>
      </c>
      <c r="V31" s="1">
        <v>866849</v>
      </c>
      <c r="W31" s="1">
        <v>418750</v>
      </c>
      <c r="X31" s="1">
        <v>418487</v>
      </c>
      <c r="Y31" s="1">
        <v>595660</v>
      </c>
      <c r="Z31" s="1">
        <v>704120</v>
      </c>
      <c r="AA31" s="1">
        <v>359226</v>
      </c>
      <c r="AB31" s="1">
        <v>541894</v>
      </c>
      <c r="AC31" s="1">
        <v>491536</v>
      </c>
      <c r="AD31" s="1">
        <v>482102</v>
      </c>
      <c r="AE31" s="1">
        <v>437677</v>
      </c>
      <c r="AF31" s="1">
        <v>859342</v>
      </c>
      <c r="AG31" s="1">
        <v>552399</v>
      </c>
      <c r="AH31" s="1">
        <v>595067</v>
      </c>
      <c r="AI31" s="30">
        <v>781601</v>
      </c>
      <c r="AJ31" s="30">
        <v>856802</v>
      </c>
      <c r="AK31" s="30">
        <v>484313</v>
      </c>
      <c r="AL31" s="30">
        <v>502817</v>
      </c>
      <c r="AM31" s="1">
        <v>607030</v>
      </c>
      <c r="AN31" s="1">
        <v>612764</v>
      </c>
      <c r="AO31" s="1">
        <v>648553</v>
      </c>
      <c r="AP31" s="1">
        <v>575058</v>
      </c>
      <c r="AQ31" s="1">
        <v>739109</v>
      </c>
      <c r="AR31" s="1">
        <v>600458</v>
      </c>
      <c r="AS31" s="1">
        <v>840470</v>
      </c>
      <c r="AT31" s="1">
        <v>814645</v>
      </c>
      <c r="AU31" s="1">
        <v>796263</v>
      </c>
      <c r="AV31" s="1">
        <v>864263</v>
      </c>
      <c r="AW31" s="1">
        <v>900674</v>
      </c>
      <c r="AX31" s="1">
        <v>847764</v>
      </c>
      <c r="AY31" s="1">
        <v>28451457</v>
      </c>
      <c r="BA31" s="21">
        <f t="shared" si="0"/>
        <v>5833248</v>
      </c>
      <c r="BB31" s="22">
        <f t="shared" si="1"/>
        <v>486104</v>
      </c>
      <c r="BD31" s="7">
        <f t="shared" si="2"/>
        <v>6042867</v>
      </c>
      <c r="BE31" s="7">
        <f t="shared" si="3"/>
        <v>209619</v>
      </c>
      <c r="BF31" s="8">
        <f t="shared" si="4"/>
        <v>3.593521139509237E-2</v>
      </c>
      <c r="BG31" s="7">
        <f t="shared" si="5"/>
        <v>503572.25</v>
      </c>
      <c r="BI31" s="12">
        <f t="shared" si="6"/>
        <v>6944776</v>
      </c>
      <c r="BJ31" s="12">
        <f t="shared" si="7"/>
        <v>901909</v>
      </c>
      <c r="BK31" s="13">
        <f t="shared" si="8"/>
        <v>0.1492518369178073</v>
      </c>
      <c r="BL31" s="12">
        <f t="shared" si="9"/>
        <v>539905.375</v>
      </c>
      <c r="BM31" s="12">
        <f t="shared" si="10"/>
        <v>656383.25</v>
      </c>
      <c r="BO31" s="17">
        <f t="shared" si="11"/>
        <v>8847051</v>
      </c>
      <c r="BP31" s="17">
        <f t="shared" si="12"/>
        <v>1902275</v>
      </c>
      <c r="BQ31" s="18">
        <f t="shared" si="13"/>
        <v>0.27391452222505097</v>
      </c>
      <c r="BR31" s="17">
        <f t="shared" si="14"/>
        <v>737254.25</v>
      </c>
    </row>
    <row r="32" spans="1:71">
      <c r="A32" t="s">
        <v>865</v>
      </c>
      <c r="C32" s="1">
        <v>302071</v>
      </c>
      <c r="D32" s="1">
        <v>456539</v>
      </c>
      <c r="E32" s="1">
        <v>389674</v>
      </c>
      <c r="F32" s="1">
        <v>464029</v>
      </c>
      <c r="G32" s="1">
        <v>345671</v>
      </c>
      <c r="H32" s="1">
        <v>413366</v>
      </c>
      <c r="I32" s="1">
        <v>538879</v>
      </c>
      <c r="J32" s="1">
        <v>333996</v>
      </c>
      <c r="K32" s="1">
        <v>387491</v>
      </c>
      <c r="L32" s="1">
        <v>290412</v>
      </c>
      <c r="M32" s="1">
        <v>379962</v>
      </c>
      <c r="N32" s="1">
        <v>533098</v>
      </c>
      <c r="O32" s="1">
        <v>280673</v>
      </c>
      <c r="P32" s="1">
        <v>246910</v>
      </c>
      <c r="Q32" s="1">
        <v>229730</v>
      </c>
      <c r="R32" s="1">
        <v>327089</v>
      </c>
      <c r="S32" s="1">
        <v>331963</v>
      </c>
      <c r="T32" s="1">
        <v>281810</v>
      </c>
      <c r="U32" s="1">
        <v>377008</v>
      </c>
      <c r="V32" s="1">
        <v>419536</v>
      </c>
      <c r="W32" s="1">
        <v>259930</v>
      </c>
      <c r="X32" s="1">
        <v>279444</v>
      </c>
      <c r="Y32" s="1">
        <v>233210</v>
      </c>
      <c r="Z32" s="1">
        <v>279715</v>
      </c>
      <c r="AA32" s="1">
        <v>319539</v>
      </c>
      <c r="AB32" s="1">
        <v>326607</v>
      </c>
      <c r="AC32" s="1">
        <v>244987</v>
      </c>
      <c r="AD32" s="1">
        <v>376463</v>
      </c>
      <c r="AE32" s="1">
        <v>301037</v>
      </c>
      <c r="AF32" s="1">
        <v>383257</v>
      </c>
      <c r="AG32" s="1">
        <v>237078</v>
      </c>
      <c r="AH32" s="1">
        <v>201421</v>
      </c>
      <c r="AI32" s="30">
        <v>375327</v>
      </c>
      <c r="AJ32" s="30">
        <v>328525</v>
      </c>
      <c r="AK32" s="30">
        <v>418350</v>
      </c>
      <c r="AL32" s="30">
        <v>503650</v>
      </c>
      <c r="AM32" s="1">
        <v>353479</v>
      </c>
      <c r="AN32" s="1">
        <v>353479</v>
      </c>
      <c r="AO32" s="1">
        <v>353479</v>
      </c>
      <c r="AP32" s="1">
        <v>363451</v>
      </c>
      <c r="AQ32" s="1">
        <v>363454</v>
      </c>
      <c r="AR32" s="1">
        <v>363454</v>
      </c>
      <c r="AS32" s="1">
        <v>376751</v>
      </c>
      <c r="AT32" s="1">
        <v>376751</v>
      </c>
      <c r="AU32" s="1">
        <v>376749</v>
      </c>
      <c r="AV32" s="1">
        <v>393370</v>
      </c>
      <c r="AW32" s="1">
        <v>403342</v>
      </c>
      <c r="AX32" s="1">
        <v>390103</v>
      </c>
      <c r="AY32" s="1">
        <v>16921331</v>
      </c>
      <c r="BA32" s="21">
        <f t="shared" si="0"/>
        <v>4835188</v>
      </c>
      <c r="BB32" s="22">
        <f t="shared" si="1"/>
        <v>402932.33333333331</v>
      </c>
      <c r="BD32" s="7">
        <f t="shared" si="2"/>
        <v>3547018</v>
      </c>
      <c r="BE32" s="7">
        <f t="shared" si="3"/>
        <v>-1288170</v>
      </c>
      <c r="BF32" s="8">
        <f t="shared" si="4"/>
        <v>-0.26641570089932387</v>
      </c>
      <c r="BG32" s="7">
        <f t="shared" si="5"/>
        <v>295584.83333333331</v>
      </c>
      <c r="BI32" s="12">
        <f t="shared" si="6"/>
        <v>4016241</v>
      </c>
      <c r="BJ32" s="12">
        <f t="shared" si="7"/>
        <v>469223</v>
      </c>
      <c r="BK32" s="13">
        <f t="shared" si="8"/>
        <v>0.13228661371326567</v>
      </c>
      <c r="BL32" s="12">
        <f t="shared" si="9"/>
        <v>298798.625</v>
      </c>
      <c r="BM32" s="12">
        <f t="shared" si="10"/>
        <v>406463</v>
      </c>
      <c r="BO32" s="17">
        <f t="shared" si="11"/>
        <v>4467862</v>
      </c>
      <c r="BP32" s="17">
        <f t="shared" si="12"/>
        <v>451621</v>
      </c>
      <c r="BQ32" s="18">
        <f t="shared" si="13"/>
        <v>0.11244868024603116</v>
      </c>
      <c r="BR32" s="17">
        <f t="shared" si="14"/>
        <v>372321.83333333331</v>
      </c>
    </row>
    <row r="33" spans="1:72">
      <c r="A33" t="s">
        <v>867</v>
      </c>
      <c r="C33" s="1">
        <v>4635</v>
      </c>
      <c r="D33" s="1">
        <v>0</v>
      </c>
      <c r="E33" s="1">
        <v>0</v>
      </c>
      <c r="F33" s="1">
        <v>4521</v>
      </c>
      <c r="G33" s="1">
        <v>0</v>
      </c>
      <c r="H33" s="1">
        <v>0</v>
      </c>
      <c r="I33" s="1">
        <v>4563</v>
      </c>
      <c r="J33" s="1">
        <v>0</v>
      </c>
      <c r="K33" s="1">
        <v>0</v>
      </c>
      <c r="L33" s="1">
        <v>5650</v>
      </c>
      <c r="M33" s="1">
        <v>446</v>
      </c>
      <c r="N33" s="1">
        <v>446</v>
      </c>
      <c r="O33" s="1">
        <v>4899</v>
      </c>
      <c r="P33" s="1">
        <v>446</v>
      </c>
      <c r="Q33" s="1">
        <v>446</v>
      </c>
      <c r="R33" s="1">
        <v>2312</v>
      </c>
      <c r="S33" s="1">
        <v>4328</v>
      </c>
      <c r="T33" s="1">
        <v>446</v>
      </c>
      <c r="U33" s="1">
        <v>6389</v>
      </c>
      <c r="V33" s="1">
        <v>446</v>
      </c>
      <c r="W33" s="1">
        <v>446</v>
      </c>
      <c r="X33" s="1">
        <v>6905</v>
      </c>
      <c r="Y33" s="1">
        <v>0</v>
      </c>
      <c r="Z33" s="1">
        <v>0</v>
      </c>
      <c r="AA33" s="1">
        <v>1903</v>
      </c>
      <c r="AB33" s="1">
        <v>4771</v>
      </c>
      <c r="AC33" s="1">
        <v>0</v>
      </c>
      <c r="AD33" s="1">
        <v>6153</v>
      </c>
      <c r="AE33" s="1">
        <v>0</v>
      </c>
      <c r="AF33" s="1">
        <v>0</v>
      </c>
      <c r="AG33" s="1">
        <v>5608</v>
      </c>
      <c r="AH33" s="1">
        <v>0</v>
      </c>
      <c r="AI33" s="30">
        <v>0</v>
      </c>
      <c r="AJ33" s="30">
        <v>5900</v>
      </c>
      <c r="AK33" s="30">
        <v>0</v>
      </c>
      <c r="AL33" s="30">
        <v>0</v>
      </c>
      <c r="AM33" s="1">
        <v>3366</v>
      </c>
      <c r="AN33" s="1">
        <v>1466</v>
      </c>
      <c r="AO33" s="1">
        <v>1466</v>
      </c>
      <c r="AP33" s="1">
        <v>3366</v>
      </c>
      <c r="AQ33" s="1">
        <v>1466</v>
      </c>
      <c r="AR33" s="1">
        <v>1466</v>
      </c>
      <c r="AS33" s="1">
        <v>3366</v>
      </c>
      <c r="AT33" s="1">
        <v>1466</v>
      </c>
      <c r="AU33" s="1">
        <v>1466</v>
      </c>
      <c r="AV33" s="1">
        <v>3366</v>
      </c>
      <c r="AW33" s="1">
        <v>1466</v>
      </c>
      <c r="AX33" s="1">
        <v>1476</v>
      </c>
      <c r="AY33" s="1">
        <v>95258</v>
      </c>
      <c r="BA33" s="21">
        <f t="shared" si="0"/>
        <v>20261</v>
      </c>
      <c r="BB33" s="22">
        <f t="shared" si="1"/>
        <v>1688.4166666666667</v>
      </c>
      <c r="BD33" s="7">
        <f t="shared" si="2"/>
        <v>27063</v>
      </c>
      <c r="BE33" s="7">
        <f t="shared" si="3"/>
        <v>6802</v>
      </c>
      <c r="BF33" s="8">
        <f t="shared" si="4"/>
        <v>0.33571886876264756</v>
      </c>
      <c r="BG33" s="7">
        <f t="shared" si="5"/>
        <v>2255.25</v>
      </c>
      <c r="BI33" s="12">
        <f t="shared" si="6"/>
        <v>24335</v>
      </c>
      <c r="BJ33" s="12">
        <f t="shared" si="7"/>
        <v>-2728</v>
      </c>
      <c r="BK33" s="13">
        <f t="shared" si="8"/>
        <v>-0.10080183276059562</v>
      </c>
      <c r="BL33" s="12">
        <f t="shared" si="9"/>
        <v>2304.375</v>
      </c>
      <c r="BM33" s="12">
        <f t="shared" si="10"/>
        <v>1475</v>
      </c>
      <c r="BO33" s="17">
        <f t="shared" si="11"/>
        <v>25202</v>
      </c>
      <c r="BP33" s="17">
        <f t="shared" si="12"/>
        <v>867</v>
      </c>
      <c r="BQ33" s="18">
        <f t="shared" si="13"/>
        <v>3.56276967331004E-2</v>
      </c>
      <c r="BR33" s="17">
        <f t="shared" si="14"/>
        <v>2100.1666666666665</v>
      </c>
    </row>
    <row r="34" spans="1:72">
      <c r="A34" t="s">
        <v>887</v>
      </c>
      <c r="C34" s="1">
        <v>281856</v>
      </c>
      <c r="D34" s="1">
        <v>269504</v>
      </c>
      <c r="E34" s="1">
        <v>306038</v>
      </c>
      <c r="F34" s="1">
        <v>303996</v>
      </c>
      <c r="G34" s="1">
        <v>329879</v>
      </c>
      <c r="H34" s="1">
        <v>321736</v>
      </c>
      <c r="I34" s="1">
        <v>310643</v>
      </c>
      <c r="J34" s="1">
        <v>316743</v>
      </c>
      <c r="K34" s="1">
        <v>331703</v>
      </c>
      <c r="L34" s="1">
        <v>259292</v>
      </c>
      <c r="M34" s="1">
        <v>254482</v>
      </c>
      <c r="N34" s="1">
        <v>271592</v>
      </c>
      <c r="O34" s="1">
        <v>239668</v>
      </c>
      <c r="P34" s="1">
        <v>250508</v>
      </c>
      <c r="Q34" s="1">
        <v>267347</v>
      </c>
      <c r="R34" s="1">
        <v>289015</v>
      </c>
      <c r="S34" s="1">
        <v>248326</v>
      </c>
      <c r="T34" s="1">
        <v>273804</v>
      </c>
      <c r="U34" s="1">
        <v>253627</v>
      </c>
      <c r="V34" s="1">
        <v>275038</v>
      </c>
      <c r="W34" s="1">
        <v>278439</v>
      </c>
      <c r="X34" s="1">
        <v>244884</v>
      </c>
      <c r="Y34" s="1">
        <v>247716</v>
      </c>
      <c r="Z34" s="1">
        <v>254403</v>
      </c>
      <c r="AA34" s="1">
        <v>252345</v>
      </c>
      <c r="AB34" s="1">
        <v>199252</v>
      </c>
      <c r="AC34" s="1">
        <v>248027</v>
      </c>
      <c r="AD34" s="1">
        <v>292796</v>
      </c>
      <c r="AE34" s="1">
        <v>319413</v>
      </c>
      <c r="AF34" s="1">
        <v>245812</v>
      </c>
      <c r="AG34" s="1">
        <v>257972</v>
      </c>
      <c r="AH34" s="1">
        <v>329563</v>
      </c>
      <c r="AI34" s="30">
        <v>287996</v>
      </c>
      <c r="AJ34" s="30">
        <v>314761</v>
      </c>
      <c r="AK34" s="30">
        <v>288131</v>
      </c>
      <c r="AL34" s="30">
        <v>292804</v>
      </c>
      <c r="AM34" s="1">
        <v>267583</v>
      </c>
      <c r="AN34" s="1">
        <v>260184</v>
      </c>
      <c r="AO34" s="1">
        <v>259653</v>
      </c>
      <c r="AP34" s="1">
        <v>257640</v>
      </c>
      <c r="AQ34" s="1">
        <v>260624</v>
      </c>
      <c r="AR34" s="1">
        <v>253601</v>
      </c>
      <c r="AS34" s="1">
        <v>259919</v>
      </c>
      <c r="AT34" s="1">
        <v>261040</v>
      </c>
      <c r="AU34" s="1">
        <v>260729</v>
      </c>
      <c r="AV34" s="1">
        <v>260419</v>
      </c>
      <c r="AW34" s="1">
        <v>260116</v>
      </c>
      <c r="AX34" s="1">
        <v>259911</v>
      </c>
      <c r="AY34" s="1">
        <v>13457201</v>
      </c>
      <c r="BA34" s="21">
        <f t="shared" si="0"/>
        <v>3557464</v>
      </c>
      <c r="BB34" s="22">
        <f t="shared" si="1"/>
        <v>296455.33333333331</v>
      </c>
      <c r="BD34" s="7">
        <f t="shared" si="2"/>
        <v>3122775</v>
      </c>
      <c r="BE34" s="7">
        <f t="shared" si="3"/>
        <v>-434689</v>
      </c>
      <c r="BF34" s="8">
        <f t="shared" si="4"/>
        <v>-0.1221906953942471</v>
      </c>
      <c r="BG34" s="7">
        <f t="shared" si="5"/>
        <v>260231.25</v>
      </c>
      <c r="BI34" s="12">
        <f t="shared" si="6"/>
        <v>3328872</v>
      </c>
      <c r="BJ34" s="12">
        <f t="shared" si="7"/>
        <v>206097</v>
      </c>
      <c r="BK34" s="13">
        <f t="shared" si="8"/>
        <v>6.599803059778564E-2</v>
      </c>
      <c r="BL34" s="12">
        <f t="shared" si="9"/>
        <v>268147.5</v>
      </c>
      <c r="BM34" s="12">
        <f t="shared" si="10"/>
        <v>295923</v>
      </c>
      <c r="BO34" s="17">
        <f t="shared" si="11"/>
        <v>3121419</v>
      </c>
      <c r="BP34" s="17">
        <f t="shared" si="12"/>
        <v>-207453</v>
      </c>
      <c r="BQ34" s="18">
        <f t="shared" si="13"/>
        <v>-6.2319308162044118E-2</v>
      </c>
      <c r="BR34" s="17">
        <f t="shared" si="14"/>
        <v>260118.25</v>
      </c>
      <c r="BT34" s="26">
        <f>+BO33+BO34+BO35</f>
        <v>6982817</v>
      </c>
    </row>
    <row r="35" spans="1:72">
      <c r="A35" t="s">
        <v>920</v>
      </c>
      <c r="C35" s="1">
        <v>303031</v>
      </c>
      <c r="D35" s="1">
        <v>204011</v>
      </c>
      <c r="E35" s="1">
        <v>182633</v>
      </c>
      <c r="F35" s="1">
        <v>114054</v>
      </c>
      <c r="G35" s="1">
        <v>165563</v>
      </c>
      <c r="H35" s="1">
        <v>231173</v>
      </c>
      <c r="I35" s="1">
        <v>275265</v>
      </c>
      <c r="J35" s="1">
        <v>242430</v>
      </c>
      <c r="K35" s="1">
        <v>270248</v>
      </c>
      <c r="L35" s="1">
        <v>229674</v>
      </c>
      <c r="M35" s="1">
        <v>235794</v>
      </c>
      <c r="N35" s="1">
        <v>293050</v>
      </c>
      <c r="O35" s="1">
        <v>320709</v>
      </c>
      <c r="P35" s="1">
        <v>343309</v>
      </c>
      <c r="Q35" s="1">
        <v>328785</v>
      </c>
      <c r="R35" s="1">
        <v>289829</v>
      </c>
      <c r="S35" s="1">
        <v>377275</v>
      </c>
      <c r="T35" s="1">
        <v>176651</v>
      </c>
      <c r="U35" s="1">
        <v>309831</v>
      </c>
      <c r="V35" s="1">
        <v>220989</v>
      </c>
      <c r="W35" s="1">
        <v>242615</v>
      </c>
      <c r="X35" s="1">
        <v>187805</v>
      </c>
      <c r="Y35" s="1">
        <v>163299</v>
      </c>
      <c r="Z35" s="1">
        <v>205807</v>
      </c>
      <c r="AA35" s="1">
        <v>169453</v>
      </c>
      <c r="AB35" s="1">
        <v>208101</v>
      </c>
      <c r="AC35" s="1">
        <v>264098</v>
      </c>
      <c r="AD35" s="1">
        <v>248023</v>
      </c>
      <c r="AE35" s="1">
        <v>324789</v>
      </c>
      <c r="AF35" s="1">
        <v>380184</v>
      </c>
      <c r="AG35" s="1">
        <v>428059</v>
      </c>
      <c r="AH35" s="1">
        <v>324736</v>
      </c>
      <c r="AI35" s="30">
        <v>281094</v>
      </c>
      <c r="AJ35" s="30">
        <v>251686</v>
      </c>
      <c r="AK35" s="30">
        <v>251260</v>
      </c>
      <c r="AL35" s="30">
        <v>246980</v>
      </c>
      <c r="AM35" s="1">
        <v>339000</v>
      </c>
      <c r="AN35" s="1">
        <v>302495</v>
      </c>
      <c r="AO35" s="1">
        <v>320866</v>
      </c>
      <c r="AP35" s="1">
        <v>309799</v>
      </c>
      <c r="AQ35" s="1">
        <v>347662</v>
      </c>
      <c r="AR35" s="1">
        <v>367569</v>
      </c>
      <c r="AS35" s="1">
        <v>359465</v>
      </c>
      <c r="AT35" s="1">
        <v>318193</v>
      </c>
      <c r="AU35" s="1">
        <v>293743</v>
      </c>
      <c r="AV35" s="1">
        <v>293636</v>
      </c>
      <c r="AW35" s="1">
        <v>286399</v>
      </c>
      <c r="AX35" s="1">
        <v>297369</v>
      </c>
      <c r="AY35" s="1">
        <v>13905881</v>
      </c>
      <c r="BA35" s="21">
        <f t="shared" si="0"/>
        <v>2746926</v>
      </c>
      <c r="BB35" s="22">
        <f t="shared" si="1"/>
        <v>228910.5</v>
      </c>
      <c r="BD35" s="7">
        <f t="shared" si="2"/>
        <v>3166904</v>
      </c>
      <c r="BE35" s="7">
        <f t="shared" si="3"/>
        <v>419978</v>
      </c>
      <c r="BF35" s="8">
        <f t="shared" si="4"/>
        <v>0.15289017614599021</v>
      </c>
      <c r="BG35" s="7">
        <f t="shared" si="5"/>
        <v>263908.66666666669</v>
      </c>
      <c r="BI35" s="12">
        <f t="shared" si="6"/>
        <v>3378463</v>
      </c>
      <c r="BJ35" s="12">
        <f t="shared" si="7"/>
        <v>211559</v>
      </c>
      <c r="BK35" s="13">
        <f t="shared" si="8"/>
        <v>6.6803098546719397E-2</v>
      </c>
      <c r="BL35" s="12">
        <f t="shared" si="9"/>
        <v>293430.375</v>
      </c>
      <c r="BM35" s="12">
        <f t="shared" si="10"/>
        <v>257755</v>
      </c>
      <c r="BO35" s="17">
        <f t="shared" si="11"/>
        <v>3836196</v>
      </c>
      <c r="BP35" s="17">
        <f t="shared" si="12"/>
        <v>457733</v>
      </c>
      <c r="BQ35" s="18">
        <f t="shared" si="13"/>
        <v>0.13548557435733355</v>
      </c>
      <c r="BR35" s="17">
        <f t="shared" si="14"/>
        <v>319683</v>
      </c>
    </row>
    <row r="36" spans="1:7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30"/>
      <c r="AJ36" s="30"/>
      <c r="AK36" s="30"/>
      <c r="AL36" s="30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BA36" s="21"/>
      <c r="BB36" s="22"/>
      <c r="BD36" s="7"/>
      <c r="BE36" s="7"/>
      <c r="BF36" s="8"/>
      <c r="BG36" s="7"/>
      <c r="BI36" s="12"/>
      <c r="BJ36" s="12"/>
      <c r="BK36" s="13"/>
      <c r="BL36" s="12"/>
      <c r="BM36" s="12"/>
      <c r="BO36" s="17"/>
      <c r="BP36" s="17"/>
      <c r="BQ36" s="18"/>
      <c r="BR36" s="17"/>
    </row>
    <row r="37" spans="1:72">
      <c r="A37" t="s">
        <v>921</v>
      </c>
      <c r="C37" s="1">
        <v>5478923</v>
      </c>
      <c r="D37" s="1">
        <v>5807427</v>
      </c>
      <c r="E37" s="1">
        <v>5740632</v>
      </c>
      <c r="F37" s="1">
        <v>5671378</v>
      </c>
      <c r="G37" s="1">
        <v>6062327</v>
      </c>
      <c r="H37" s="1">
        <v>6041265</v>
      </c>
      <c r="I37" s="1">
        <v>6070559</v>
      </c>
      <c r="J37" s="1">
        <v>6427536</v>
      </c>
      <c r="K37" s="1">
        <v>5909040</v>
      </c>
      <c r="L37" s="1">
        <v>5959113</v>
      </c>
      <c r="M37" s="1">
        <v>6071952</v>
      </c>
      <c r="N37" s="1">
        <v>6298151</v>
      </c>
      <c r="O37" s="1">
        <v>6149404</v>
      </c>
      <c r="P37" s="1">
        <v>6120667</v>
      </c>
      <c r="Q37" s="1">
        <v>5256676</v>
      </c>
      <c r="R37" s="1">
        <v>6363558</v>
      </c>
      <c r="S37" s="1">
        <v>6518551</v>
      </c>
      <c r="T37" s="1">
        <v>5887627</v>
      </c>
      <c r="U37" s="1">
        <v>6446583</v>
      </c>
      <c r="V37" s="1">
        <v>6528736</v>
      </c>
      <c r="W37" s="1">
        <v>5809117</v>
      </c>
      <c r="X37" s="1">
        <v>6300923</v>
      </c>
      <c r="Y37" s="1">
        <v>6191325</v>
      </c>
      <c r="Z37" s="1">
        <v>6465779</v>
      </c>
      <c r="AA37" s="1">
        <v>6166233</v>
      </c>
      <c r="AB37" s="1">
        <v>6116993</v>
      </c>
      <c r="AC37" s="1">
        <v>6163820</v>
      </c>
      <c r="AD37" s="1">
        <v>5539991</v>
      </c>
      <c r="AE37" s="1">
        <v>6948938</v>
      </c>
      <c r="AF37" s="1">
        <v>7063418</v>
      </c>
      <c r="AG37" s="1">
        <v>7621463</v>
      </c>
      <c r="AH37" s="1">
        <v>6348233</v>
      </c>
      <c r="AI37" s="30">
        <v>6298840</v>
      </c>
      <c r="AJ37" s="30">
        <v>7194700</v>
      </c>
      <c r="AK37" s="30">
        <v>6253809</v>
      </c>
      <c r="AL37" s="30">
        <v>6811831</v>
      </c>
      <c r="AM37" s="1">
        <v>6828002</v>
      </c>
      <c r="AN37" s="1">
        <v>6607608</v>
      </c>
      <c r="AO37" s="1">
        <v>6944311</v>
      </c>
      <c r="AP37" s="1">
        <v>7075677</v>
      </c>
      <c r="AQ37" s="1">
        <v>7258059</v>
      </c>
      <c r="AR37" s="1">
        <v>7317271</v>
      </c>
      <c r="AS37" s="1">
        <v>7781396</v>
      </c>
      <c r="AT37" s="1">
        <v>7521331</v>
      </c>
      <c r="AU37" s="1">
        <v>7691348</v>
      </c>
      <c r="AV37" s="1">
        <v>7913678</v>
      </c>
      <c r="AW37" s="1">
        <v>7788478</v>
      </c>
      <c r="AX37" s="1">
        <v>7987899</v>
      </c>
      <c r="AY37" s="1">
        <v>313279241</v>
      </c>
      <c r="BA37" s="21">
        <f>SUM(C37:N37)</f>
        <v>71538303</v>
      </c>
      <c r="BB37" s="22">
        <f>+BA37/12</f>
        <v>5961525.25</v>
      </c>
      <c r="BD37" s="7">
        <f>SUM(O37:Z37)</f>
        <v>74038946</v>
      </c>
      <c r="BE37" s="7">
        <f>+BD37-BA37</f>
        <v>2500643</v>
      </c>
      <c r="BF37" s="8">
        <f>(BD37/BA37)-1</f>
        <v>3.495530219664289E-2</v>
      </c>
      <c r="BG37" s="7">
        <f>BD37/12</f>
        <v>6169912.166666667</v>
      </c>
      <c r="BI37" s="12">
        <f>+SUM(AA37:AL37)</f>
        <v>78528269</v>
      </c>
      <c r="BJ37" s="12">
        <f>+BI37-BD37</f>
        <v>4489323</v>
      </c>
      <c r="BK37" s="13">
        <f>(BI37/BD37)-1</f>
        <v>6.0634615192928232E-2</v>
      </c>
      <c r="BL37" s="12">
        <f>SUM(AA37:AH37)/8</f>
        <v>6496136.125</v>
      </c>
      <c r="BM37" s="12">
        <f>SUM(AI37:AL37)/4</f>
        <v>6639795</v>
      </c>
      <c r="BO37" s="17">
        <f>+SUM(AM37:AX37)</f>
        <v>88715058</v>
      </c>
      <c r="BP37" s="17">
        <f>+BO37-BI37</f>
        <v>10186789</v>
      </c>
      <c r="BQ37" s="18">
        <f>(BO37/BI37)-1</f>
        <v>0.12972129819899636</v>
      </c>
      <c r="BR37" s="17">
        <f>BO37/12</f>
        <v>7392921.5</v>
      </c>
    </row>
    <row r="38" spans="1:72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30"/>
      <c r="AJ38" s="30"/>
      <c r="AK38" s="30"/>
      <c r="AL38" s="30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BA38" s="21"/>
      <c r="BB38" s="22"/>
      <c r="BD38" s="7"/>
      <c r="BE38" s="7"/>
      <c r="BF38" s="8"/>
      <c r="BG38" s="7"/>
      <c r="BI38" s="12"/>
      <c r="BJ38" s="12"/>
      <c r="BK38" s="13"/>
      <c r="BL38" s="12"/>
      <c r="BM38" s="12"/>
      <c r="BO38" s="17"/>
      <c r="BP38" s="17"/>
      <c r="BQ38" s="18"/>
      <c r="BR38" s="17"/>
    </row>
    <row r="39" spans="1:72">
      <c r="A39" t="s">
        <v>922</v>
      </c>
      <c r="C39" s="1">
        <v>5478923</v>
      </c>
      <c r="D39" s="1">
        <v>5807427</v>
      </c>
      <c r="E39" s="1">
        <v>5740632</v>
      </c>
      <c r="F39" s="1">
        <v>5671378</v>
      </c>
      <c r="G39" s="1">
        <v>6062327</v>
      </c>
      <c r="H39" s="1">
        <v>6041265</v>
      </c>
      <c r="I39" s="1">
        <v>6070559</v>
      </c>
      <c r="J39" s="1">
        <v>6427536</v>
      </c>
      <c r="K39" s="1">
        <v>5909040</v>
      </c>
      <c r="L39" s="1">
        <v>5959113</v>
      </c>
      <c r="M39" s="1">
        <v>6071952</v>
      </c>
      <c r="N39" s="1">
        <v>6298151</v>
      </c>
      <c r="O39" s="1">
        <v>6149404</v>
      </c>
      <c r="P39" s="1">
        <v>6120667</v>
      </c>
      <c r="Q39" s="1">
        <v>5256676</v>
      </c>
      <c r="R39" s="1">
        <v>6363558</v>
      </c>
      <c r="S39" s="1">
        <v>6518551</v>
      </c>
      <c r="T39" s="1">
        <v>5887627</v>
      </c>
      <c r="U39" s="1">
        <v>6446583</v>
      </c>
      <c r="V39" s="1">
        <v>6528736</v>
      </c>
      <c r="W39" s="1">
        <v>5809117</v>
      </c>
      <c r="X39" s="1">
        <v>6300923</v>
      </c>
      <c r="Y39" s="1">
        <v>6191325</v>
      </c>
      <c r="Z39" s="1">
        <v>6465779</v>
      </c>
      <c r="AA39" s="1">
        <v>6166233</v>
      </c>
      <c r="AB39" s="1">
        <v>6116993</v>
      </c>
      <c r="AC39" s="1">
        <v>6163820</v>
      </c>
      <c r="AD39" s="1">
        <v>5539991</v>
      </c>
      <c r="AE39" s="1">
        <v>6948938</v>
      </c>
      <c r="AF39" s="1">
        <v>7063418</v>
      </c>
      <c r="AG39" s="1">
        <v>7621463</v>
      </c>
      <c r="AH39" s="1">
        <v>6348233</v>
      </c>
      <c r="AI39" s="30">
        <v>6298840</v>
      </c>
      <c r="AJ39" s="30">
        <v>7194700</v>
      </c>
      <c r="AK39" s="30">
        <v>6253809</v>
      </c>
      <c r="AL39" s="30">
        <v>6811831</v>
      </c>
      <c r="AM39" s="1">
        <v>6828002</v>
      </c>
      <c r="AN39" s="1">
        <v>6607608</v>
      </c>
      <c r="AO39" s="1">
        <v>6944311</v>
      </c>
      <c r="AP39" s="1">
        <v>7075677</v>
      </c>
      <c r="AQ39" s="1">
        <v>7258059</v>
      </c>
      <c r="AR39" s="1">
        <v>7317271</v>
      </c>
      <c r="AS39" s="1">
        <v>7781396</v>
      </c>
      <c r="AT39" s="1">
        <v>7521331</v>
      </c>
      <c r="AU39" s="1">
        <v>7691348</v>
      </c>
      <c r="AV39" s="1">
        <v>7913678</v>
      </c>
      <c r="AW39" s="1">
        <v>7788478</v>
      </c>
      <c r="AX39" s="1">
        <v>7987899</v>
      </c>
      <c r="AY39" s="1">
        <v>313279241</v>
      </c>
      <c r="BA39" s="21">
        <f>SUM(C39:N39)</f>
        <v>71538303</v>
      </c>
      <c r="BB39" s="22">
        <f>+BA39/12</f>
        <v>5961525.25</v>
      </c>
      <c r="BD39" s="7">
        <f>SUM(O39:Z39)</f>
        <v>74038946</v>
      </c>
      <c r="BE39" s="7">
        <f>+BD39-BA39</f>
        <v>2500643</v>
      </c>
      <c r="BF39" s="8">
        <f>(BD39/BA39)-1</f>
        <v>3.495530219664289E-2</v>
      </c>
      <c r="BG39" s="7">
        <f>BD39/12</f>
        <v>6169912.166666667</v>
      </c>
      <c r="BI39" s="12">
        <f>+SUM(AA39:AL39)</f>
        <v>78528269</v>
      </c>
      <c r="BJ39" s="12">
        <f>+BI39-BD39</f>
        <v>4489323</v>
      </c>
      <c r="BK39" s="13">
        <f>(BI39/BD39)-1</f>
        <v>6.0634615192928232E-2</v>
      </c>
      <c r="BL39" s="12">
        <f>SUM(AA39:AH39)/8</f>
        <v>6496136.125</v>
      </c>
      <c r="BM39" s="12">
        <f>SUM(AI39:AL39)/4</f>
        <v>6639795</v>
      </c>
      <c r="BO39" s="17">
        <f>+SUM(AM39:AX39)</f>
        <v>88715058</v>
      </c>
      <c r="BP39" s="17">
        <f>+BO39-BI39</f>
        <v>10186789</v>
      </c>
      <c r="BQ39" s="18">
        <f>(BO39/BI39)-1</f>
        <v>0.12972129819899636</v>
      </c>
      <c r="BR39" s="17">
        <f>BO39/12</f>
        <v>7392921.5</v>
      </c>
    </row>
    <row r="40" spans="1:72">
      <c r="A40" t="s">
        <v>923</v>
      </c>
      <c r="C40" s="1">
        <v>5478923</v>
      </c>
      <c r="D40" s="1">
        <v>5807427</v>
      </c>
      <c r="E40" s="1">
        <v>5740632</v>
      </c>
      <c r="F40" s="1">
        <v>5671378</v>
      </c>
      <c r="G40" s="1">
        <v>6062327</v>
      </c>
      <c r="H40" s="1">
        <v>6041265</v>
      </c>
      <c r="I40" s="1">
        <v>6070559</v>
      </c>
      <c r="J40" s="1">
        <v>6427536</v>
      </c>
      <c r="K40" s="1">
        <v>5909040</v>
      </c>
      <c r="L40" s="1">
        <v>5959113</v>
      </c>
      <c r="M40" s="1">
        <v>6071952</v>
      </c>
      <c r="N40" s="1">
        <v>6298151</v>
      </c>
      <c r="O40" s="1">
        <v>6149404</v>
      </c>
      <c r="P40" s="1">
        <v>6120667</v>
      </c>
      <c r="Q40" s="1">
        <v>5256676</v>
      </c>
      <c r="R40" s="1">
        <v>6363558</v>
      </c>
      <c r="S40" s="1">
        <v>6518551</v>
      </c>
      <c r="T40" s="1">
        <v>5887627</v>
      </c>
      <c r="U40" s="1">
        <v>6446583</v>
      </c>
      <c r="V40" s="1">
        <v>6528736</v>
      </c>
      <c r="W40" s="1">
        <v>5809117</v>
      </c>
      <c r="X40" s="1">
        <v>6300923</v>
      </c>
      <c r="Y40" s="1">
        <v>6191325</v>
      </c>
      <c r="Z40" s="1">
        <v>6465779</v>
      </c>
      <c r="AA40" s="1">
        <v>6166233</v>
      </c>
      <c r="AB40" s="1">
        <v>6116993</v>
      </c>
      <c r="AC40" s="1">
        <v>6163820</v>
      </c>
      <c r="AD40" s="1">
        <v>5539991</v>
      </c>
      <c r="AE40" s="1">
        <v>6948938</v>
      </c>
      <c r="AF40" s="1">
        <v>7063418</v>
      </c>
      <c r="AG40" s="1">
        <v>7621463</v>
      </c>
      <c r="AH40" s="1">
        <v>6348233</v>
      </c>
      <c r="AI40" s="30">
        <v>6298840</v>
      </c>
      <c r="AJ40" s="30">
        <v>7194700</v>
      </c>
      <c r="AK40" s="30">
        <v>6253809</v>
      </c>
      <c r="AL40" s="30">
        <v>6811831</v>
      </c>
      <c r="AM40" s="1">
        <v>6828002</v>
      </c>
      <c r="AN40" s="1">
        <v>6607608</v>
      </c>
      <c r="AO40" s="1">
        <v>6944311</v>
      </c>
      <c r="AP40" s="1">
        <v>7075677</v>
      </c>
      <c r="AQ40" s="1">
        <v>7258059</v>
      </c>
      <c r="AR40" s="1">
        <v>7317271</v>
      </c>
      <c r="AS40" s="1">
        <v>7781396</v>
      </c>
      <c r="AT40" s="1">
        <v>7521331</v>
      </c>
      <c r="AU40" s="1">
        <v>7691348</v>
      </c>
      <c r="AV40" s="1">
        <v>7913678</v>
      </c>
      <c r="AW40" s="1">
        <v>7788478</v>
      </c>
      <c r="AX40" s="1">
        <v>7987899</v>
      </c>
      <c r="AY40" s="1">
        <v>313279241</v>
      </c>
      <c r="BA40" s="21">
        <f>SUM(C40:N40)</f>
        <v>71538303</v>
      </c>
      <c r="BB40" s="22">
        <f>+BA40/12</f>
        <v>5961525.25</v>
      </c>
      <c r="BD40" s="7">
        <f>SUM(O40:Z40)</f>
        <v>74038946</v>
      </c>
      <c r="BE40" s="7">
        <f>+BD40-BA40</f>
        <v>2500643</v>
      </c>
      <c r="BF40" s="8">
        <f>(BD40/BA40)-1</f>
        <v>3.495530219664289E-2</v>
      </c>
      <c r="BG40" s="7">
        <f>BD40/12</f>
        <v>6169912.166666667</v>
      </c>
      <c r="BI40" s="12">
        <f>+SUM(AA40:AL40)</f>
        <v>78528269</v>
      </c>
      <c r="BJ40" s="12">
        <f>+BI40-BD40</f>
        <v>4489323</v>
      </c>
      <c r="BK40" s="13">
        <f>(BI40/BD40)-1</f>
        <v>6.0634615192928232E-2</v>
      </c>
      <c r="BL40" s="12">
        <f>SUM(AA40:AH40)/8</f>
        <v>6496136.125</v>
      </c>
      <c r="BM40" s="12">
        <f>SUM(AI40:AL40)/4</f>
        <v>6639795</v>
      </c>
      <c r="BO40" s="17">
        <f>+SUM(AM40:AX40)</f>
        <v>88715058</v>
      </c>
      <c r="BP40" s="17">
        <f>+BO40-BI40</f>
        <v>10186789</v>
      </c>
      <c r="BQ40" s="18">
        <f>(BO40/BI40)-1</f>
        <v>0.12972129819899636</v>
      </c>
      <c r="BR40" s="17">
        <f>BO40/12</f>
        <v>7392921.5</v>
      </c>
    </row>
    <row r="41" spans="1:72" s="31" customFormat="1" ht="15.75" thickBot="1">
      <c r="A41" s="31" t="s">
        <v>539</v>
      </c>
      <c r="C41" s="32">
        <v>1800145</v>
      </c>
      <c r="D41" s="32">
        <v>783179</v>
      </c>
      <c r="E41" s="32">
        <v>1546318</v>
      </c>
      <c r="F41" s="32">
        <v>1113469</v>
      </c>
      <c r="G41" s="32">
        <v>527099</v>
      </c>
      <c r="H41" s="32">
        <v>349801</v>
      </c>
      <c r="I41" s="32">
        <v>1144775</v>
      </c>
      <c r="J41" s="32">
        <v>541468</v>
      </c>
      <c r="K41" s="32">
        <v>133374</v>
      </c>
      <c r="L41" s="32">
        <v>201025</v>
      </c>
      <c r="M41" s="32">
        <v>637530</v>
      </c>
      <c r="N41" s="32">
        <v>304557</v>
      </c>
      <c r="O41" s="32">
        <v>20448</v>
      </c>
      <c r="P41" s="32">
        <v>161180</v>
      </c>
      <c r="Q41" s="32">
        <v>232028</v>
      </c>
      <c r="R41" s="32">
        <v>212060</v>
      </c>
      <c r="S41" s="32">
        <v>107444</v>
      </c>
      <c r="T41" s="32">
        <v>740698</v>
      </c>
      <c r="U41" s="32">
        <v>411777</v>
      </c>
      <c r="V41" s="32">
        <v>763925</v>
      </c>
      <c r="W41" s="32">
        <v>899354</v>
      </c>
      <c r="X41" s="32">
        <v>415619</v>
      </c>
      <c r="Y41" s="32">
        <v>941607</v>
      </c>
      <c r="Z41" s="32">
        <v>1115290</v>
      </c>
      <c r="AA41" s="32">
        <v>508818</v>
      </c>
      <c r="AB41" s="32">
        <v>405771</v>
      </c>
      <c r="AC41" s="32">
        <v>765180</v>
      </c>
      <c r="AD41" s="32">
        <v>371581</v>
      </c>
      <c r="AE41" s="32">
        <v>299193</v>
      </c>
      <c r="AF41" s="32">
        <v>62160</v>
      </c>
      <c r="AG41" s="32">
        <v>485716</v>
      </c>
      <c r="AH41" s="32">
        <v>2132509</v>
      </c>
      <c r="AI41" s="47">
        <v>975536</v>
      </c>
      <c r="AJ41" s="47">
        <v>458220</v>
      </c>
      <c r="AK41" s="47">
        <v>1211263</v>
      </c>
      <c r="AL41" s="47">
        <v>907523</v>
      </c>
      <c r="AM41" s="32">
        <v>989673</v>
      </c>
      <c r="AN41" s="32">
        <v>1127160</v>
      </c>
      <c r="AO41" s="32">
        <v>1314244</v>
      </c>
      <c r="AP41" s="32">
        <v>1025794</v>
      </c>
      <c r="AQ41" s="32">
        <v>1328291</v>
      </c>
      <c r="AR41" s="32">
        <v>1312770</v>
      </c>
      <c r="AS41" s="32">
        <v>1464433</v>
      </c>
      <c r="AT41" s="32">
        <v>1603107</v>
      </c>
      <c r="AU41" s="32">
        <v>1427501</v>
      </c>
      <c r="AV41" s="32">
        <v>1654506</v>
      </c>
      <c r="AW41" s="32">
        <v>1621147</v>
      </c>
      <c r="AX41" s="32">
        <v>1792976</v>
      </c>
      <c r="AY41" s="32">
        <v>31406693</v>
      </c>
      <c r="BA41" s="33">
        <f>SUM(C41:N41)</f>
        <v>9082740</v>
      </c>
      <c r="BB41" s="34">
        <f>+BA41/12</f>
        <v>756895</v>
      </c>
      <c r="BD41" s="35">
        <f>SUM(O41:Z41)</f>
        <v>6021430</v>
      </c>
      <c r="BE41" s="35">
        <f>+BD41-BA41</f>
        <v>-3061310</v>
      </c>
      <c r="BF41" s="36">
        <f>(BD41/BA41)-1</f>
        <v>-0.33704697040760823</v>
      </c>
      <c r="BG41" s="35">
        <f>BD41/12</f>
        <v>501785.83333333331</v>
      </c>
      <c r="BI41" s="37">
        <f>+SUM(AA41:AL41)</f>
        <v>8583470</v>
      </c>
      <c r="BJ41" s="37">
        <f>+BI41-BD41</f>
        <v>2562040</v>
      </c>
      <c r="BK41" s="38">
        <f>(BI41/BD41)-1</f>
        <v>0.42548696904223737</v>
      </c>
      <c r="BL41" s="37">
        <f>SUM(AA41:AH41)/8</f>
        <v>628866</v>
      </c>
      <c r="BM41" s="37">
        <f>SUM(AI41:AL41)/4</f>
        <v>888135.5</v>
      </c>
      <c r="BO41" s="39">
        <f>+SUM(AM41:AX41)</f>
        <v>16661602</v>
      </c>
      <c r="BP41" s="39">
        <f>+BO41-BI41</f>
        <v>8078132</v>
      </c>
      <c r="BQ41" s="40">
        <f>(BO41/BI41)-1</f>
        <v>0.94112660730450504</v>
      </c>
      <c r="BR41" s="39">
        <f>BO41/12</f>
        <v>1388466.8333333333</v>
      </c>
      <c r="BS41" s="32"/>
    </row>
    <row r="42" spans="1:72" ht="15.75" thickTop="1">
      <c r="A42" t="s">
        <v>333</v>
      </c>
      <c r="B42" t="s">
        <v>334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30"/>
      <c r="AJ42" s="30"/>
      <c r="AK42" s="30"/>
      <c r="AL42" s="30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BA42" s="21"/>
      <c r="BB42" s="22"/>
      <c r="BD42" s="7"/>
      <c r="BE42" s="7"/>
      <c r="BF42" s="8"/>
      <c r="BG42" s="7"/>
      <c r="BI42" s="12"/>
      <c r="BJ42" s="12"/>
      <c r="BK42" s="13"/>
      <c r="BL42" s="12"/>
      <c r="BM42" s="12"/>
      <c r="BO42" s="17"/>
      <c r="BP42" s="17"/>
      <c r="BQ42" s="18"/>
      <c r="BR42" s="17">
        <f>BO42/12</f>
        <v>0</v>
      </c>
    </row>
    <row r="44" spans="1:72">
      <c r="BI44" s="12"/>
    </row>
  </sheetData>
  <mergeCells count="4">
    <mergeCell ref="BA1:BB1"/>
    <mergeCell ref="BD1:BG1"/>
    <mergeCell ref="BI1:BM1"/>
    <mergeCell ref="BO1:BR1"/>
  </mergeCells>
  <pageMargins left="0.7" right="0.7" top="0.75" bottom="0.75" header="0.3" footer="0.3"/>
  <ignoredErrors>
    <ignoredError sqref="BA3:BR21 BA23:BR41 BA22:BQ2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BF09-A2C9-4BB6-99D6-19673DFC0332}">
  <dimension ref="A1:AA397"/>
  <sheetViews>
    <sheetView workbookViewId="0">
      <pane xSplit="2" ySplit="2" topLeftCell="C3" activePane="bottomRight" state="frozen"/>
      <selection pane="bottomRight" activeCell="C3" sqref="C3"/>
      <selection pane="bottomLeft" activeCell="A3" sqref="A3"/>
      <selection pane="topRight" activeCell="C1" sqref="C1"/>
    </sheetView>
  </sheetViews>
  <sheetFormatPr defaultRowHeight="15"/>
  <cols>
    <col min="1" max="1" width="17.7109375" bestFit="1" customWidth="1"/>
    <col min="2" max="2" width="10.5703125" bestFit="1" customWidth="1"/>
    <col min="3" max="5" width="6.7109375" bestFit="1" customWidth="1"/>
    <col min="6" max="21" width="8.7109375" bestFit="1" customWidth="1"/>
    <col min="22" max="22" width="7.28515625" bestFit="1" customWidth="1"/>
    <col min="23" max="27" width="9.28515625" bestFit="1" customWidth="1"/>
  </cols>
  <sheetData>
    <row r="1" spans="1:27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</row>
    <row r="2" spans="1:27">
      <c r="B2" t="s">
        <v>2</v>
      </c>
      <c r="C2" s="2">
        <v>45682</v>
      </c>
      <c r="D2" s="2">
        <v>45713</v>
      </c>
      <c r="E2" s="2">
        <v>45741</v>
      </c>
      <c r="F2" s="2">
        <v>45772</v>
      </c>
      <c r="G2" s="2">
        <v>45802</v>
      </c>
      <c r="H2" s="2">
        <v>45833</v>
      </c>
      <c r="I2" s="2">
        <v>45863</v>
      </c>
      <c r="J2" s="2">
        <v>45894</v>
      </c>
      <c r="K2" s="2">
        <v>45925</v>
      </c>
      <c r="L2" s="2">
        <v>45955</v>
      </c>
      <c r="M2" s="2">
        <v>45986</v>
      </c>
      <c r="N2" s="2">
        <v>46016</v>
      </c>
      <c r="O2" s="2">
        <v>45683</v>
      </c>
      <c r="P2" s="2">
        <v>45714</v>
      </c>
      <c r="Q2" s="2">
        <v>45742</v>
      </c>
      <c r="R2" s="2">
        <v>45773</v>
      </c>
      <c r="S2" s="2">
        <v>45803</v>
      </c>
      <c r="T2" s="2">
        <v>45834</v>
      </c>
      <c r="U2" s="2">
        <v>45864</v>
      </c>
      <c r="V2" s="2">
        <v>45895</v>
      </c>
      <c r="W2" s="2">
        <v>45926</v>
      </c>
      <c r="X2" s="2">
        <v>45956</v>
      </c>
      <c r="Y2" s="2">
        <v>45987</v>
      </c>
      <c r="Z2" s="2">
        <v>46017</v>
      </c>
      <c r="AA2" t="s">
        <v>925</v>
      </c>
    </row>
    <row r="3" spans="1:27">
      <c r="A3" t="s">
        <v>926</v>
      </c>
      <c r="B3">
        <v>700130</v>
      </c>
      <c r="C3" s="27">
        <v>4.4000000000000004</v>
      </c>
      <c r="D3" s="27">
        <v>4.4000000000000004</v>
      </c>
      <c r="E3" s="27">
        <v>4.4000000000000004</v>
      </c>
      <c r="F3" s="27">
        <v>4.4000000000000004</v>
      </c>
      <c r="G3" s="27">
        <v>4.4000000000000004</v>
      </c>
      <c r="H3" s="27">
        <v>4.4000000000000004</v>
      </c>
      <c r="I3" s="27">
        <v>4.4000000000000004</v>
      </c>
      <c r="J3" s="27">
        <v>4.4000000000000004</v>
      </c>
      <c r="K3" s="27">
        <v>8.6</v>
      </c>
      <c r="L3" s="27">
        <v>13</v>
      </c>
      <c r="M3" s="27">
        <v>4.13</v>
      </c>
      <c r="N3" s="27">
        <v>3.88</v>
      </c>
      <c r="O3" s="27">
        <v>3.88</v>
      </c>
      <c r="P3" s="27">
        <v>3.88</v>
      </c>
      <c r="Q3" s="27">
        <v>3.63</v>
      </c>
      <c r="R3" s="27">
        <v>3.63</v>
      </c>
      <c r="S3" s="27">
        <v>3.63</v>
      </c>
      <c r="T3" s="27">
        <v>3.38</v>
      </c>
      <c r="U3" s="27">
        <v>3.38</v>
      </c>
      <c r="V3" s="27">
        <v>3.38</v>
      </c>
      <c r="W3" s="27">
        <v>3.13</v>
      </c>
      <c r="X3" s="27">
        <v>3.13</v>
      </c>
      <c r="Y3" s="27">
        <v>3.13</v>
      </c>
      <c r="Z3" s="27">
        <v>2.88</v>
      </c>
      <c r="AA3" s="27">
        <v>4.41</v>
      </c>
    </row>
    <row r="4" spans="1:27">
      <c r="A4" t="s">
        <v>927</v>
      </c>
      <c r="B4">
        <v>700135</v>
      </c>
      <c r="C4" s="27">
        <v>3.2</v>
      </c>
      <c r="D4" s="27">
        <v>3.16</v>
      </c>
      <c r="E4" s="27">
        <v>3.07</v>
      </c>
      <c r="F4" s="27">
        <v>3.07</v>
      </c>
      <c r="G4" s="27">
        <v>3.07</v>
      </c>
      <c r="H4" s="27">
        <v>3.07</v>
      </c>
      <c r="I4" s="27">
        <v>3.07</v>
      </c>
      <c r="J4" s="27">
        <v>3.07</v>
      </c>
      <c r="K4" s="27">
        <v>2.04</v>
      </c>
      <c r="L4" s="27">
        <v>2.04</v>
      </c>
      <c r="M4" s="27">
        <v>2.04</v>
      </c>
      <c r="N4" s="27">
        <v>1.7</v>
      </c>
      <c r="O4" s="27">
        <v>1.7</v>
      </c>
      <c r="P4" s="27">
        <v>1.7</v>
      </c>
      <c r="Q4" s="27">
        <v>1.45</v>
      </c>
      <c r="R4" s="27">
        <v>1.45</v>
      </c>
      <c r="S4" s="27">
        <v>1.45</v>
      </c>
      <c r="T4" s="27">
        <v>1.45</v>
      </c>
      <c r="U4" s="27">
        <v>1.45</v>
      </c>
      <c r="V4" s="27">
        <v>1.45</v>
      </c>
      <c r="W4" s="27">
        <v>1.2</v>
      </c>
      <c r="X4" s="27">
        <v>1.2</v>
      </c>
      <c r="Y4" s="27">
        <v>1.2</v>
      </c>
      <c r="Z4" s="27">
        <v>1.2</v>
      </c>
      <c r="AA4" s="27">
        <v>2.06</v>
      </c>
    </row>
    <row r="5" spans="1:27">
      <c r="A5" t="s">
        <v>928</v>
      </c>
      <c r="B5">
        <v>700140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0.01</v>
      </c>
      <c r="L5" s="27">
        <v>0.01</v>
      </c>
      <c r="M5" s="27">
        <v>0.01</v>
      </c>
      <c r="N5" s="27">
        <v>0.01</v>
      </c>
      <c r="O5" s="27">
        <v>0.01</v>
      </c>
      <c r="P5" s="27">
        <v>0.01</v>
      </c>
      <c r="Q5" s="27">
        <v>0.01</v>
      </c>
      <c r="R5" s="27">
        <v>0.01</v>
      </c>
      <c r="S5" s="27">
        <v>0.01</v>
      </c>
      <c r="T5" s="27">
        <v>0.01</v>
      </c>
      <c r="U5" s="27">
        <v>0.01</v>
      </c>
      <c r="V5" s="27">
        <v>0.01</v>
      </c>
      <c r="W5" s="27">
        <v>0.01</v>
      </c>
      <c r="X5" s="27">
        <v>0.01</v>
      </c>
      <c r="Y5" s="27">
        <v>0.01</v>
      </c>
      <c r="Z5" s="27">
        <v>0.01</v>
      </c>
      <c r="AA5" s="27">
        <v>0.01</v>
      </c>
    </row>
    <row r="6" spans="1:27">
      <c r="A6" t="s">
        <v>17</v>
      </c>
      <c r="B6">
        <v>730055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0.01</v>
      </c>
      <c r="L6" s="27">
        <v>0.01</v>
      </c>
      <c r="M6" s="27">
        <v>0.01</v>
      </c>
      <c r="N6" s="27">
        <v>0.01</v>
      </c>
      <c r="O6" s="27">
        <v>0.01</v>
      </c>
      <c r="P6" s="27">
        <v>0.01</v>
      </c>
      <c r="Q6" s="27">
        <v>0.01</v>
      </c>
      <c r="R6" s="27">
        <v>0.01</v>
      </c>
      <c r="S6" s="27">
        <v>0.01</v>
      </c>
      <c r="T6" s="27">
        <v>0.01</v>
      </c>
      <c r="U6" s="27">
        <v>0.01</v>
      </c>
      <c r="V6" s="27">
        <v>0.01</v>
      </c>
      <c r="W6" s="27">
        <v>0.01</v>
      </c>
      <c r="X6" s="27">
        <v>0.01</v>
      </c>
      <c r="Y6" s="27">
        <v>0.01</v>
      </c>
      <c r="Z6" s="27">
        <v>0.01</v>
      </c>
      <c r="AA6" s="27">
        <v>0.01</v>
      </c>
    </row>
    <row r="7" spans="1:27">
      <c r="A7" t="s">
        <v>18</v>
      </c>
      <c r="B7">
        <v>730060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0.01</v>
      </c>
      <c r="L7" s="27">
        <v>0.01</v>
      </c>
      <c r="M7" s="27">
        <v>0.01</v>
      </c>
      <c r="N7" s="27">
        <v>0.01</v>
      </c>
      <c r="O7" s="27">
        <v>0.01</v>
      </c>
      <c r="P7" s="27">
        <v>0.01</v>
      </c>
      <c r="Q7" s="27">
        <v>0.01</v>
      </c>
      <c r="R7" s="27">
        <v>0.01</v>
      </c>
      <c r="S7" s="27">
        <v>0.01</v>
      </c>
      <c r="T7" s="27">
        <v>0.01</v>
      </c>
      <c r="U7" s="27">
        <v>0.01</v>
      </c>
      <c r="V7" s="27">
        <v>0.01</v>
      </c>
      <c r="W7" s="27">
        <v>0.01</v>
      </c>
      <c r="X7" s="27">
        <v>0.01</v>
      </c>
      <c r="Y7" s="27">
        <v>0.01</v>
      </c>
      <c r="Z7" s="27">
        <v>0.01</v>
      </c>
      <c r="AA7" s="27">
        <v>0.01</v>
      </c>
    </row>
    <row r="8" spans="1:27">
      <c r="A8" t="s">
        <v>929</v>
      </c>
      <c r="B8">
        <v>730040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0.01</v>
      </c>
      <c r="L8" s="27">
        <v>0.01</v>
      </c>
      <c r="M8" s="27">
        <v>0.01</v>
      </c>
      <c r="N8" s="27">
        <v>0.01</v>
      </c>
      <c r="O8" s="27">
        <v>0.01</v>
      </c>
      <c r="P8" s="27">
        <v>0.01</v>
      </c>
      <c r="Q8" s="27">
        <v>0.01</v>
      </c>
      <c r="R8" s="27">
        <v>0.01</v>
      </c>
      <c r="S8" s="27">
        <v>0.01</v>
      </c>
      <c r="T8" s="27">
        <v>0.01</v>
      </c>
      <c r="U8" s="27">
        <v>0.01</v>
      </c>
      <c r="V8" s="27">
        <v>0.01</v>
      </c>
      <c r="W8" s="27">
        <v>0.01</v>
      </c>
      <c r="X8" s="27">
        <v>0.01</v>
      </c>
      <c r="Y8" s="27">
        <v>0.01</v>
      </c>
      <c r="Z8" s="27">
        <v>0.01</v>
      </c>
      <c r="AA8" s="27">
        <v>0.01</v>
      </c>
    </row>
    <row r="9" spans="1:27">
      <c r="A9" t="s">
        <v>930</v>
      </c>
      <c r="B9">
        <v>730045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0.01</v>
      </c>
      <c r="L9" s="27">
        <v>0.01</v>
      </c>
      <c r="M9" s="27">
        <v>0.01</v>
      </c>
      <c r="N9" s="27">
        <v>0.01</v>
      </c>
      <c r="O9" s="27">
        <v>0.01</v>
      </c>
      <c r="P9" s="27">
        <v>0.01</v>
      </c>
      <c r="Q9" s="27">
        <v>0.01</v>
      </c>
      <c r="R9" s="27">
        <v>0.01</v>
      </c>
      <c r="S9" s="27">
        <v>0.01</v>
      </c>
      <c r="T9" s="27">
        <v>0.01</v>
      </c>
      <c r="U9" s="27">
        <v>0.01</v>
      </c>
      <c r="V9" s="27">
        <v>0.01</v>
      </c>
      <c r="W9" s="27">
        <v>0.01</v>
      </c>
      <c r="X9" s="27">
        <v>0.01</v>
      </c>
      <c r="Y9" s="27">
        <v>0.01</v>
      </c>
      <c r="Z9" s="27">
        <v>0.01</v>
      </c>
      <c r="AA9" s="27">
        <v>0.01</v>
      </c>
    </row>
    <row r="10" spans="1:27">
      <c r="A10" t="s">
        <v>931</v>
      </c>
      <c r="B10">
        <v>700501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0.01</v>
      </c>
      <c r="L10" s="27">
        <v>0.01</v>
      </c>
      <c r="M10" s="27">
        <v>0.01</v>
      </c>
      <c r="N10" s="27">
        <v>0.01</v>
      </c>
      <c r="O10" s="27">
        <v>0.01</v>
      </c>
      <c r="P10" s="27">
        <v>0.01</v>
      </c>
      <c r="Q10" s="27">
        <v>0.01</v>
      </c>
      <c r="R10" s="27">
        <v>0.01</v>
      </c>
      <c r="S10" s="27">
        <v>0.01</v>
      </c>
      <c r="T10" s="27">
        <v>0.01</v>
      </c>
      <c r="U10" s="27">
        <v>0.01</v>
      </c>
      <c r="V10" s="27">
        <v>0.01</v>
      </c>
      <c r="W10" s="27">
        <v>0.01</v>
      </c>
      <c r="X10" s="27">
        <v>0.01</v>
      </c>
      <c r="Y10" s="27">
        <v>0.01</v>
      </c>
      <c r="Z10" s="27">
        <v>0.01</v>
      </c>
      <c r="AA10" s="27">
        <v>0.01</v>
      </c>
    </row>
    <row r="11" spans="1:27">
      <c r="A11" t="s">
        <v>12</v>
      </c>
      <c r="B11" t="s">
        <v>12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pans="1:27">
      <c r="A12" t="s">
        <v>12</v>
      </c>
      <c r="B12" t="s">
        <v>12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pans="1:27">
      <c r="A13" t="s">
        <v>22</v>
      </c>
      <c r="C13" s="27">
        <v>4.25</v>
      </c>
      <c r="D13" s="27">
        <v>4.26</v>
      </c>
      <c r="E13" s="27">
        <v>4.2</v>
      </c>
      <c r="F13" s="27">
        <v>4.13</v>
      </c>
      <c r="G13" s="27">
        <v>4.1500000000000004</v>
      </c>
      <c r="H13" s="27">
        <v>4.1500000000000004</v>
      </c>
      <c r="I13" s="27">
        <v>3.96</v>
      </c>
      <c r="J13" s="27">
        <v>4.09</v>
      </c>
      <c r="K13" s="27">
        <v>7.76</v>
      </c>
      <c r="L13" s="27">
        <v>11.77</v>
      </c>
      <c r="M13" s="27">
        <v>3.93</v>
      </c>
      <c r="N13" s="27">
        <v>3.67</v>
      </c>
      <c r="O13" s="27">
        <v>3.65</v>
      </c>
      <c r="P13" s="27">
        <v>3.65</v>
      </c>
      <c r="Q13" s="27">
        <v>3.39</v>
      </c>
      <c r="R13" s="27">
        <v>3.37</v>
      </c>
      <c r="S13" s="27">
        <v>3.35</v>
      </c>
      <c r="T13" s="27">
        <v>3.12</v>
      </c>
      <c r="U13" s="27">
        <v>3.11</v>
      </c>
      <c r="V13" s="27">
        <v>3.1</v>
      </c>
      <c r="W13" s="27">
        <v>2.85</v>
      </c>
      <c r="X13" s="27">
        <v>2.86</v>
      </c>
      <c r="Y13" s="27">
        <v>2.88</v>
      </c>
      <c r="Z13" s="27">
        <v>2.68</v>
      </c>
      <c r="AA13" s="27">
        <v>4.0999999999999996</v>
      </c>
    </row>
    <row r="14" spans="1:27"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pans="1:27">
      <c r="A15" t="s">
        <v>932</v>
      </c>
      <c r="B15">
        <v>730005</v>
      </c>
      <c r="C15" s="27">
        <v>1.83</v>
      </c>
      <c r="D15" s="27">
        <v>1.83</v>
      </c>
      <c r="E15" s="27">
        <v>1.83</v>
      </c>
      <c r="F15" s="27">
        <v>1.83</v>
      </c>
      <c r="G15" s="27">
        <v>1.83</v>
      </c>
      <c r="H15" s="27">
        <v>1.83</v>
      </c>
      <c r="I15" s="27">
        <v>1.83</v>
      </c>
      <c r="J15" s="27">
        <v>1.83</v>
      </c>
      <c r="K15" s="27">
        <v>5.5</v>
      </c>
      <c r="L15" s="27">
        <v>1</v>
      </c>
      <c r="M15" s="27">
        <v>1.86</v>
      </c>
      <c r="N15" s="27">
        <v>1.86</v>
      </c>
      <c r="O15" s="27">
        <v>1.86</v>
      </c>
      <c r="P15" s="27">
        <v>1.86</v>
      </c>
      <c r="Q15" s="27">
        <v>1.86</v>
      </c>
      <c r="R15" s="27">
        <v>1.86</v>
      </c>
      <c r="S15" s="27">
        <v>1.86</v>
      </c>
      <c r="T15" s="27">
        <v>1.86</v>
      </c>
      <c r="U15" s="27">
        <v>1.86</v>
      </c>
      <c r="V15" s="27">
        <v>1.86</v>
      </c>
      <c r="W15" s="27">
        <v>1.86</v>
      </c>
      <c r="X15" s="27">
        <v>1.86</v>
      </c>
      <c r="Y15" s="27">
        <v>1.86</v>
      </c>
      <c r="Z15" s="27">
        <v>1.86</v>
      </c>
      <c r="AA15" s="27">
        <v>1.97</v>
      </c>
    </row>
    <row r="16" spans="1:27">
      <c r="A16" t="s">
        <v>12</v>
      </c>
      <c r="B16" t="s">
        <v>12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1:27">
      <c r="A17" t="s">
        <v>933</v>
      </c>
      <c r="C17" s="27">
        <v>1.83</v>
      </c>
      <c r="D17" s="27">
        <v>1.83</v>
      </c>
      <c r="E17" s="27">
        <v>1.83</v>
      </c>
      <c r="F17" s="27">
        <v>1.83</v>
      </c>
      <c r="G17" s="27">
        <v>1.83</v>
      </c>
      <c r="H17" s="27">
        <v>1.83</v>
      </c>
      <c r="I17" s="27">
        <v>1.83</v>
      </c>
      <c r="J17" s="27">
        <v>1.83</v>
      </c>
      <c r="K17" s="27">
        <v>5.5</v>
      </c>
      <c r="L17" s="27">
        <v>1</v>
      </c>
      <c r="M17" s="27">
        <v>1.86</v>
      </c>
      <c r="N17" s="27">
        <v>1.86</v>
      </c>
      <c r="O17" s="27">
        <v>1.86</v>
      </c>
      <c r="P17" s="27">
        <v>1.86</v>
      </c>
      <c r="Q17" s="27">
        <v>1.86</v>
      </c>
      <c r="R17" s="27">
        <v>1.86</v>
      </c>
      <c r="S17" s="27">
        <v>1.86</v>
      </c>
      <c r="T17" s="27">
        <v>1.86</v>
      </c>
      <c r="U17" s="27">
        <v>1.86</v>
      </c>
      <c r="V17" s="27">
        <v>1.86</v>
      </c>
      <c r="W17" s="27">
        <v>1.86</v>
      </c>
      <c r="X17" s="27">
        <v>1.86</v>
      </c>
      <c r="Y17" s="27">
        <v>1.86</v>
      </c>
      <c r="Z17" s="27">
        <v>1.86</v>
      </c>
      <c r="AA17" s="27">
        <v>1.97</v>
      </c>
    </row>
    <row r="18" spans="1:27"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1:27">
      <c r="A19" t="s">
        <v>37</v>
      </c>
      <c r="B19">
        <v>730029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4.1500000000000004</v>
      </c>
      <c r="L19" s="27">
        <v>4.08</v>
      </c>
      <c r="M19" s="27">
        <v>4.01</v>
      </c>
      <c r="N19" s="27">
        <v>3.94</v>
      </c>
      <c r="O19" s="27">
        <v>3.86</v>
      </c>
      <c r="P19" s="27">
        <v>3.79</v>
      </c>
      <c r="Q19" s="27">
        <v>3.72</v>
      </c>
      <c r="R19" s="27">
        <v>3.65</v>
      </c>
      <c r="S19" s="27">
        <v>3.58</v>
      </c>
      <c r="T19" s="27">
        <v>3.51</v>
      </c>
      <c r="U19" s="27">
        <v>3.44</v>
      </c>
      <c r="V19" s="27">
        <v>3.37</v>
      </c>
      <c r="W19" s="27">
        <v>3.29</v>
      </c>
      <c r="X19" s="27">
        <v>3.22</v>
      </c>
      <c r="Y19" s="27">
        <v>3.15</v>
      </c>
      <c r="Z19" s="27">
        <v>3.08</v>
      </c>
      <c r="AA19" s="27">
        <v>2.41</v>
      </c>
    </row>
    <row r="20" spans="1:27">
      <c r="A20" t="s">
        <v>934</v>
      </c>
      <c r="B20">
        <v>730026</v>
      </c>
      <c r="C20" s="27">
        <v>3.09</v>
      </c>
      <c r="D20" s="27">
        <v>3.09</v>
      </c>
      <c r="E20" s="27">
        <v>3.09</v>
      </c>
      <c r="F20" s="27">
        <v>3.09</v>
      </c>
      <c r="G20" s="27">
        <v>3.09</v>
      </c>
      <c r="H20" s="27">
        <v>3.09</v>
      </c>
      <c r="I20" s="27">
        <v>3.09</v>
      </c>
      <c r="J20" s="27">
        <v>3.09</v>
      </c>
      <c r="K20" s="27">
        <v>3.09</v>
      </c>
      <c r="L20" s="27">
        <v>3.09</v>
      </c>
      <c r="M20" s="27">
        <v>3.09</v>
      </c>
      <c r="N20" s="27">
        <v>3.09</v>
      </c>
      <c r="O20" s="27">
        <v>3.09</v>
      </c>
      <c r="P20" s="27">
        <v>3.09</v>
      </c>
      <c r="Q20" s="27">
        <v>3.09</v>
      </c>
      <c r="R20" s="27">
        <v>3.09</v>
      </c>
      <c r="S20" s="27">
        <v>3.09</v>
      </c>
      <c r="T20" s="27">
        <v>3.09</v>
      </c>
      <c r="U20" s="27">
        <v>3.09</v>
      </c>
      <c r="V20" s="27">
        <v>3.09</v>
      </c>
      <c r="W20" s="27">
        <v>3.09</v>
      </c>
      <c r="X20" s="27">
        <v>3.09</v>
      </c>
      <c r="Y20" s="27">
        <v>3.09</v>
      </c>
      <c r="Z20" s="27">
        <v>3.09</v>
      </c>
      <c r="AA20" s="27">
        <v>3.09</v>
      </c>
    </row>
    <row r="21" spans="1:27">
      <c r="A21" t="s">
        <v>935</v>
      </c>
      <c r="C21" s="27">
        <v>0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3.64</v>
      </c>
      <c r="L21" s="27">
        <v>3.18</v>
      </c>
      <c r="M21" s="27">
        <v>3.2</v>
      </c>
      <c r="N21" s="27">
        <v>3.23</v>
      </c>
      <c r="O21" s="27">
        <v>3.27</v>
      </c>
      <c r="P21" s="27">
        <v>3.28</v>
      </c>
      <c r="Q21" s="27">
        <v>3.29</v>
      </c>
      <c r="R21" s="27">
        <v>3.3</v>
      </c>
      <c r="S21" s="27">
        <v>3.3</v>
      </c>
      <c r="T21" s="27">
        <v>3.31</v>
      </c>
      <c r="U21" s="27">
        <v>3.33</v>
      </c>
      <c r="V21" s="27">
        <v>3.34</v>
      </c>
      <c r="W21" s="27">
        <v>3.36</v>
      </c>
      <c r="X21" s="27">
        <v>3.37</v>
      </c>
      <c r="Y21" s="27">
        <v>3.39</v>
      </c>
      <c r="Z21" s="27">
        <v>3.4</v>
      </c>
      <c r="AA21" s="27">
        <v>2.2200000000000002</v>
      </c>
    </row>
    <row r="22" spans="1:27">
      <c r="A22" t="s">
        <v>936</v>
      </c>
      <c r="B22">
        <v>730030</v>
      </c>
      <c r="C22" s="27">
        <v>0.87</v>
      </c>
      <c r="D22" s="27">
        <v>0.87</v>
      </c>
      <c r="E22" s="27">
        <v>0.87</v>
      </c>
      <c r="F22" s="27">
        <v>0.87</v>
      </c>
      <c r="G22" s="27">
        <v>0.87</v>
      </c>
      <c r="H22" s="27">
        <v>0.87</v>
      </c>
      <c r="I22" s="27">
        <v>0.87</v>
      </c>
      <c r="J22" s="27">
        <v>0.87</v>
      </c>
      <c r="K22" s="27">
        <v>0.87</v>
      </c>
      <c r="L22" s="27">
        <v>0.87</v>
      </c>
      <c r="M22" s="27">
        <v>0.87</v>
      </c>
      <c r="N22" s="27">
        <v>0.87</v>
      </c>
      <c r="O22" s="27">
        <v>0.87</v>
      </c>
      <c r="P22" s="27">
        <v>0.87</v>
      </c>
      <c r="Q22" s="27">
        <v>0.87</v>
      </c>
      <c r="R22" s="27">
        <v>0.87</v>
      </c>
      <c r="S22" s="27">
        <v>0.87</v>
      </c>
      <c r="T22" s="27">
        <v>0.87</v>
      </c>
      <c r="U22" s="27">
        <v>0.87</v>
      </c>
      <c r="V22" s="27">
        <v>0.87</v>
      </c>
      <c r="W22" s="27">
        <v>0.87</v>
      </c>
      <c r="X22" s="27">
        <v>0.87</v>
      </c>
      <c r="Y22" s="27">
        <v>0.87</v>
      </c>
      <c r="Z22" s="27">
        <v>0.87</v>
      </c>
      <c r="AA22" s="27">
        <v>0.87</v>
      </c>
    </row>
    <row r="23" spans="1:27">
      <c r="A23" t="s">
        <v>937</v>
      </c>
      <c r="B23">
        <v>730037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10</v>
      </c>
      <c r="L23" s="27">
        <v>0</v>
      </c>
      <c r="M23" s="27">
        <v>10</v>
      </c>
      <c r="N23" s="27">
        <v>0</v>
      </c>
      <c r="O23" s="27">
        <v>10</v>
      </c>
      <c r="P23" s="27">
        <v>0</v>
      </c>
      <c r="Q23" s="27">
        <v>10</v>
      </c>
      <c r="R23" s="27">
        <v>0</v>
      </c>
      <c r="S23" s="27">
        <v>10</v>
      </c>
      <c r="T23" s="27">
        <v>0</v>
      </c>
      <c r="U23" s="27">
        <v>10</v>
      </c>
      <c r="V23" s="27">
        <v>0</v>
      </c>
      <c r="W23" s="27">
        <v>10</v>
      </c>
      <c r="X23" s="27">
        <v>0</v>
      </c>
      <c r="Y23" s="27">
        <v>10</v>
      </c>
      <c r="Z23" s="27">
        <v>0</v>
      </c>
      <c r="AA23" s="27">
        <v>3.33</v>
      </c>
    </row>
    <row r="24" spans="1:27">
      <c r="A24" t="s">
        <v>12</v>
      </c>
      <c r="B24" t="s">
        <v>12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27">
      <c r="A25" t="s">
        <v>938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2.7</v>
      </c>
      <c r="L25" s="27">
        <v>0.85</v>
      </c>
      <c r="M25" s="27">
        <v>2.96</v>
      </c>
      <c r="N25" s="27">
        <v>0.87</v>
      </c>
      <c r="O25" s="27">
        <v>2.86</v>
      </c>
      <c r="P25" s="27">
        <v>0.81</v>
      </c>
      <c r="Q25" s="27">
        <v>2.75</v>
      </c>
      <c r="R25" s="27">
        <v>0.75</v>
      </c>
      <c r="S25" s="27">
        <v>2.6</v>
      </c>
      <c r="T25" s="27">
        <v>0.69</v>
      </c>
      <c r="U25" s="27">
        <v>2.4900000000000002</v>
      </c>
      <c r="V25" s="27">
        <v>0.65</v>
      </c>
      <c r="W25" s="27">
        <v>2.46</v>
      </c>
      <c r="X25" s="27">
        <v>0.63</v>
      </c>
      <c r="Y25" s="27">
        <v>2.4900000000000002</v>
      </c>
      <c r="Z25" s="27">
        <v>0.62</v>
      </c>
      <c r="AA25" s="27">
        <v>1.1299999999999999</v>
      </c>
    </row>
    <row r="26" spans="1:27"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27">
      <c r="A27" t="s">
        <v>12</v>
      </c>
      <c r="B27" t="s">
        <v>12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27">
      <c r="A28" t="s">
        <v>57</v>
      </c>
      <c r="C28" s="27">
        <v>1.3</v>
      </c>
      <c r="D28" s="27">
        <v>1.34</v>
      </c>
      <c r="E28" s="27">
        <v>1.2</v>
      </c>
      <c r="F28" s="27">
        <v>1.0900000000000001</v>
      </c>
      <c r="G28" s="27">
        <v>1.21</v>
      </c>
      <c r="H28" s="27">
        <v>1.23</v>
      </c>
      <c r="I28" s="27">
        <v>1.1499999999999999</v>
      </c>
      <c r="J28" s="27">
        <v>1.42</v>
      </c>
      <c r="K28" s="27">
        <v>3.32</v>
      </c>
      <c r="L28" s="27">
        <v>3.51</v>
      </c>
      <c r="M28" s="27">
        <v>1.61</v>
      </c>
      <c r="N28" s="27">
        <v>1.42</v>
      </c>
      <c r="O28" s="27">
        <v>1.53</v>
      </c>
      <c r="P28" s="27">
        <v>1.4</v>
      </c>
      <c r="Q28" s="27">
        <v>1.44</v>
      </c>
      <c r="R28" s="27">
        <v>1.31</v>
      </c>
      <c r="S28" s="27">
        <v>1.41</v>
      </c>
      <c r="T28" s="27">
        <v>1.21</v>
      </c>
      <c r="U28" s="27">
        <v>1.32</v>
      </c>
      <c r="V28" s="27">
        <v>1.18</v>
      </c>
      <c r="W28" s="27">
        <v>1.24</v>
      </c>
      <c r="X28" s="27">
        <v>1.1299999999999999</v>
      </c>
      <c r="Y28" s="27">
        <v>1.28</v>
      </c>
      <c r="Z28" s="27">
        <v>1.1100000000000001</v>
      </c>
      <c r="AA28" s="27">
        <v>1.47</v>
      </c>
    </row>
    <row r="29" spans="1:27"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1:27">
      <c r="A30" t="s">
        <v>939</v>
      </c>
      <c r="B30">
        <v>710005</v>
      </c>
      <c r="C30" s="27">
        <v>9.5399999999999991</v>
      </c>
      <c r="D30" s="27">
        <v>9.5399999999999991</v>
      </c>
      <c r="E30" s="27">
        <v>9.5399999999999991</v>
      </c>
      <c r="F30" s="27">
        <v>9.5399999999999991</v>
      </c>
      <c r="G30" s="27">
        <v>9.5399999999999991</v>
      </c>
      <c r="H30" s="27">
        <v>9.5399999999999991</v>
      </c>
      <c r="I30" s="27">
        <v>9.5399999999999991</v>
      </c>
      <c r="J30" s="27">
        <v>9.5399999999999991</v>
      </c>
      <c r="K30" s="27">
        <v>8.31</v>
      </c>
      <c r="L30" s="27">
        <v>7.81</v>
      </c>
      <c r="M30" s="27">
        <v>7.84</v>
      </c>
      <c r="N30" s="27">
        <v>7.86</v>
      </c>
      <c r="O30" s="27">
        <v>6.5</v>
      </c>
      <c r="P30" s="27">
        <v>6.5</v>
      </c>
      <c r="Q30" s="27">
        <v>6.5</v>
      </c>
      <c r="R30" s="27">
        <v>6.5</v>
      </c>
      <c r="S30" s="27">
        <v>6.5</v>
      </c>
      <c r="T30" s="27">
        <v>6.5</v>
      </c>
      <c r="U30" s="27">
        <v>6.5</v>
      </c>
      <c r="V30" s="27">
        <v>6.5</v>
      </c>
      <c r="W30" s="27">
        <v>6.5</v>
      </c>
      <c r="X30" s="27">
        <v>6.5</v>
      </c>
      <c r="Y30" s="27">
        <v>6.5</v>
      </c>
      <c r="Z30" s="27">
        <v>6.5</v>
      </c>
      <c r="AA30" s="27">
        <v>7.76</v>
      </c>
    </row>
    <row r="31" spans="1:27">
      <c r="A31" t="s">
        <v>940</v>
      </c>
      <c r="B31">
        <v>710015</v>
      </c>
      <c r="C31" s="27">
        <v>9.5399999999999991</v>
      </c>
      <c r="D31" s="27">
        <v>9.5399999999999991</v>
      </c>
      <c r="E31" s="27">
        <v>9.5399999999999991</v>
      </c>
      <c r="F31" s="27">
        <v>9.5399999999999991</v>
      </c>
      <c r="G31" s="27">
        <v>9.5399999999999991</v>
      </c>
      <c r="H31" s="27">
        <v>9.5399999999999991</v>
      </c>
      <c r="I31" s="27">
        <v>9.5399999999999991</v>
      </c>
      <c r="J31" s="27">
        <v>9.5399999999999991</v>
      </c>
      <c r="K31" s="27">
        <v>8.6199999999999992</v>
      </c>
      <c r="L31" s="27">
        <v>8.11</v>
      </c>
      <c r="M31" s="27">
        <v>8.14</v>
      </c>
      <c r="N31" s="27">
        <v>8.17</v>
      </c>
      <c r="O31" s="27">
        <v>7.75</v>
      </c>
      <c r="P31" s="27">
        <v>7.75</v>
      </c>
      <c r="Q31" s="27">
        <v>7.75</v>
      </c>
      <c r="R31" s="27">
        <v>7.75</v>
      </c>
      <c r="S31" s="27">
        <v>7.75</v>
      </c>
      <c r="T31" s="27">
        <v>7.75</v>
      </c>
      <c r="U31" s="27">
        <v>7.75</v>
      </c>
      <c r="V31" s="27">
        <v>7.75</v>
      </c>
      <c r="W31" s="27">
        <v>7.75</v>
      </c>
      <c r="X31" s="27">
        <v>7.75</v>
      </c>
      <c r="Y31" s="27">
        <v>7.75</v>
      </c>
      <c r="Z31" s="27">
        <v>7.75</v>
      </c>
      <c r="AA31" s="27">
        <v>8.43</v>
      </c>
    </row>
    <row r="32" spans="1:27">
      <c r="A32" t="s">
        <v>941</v>
      </c>
      <c r="B32">
        <v>710025</v>
      </c>
      <c r="C32" s="27">
        <v>9.7899999999999991</v>
      </c>
      <c r="D32" s="27">
        <v>9.7899999999999991</v>
      </c>
      <c r="E32" s="27">
        <v>9.7899999999999991</v>
      </c>
      <c r="F32" s="27">
        <v>9.7899999999999991</v>
      </c>
      <c r="G32" s="27">
        <v>9.7899999999999991</v>
      </c>
      <c r="H32" s="27">
        <v>9.7899999999999991</v>
      </c>
      <c r="I32" s="27">
        <v>9.7899999999999991</v>
      </c>
      <c r="J32" s="27">
        <v>9.7899999999999991</v>
      </c>
      <c r="K32" s="27">
        <v>8.91</v>
      </c>
      <c r="L32" s="27">
        <v>8.59</v>
      </c>
      <c r="M32" s="27">
        <v>8.61</v>
      </c>
      <c r="N32" s="27">
        <v>8.6300000000000008</v>
      </c>
      <c r="O32" s="27">
        <v>8.67</v>
      </c>
      <c r="P32" s="27">
        <v>8.68</v>
      </c>
      <c r="Q32" s="27">
        <v>8.69</v>
      </c>
      <c r="R32" s="27">
        <v>8.69</v>
      </c>
      <c r="S32" s="27">
        <v>8.6999999999999993</v>
      </c>
      <c r="T32" s="27">
        <v>8.7100000000000009</v>
      </c>
      <c r="U32" s="27">
        <v>8.7200000000000006</v>
      </c>
      <c r="V32" s="27">
        <v>8.74</v>
      </c>
      <c r="W32" s="27">
        <v>8.75</v>
      </c>
      <c r="X32" s="27">
        <v>8.76</v>
      </c>
      <c r="Y32" s="27">
        <v>8.7799999999999994</v>
      </c>
      <c r="Z32" s="27">
        <v>8.7899999999999991</v>
      </c>
      <c r="AA32" s="27">
        <v>9.07</v>
      </c>
    </row>
    <row r="33" spans="1:27">
      <c r="A33" t="s">
        <v>942</v>
      </c>
      <c r="B33">
        <v>710035</v>
      </c>
      <c r="C33" s="27">
        <v>9.7899999999999991</v>
      </c>
      <c r="D33" s="27">
        <v>9.7899999999999991</v>
      </c>
      <c r="E33" s="27">
        <v>9.7899999999999991</v>
      </c>
      <c r="F33" s="27">
        <v>9.7899999999999991</v>
      </c>
      <c r="G33" s="27">
        <v>9.7899999999999991</v>
      </c>
      <c r="H33" s="27">
        <v>9.7899999999999991</v>
      </c>
      <c r="I33" s="27">
        <v>9.7899999999999991</v>
      </c>
      <c r="J33" s="27">
        <v>9.7899999999999991</v>
      </c>
      <c r="K33" s="27">
        <v>8.86</v>
      </c>
      <c r="L33" s="27">
        <v>8.5399999999999991</v>
      </c>
      <c r="M33" s="27">
        <v>8.56</v>
      </c>
      <c r="N33" s="27">
        <v>8.58</v>
      </c>
      <c r="O33" s="27">
        <v>8.6199999999999992</v>
      </c>
      <c r="P33" s="27">
        <v>8.6300000000000008</v>
      </c>
      <c r="Q33" s="27">
        <v>8.64</v>
      </c>
      <c r="R33" s="27">
        <v>8.65</v>
      </c>
      <c r="S33" s="27">
        <v>8.66</v>
      </c>
      <c r="T33" s="27">
        <v>8.66</v>
      </c>
      <c r="U33" s="27">
        <v>8.68</v>
      </c>
      <c r="V33" s="27">
        <v>8.69</v>
      </c>
      <c r="W33" s="27">
        <v>8.7100000000000009</v>
      </c>
      <c r="X33" s="27">
        <v>8.7200000000000006</v>
      </c>
      <c r="Y33" s="27">
        <v>8.73</v>
      </c>
      <c r="Z33" s="27">
        <v>8.75</v>
      </c>
      <c r="AA33" s="27">
        <v>9.0399999999999991</v>
      </c>
    </row>
    <row r="34" spans="1:27">
      <c r="A34" t="s">
        <v>12</v>
      </c>
      <c r="B34" t="s">
        <v>12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1:27">
      <c r="A35" t="s">
        <v>66</v>
      </c>
      <c r="C35" s="27">
        <v>9.42</v>
      </c>
      <c r="D35" s="27">
        <v>9.42</v>
      </c>
      <c r="E35" s="27">
        <v>9.42</v>
      </c>
      <c r="F35" s="27">
        <v>9.42</v>
      </c>
      <c r="G35" s="27">
        <v>9.42</v>
      </c>
      <c r="H35" s="27">
        <v>9.42</v>
      </c>
      <c r="I35" s="27">
        <v>9.42</v>
      </c>
      <c r="J35" s="27">
        <v>9.42</v>
      </c>
      <c r="K35" s="27">
        <v>8.43</v>
      </c>
      <c r="L35" s="27">
        <v>7.95</v>
      </c>
      <c r="M35" s="27">
        <v>7.98</v>
      </c>
      <c r="N35" s="27">
        <v>8.01</v>
      </c>
      <c r="O35" s="27">
        <v>7.42</v>
      </c>
      <c r="P35" s="27">
        <v>7.42</v>
      </c>
      <c r="Q35" s="27">
        <v>7.43</v>
      </c>
      <c r="R35" s="27">
        <v>7.43</v>
      </c>
      <c r="S35" s="27">
        <v>7.43</v>
      </c>
      <c r="T35" s="27">
        <v>7.42</v>
      </c>
      <c r="U35" s="27">
        <v>7.42</v>
      </c>
      <c r="V35" s="27">
        <v>7.42</v>
      </c>
      <c r="W35" s="27">
        <v>7.42</v>
      </c>
      <c r="X35" s="27">
        <v>7.42</v>
      </c>
      <c r="Y35" s="27">
        <v>7.42</v>
      </c>
      <c r="Z35" s="27">
        <v>7.42</v>
      </c>
      <c r="AA35" s="27">
        <v>8.1999999999999993</v>
      </c>
    </row>
    <row r="36" spans="1:27"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1:27">
      <c r="A37" t="s">
        <v>943</v>
      </c>
      <c r="B37">
        <v>710105</v>
      </c>
      <c r="C37" s="27">
        <v>4.12</v>
      </c>
      <c r="D37" s="27">
        <v>4.12</v>
      </c>
      <c r="E37" s="27">
        <v>4.12</v>
      </c>
      <c r="F37" s="27">
        <v>4.12</v>
      </c>
      <c r="G37" s="27">
        <v>4.12</v>
      </c>
      <c r="H37" s="27">
        <v>4.12</v>
      </c>
      <c r="I37" s="27">
        <v>4.12</v>
      </c>
      <c r="J37" s="27">
        <v>4.12</v>
      </c>
      <c r="K37" s="27">
        <v>4.12</v>
      </c>
      <c r="L37" s="27">
        <v>4.12</v>
      </c>
      <c r="M37" s="27">
        <v>4.12</v>
      </c>
      <c r="N37" s="27">
        <v>4.12</v>
      </c>
      <c r="O37" s="27">
        <v>4.12</v>
      </c>
      <c r="P37" s="27">
        <v>4.12</v>
      </c>
      <c r="Q37" s="27">
        <v>4.12</v>
      </c>
      <c r="R37" s="27">
        <v>4.12</v>
      </c>
      <c r="S37" s="27">
        <v>4.12</v>
      </c>
      <c r="T37" s="27">
        <v>4.12</v>
      </c>
      <c r="U37" s="27">
        <v>4.12</v>
      </c>
      <c r="V37" s="27">
        <v>4.12</v>
      </c>
      <c r="W37" s="27">
        <v>4.12</v>
      </c>
      <c r="X37" s="27">
        <v>4.12</v>
      </c>
      <c r="Y37" s="27">
        <v>4.12</v>
      </c>
      <c r="Z37" s="27">
        <v>4.12</v>
      </c>
      <c r="AA37" s="27">
        <v>4.12</v>
      </c>
    </row>
    <row r="38" spans="1:27">
      <c r="A38" t="s">
        <v>944</v>
      </c>
      <c r="B38">
        <v>710110</v>
      </c>
      <c r="C38" s="27">
        <v>5.12</v>
      </c>
      <c r="D38" s="27">
        <v>5.12</v>
      </c>
      <c r="E38" s="27">
        <v>5.12</v>
      </c>
      <c r="F38" s="27">
        <v>5.12</v>
      </c>
      <c r="G38" s="27">
        <v>5.12</v>
      </c>
      <c r="H38" s="27">
        <v>5.12</v>
      </c>
      <c r="I38" s="27">
        <v>5.12</v>
      </c>
      <c r="J38" s="27">
        <v>5.12</v>
      </c>
      <c r="K38" s="27">
        <v>5</v>
      </c>
      <c r="L38" s="27">
        <v>5</v>
      </c>
      <c r="M38" s="27">
        <v>5</v>
      </c>
      <c r="N38" s="27">
        <v>5</v>
      </c>
      <c r="O38" s="27">
        <v>5</v>
      </c>
      <c r="P38" s="27">
        <v>5</v>
      </c>
      <c r="Q38" s="27">
        <v>5</v>
      </c>
      <c r="R38" s="27">
        <v>5</v>
      </c>
      <c r="S38" s="27">
        <v>5</v>
      </c>
      <c r="T38" s="27">
        <v>5</v>
      </c>
      <c r="U38" s="27">
        <v>5</v>
      </c>
      <c r="V38" s="27">
        <v>5</v>
      </c>
      <c r="W38" s="27">
        <v>5</v>
      </c>
      <c r="X38" s="27">
        <v>5</v>
      </c>
      <c r="Y38" s="27">
        <v>5</v>
      </c>
      <c r="Z38" s="27">
        <v>5</v>
      </c>
      <c r="AA38" s="27">
        <v>5.04</v>
      </c>
    </row>
    <row r="39" spans="1:27">
      <c r="A39" t="s">
        <v>80</v>
      </c>
      <c r="B39">
        <v>710205</v>
      </c>
      <c r="C39" s="27">
        <v>9.5399999999999991</v>
      </c>
      <c r="D39" s="27">
        <v>9.5399999999999991</v>
      </c>
      <c r="E39" s="27">
        <v>9.5399999999999991</v>
      </c>
      <c r="F39" s="27">
        <v>9.5399999999999991</v>
      </c>
      <c r="G39" s="27">
        <v>9.5399999999999991</v>
      </c>
      <c r="H39" s="27">
        <v>9.5399999999999991</v>
      </c>
      <c r="I39" s="27">
        <v>9.5399999999999991</v>
      </c>
      <c r="J39" s="27">
        <v>9.5399999999999991</v>
      </c>
      <c r="K39" s="27">
        <v>7.55</v>
      </c>
      <c r="L39" s="27">
        <v>7.05</v>
      </c>
      <c r="M39" s="27">
        <v>7.08</v>
      </c>
      <c r="N39" s="27">
        <v>7.1</v>
      </c>
      <c r="O39" s="27">
        <v>7.16</v>
      </c>
      <c r="P39" s="27">
        <v>7.1</v>
      </c>
      <c r="Q39" s="27">
        <v>7.04</v>
      </c>
      <c r="R39" s="27">
        <v>6.98</v>
      </c>
      <c r="S39" s="27">
        <v>6.92</v>
      </c>
      <c r="T39" s="27">
        <v>6.86</v>
      </c>
      <c r="U39" s="27">
        <v>6.8</v>
      </c>
      <c r="V39" s="27">
        <v>6.74</v>
      </c>
      <c r="W39" s="27">
        <v>6.68</v>
      </c>
      <c r="X39" s="27">
        <v>6.62</v>
      </c>
      <c r="Y39" s="27">
        <v>6.56</v>
      </c>
      <c r="Z39" s="27">
        <v>6.5</v>
      </c>
      <c r="AA39" s="27">
        <v>7.79</v>
      </c>
    </row>
    <row r="40" spans="1:27">
      <c r="A40" t="s">
        <v>81</v>
      </c>
      <c r="B40">
        <v>710210</v>
      </c>
      <c r="C40" s="27">
        <v>9.5399999999999991</v>
      </c>
      <c r="D40" s="27">
        <v>9.5399999999999991</v>
      </c>
      <c r="E40" s="27">
        <v>9.5399999999999991</v>
      </c>
      <c r="F40" s="27">
        <v>9.5399999999999991</v>
      </c>
      <c r="G40" s="27">
        <v>9.5399999999999991</v>
      </c>
      <c r="H40" s="27">
        <v>9.5399999999999991</v>
      </c>
      <c r="I40" s="27">
        <v>9.5399999999999991</v>
      </c>
      <c r="J40" s="27">
        <v>9.5399999999999991</v>
      </c>
      <c r="K40" s="27">
        <v>7.75</v>
      </c>
      <c r="L40" s="27">
        <v>7.25</v>
      </c>
      <c r="M40" s="27">
        <v>7.27</v>
      </c>
      <c r="N40" s="27">
        <v>7.3</v>
      </c>
      <c r="O40" s="27">
        <v>7.35</v>
      </c>
      <c r="P40" s="27">
        <v>7.36</v>
      </c>
      <c r="Q40" s="27">
        <v>7.37</v>
      </c>
      <c r="R40" s="27">
        <v>7.38</v>
      </c>
      <c r="S40" s="27">
        <v>7.4</v>
      </c>
      <c r="T40" s="27">
        <v>7.41</v>
      </c>
      <c r="U40" s="27">
        <v>7.42</v>
      </c>
      <c r="V40" s="27">
        <v>7.44</v>
      </c>
      <c r="W40" s="27">
        <v>7.46</v>
      </c>
      <c r="X40" s="27">
        <v>7.48</v>
      </c>
      <c r="Y40" s="27">
        <v>7.49</v>
      </c>
      <c r="Z40" s="27">
        <v>7.51</v>
      </c>
      <c r="AA40" s="27">
        <v>8.1199999999999992</v>
      </c>
    </row>
    <row r="41" spans="1:27">
      <c r="A41" t="s">
        <v>82</v>
      </c>
      <c r="B41">
        <v>710215</v>
      </c>
      <c r="C41" s="27">
        <v>8</v>
      </c>
      <c r="D41" s="27">
        <v>8</v>
      </c>
      <c r="E41" s="27">
        <v>8</v>
      </c>
      <c r="F41" s="27">
        <v>8</v>
      </c>
      <c r="G41" s="27">
        <v>8</v>
      </c>
      <c r="H41" s="27">
        <v>8</v>
      </c>
      <c r="I41" s="27">
        <v>8</v>
      </c>
      <c r="J41" s="27">
        <v>8</v>
      </c>
      <c r="K41" s="27">
        <v>7.96</v>
      </c>
      <c r="L41" s="27">
        <v>7.46</v>
      </c>
      <c r="M41" s="27">
        <v>7.49</v>
      </c>
      <c r="N41" s="27">
        <v>7.51</v>
      </c>
      <c r="O41" s="27">
        <v>7.57</v>
      </c>
      <c r="P41" s="27">
        <v>7.58</v>
      </c>
      <c r="Q41" s="27">
        <v>7.59</v>
      </c>
      <c r="R41" s="27">
        <v>7.6</v>
      </c>
      <c r="S41" s="27">
        <v>7.61</v>
      </c>
      <c r="T41" s="27">
        <v>7.62</v>
      </c>
      <c r="U41" s="27">
        <v>7.64</v>
      </c>
      <c r="V41" s="27">
        <v>7.66</v>
      </c>
      <c r="W41" s="27">
        <v>7.67</v>
      </c>
      <c r="X41" s="27">
        <v>7.69</v>
      </c>
      <c r="Y41" s="27">
        <v>7.71</v>
      </c>
      <c r="Z41" s="27">
        <v>7.73</v>
      </c>
      <c r="AA41" s="27">
        <v>7.75</v>
      </c>
    </row>
    <row r="42" spans="1:27">
      <c r="A42" t="s">
        <v>83</v>
      </c>
      <c r="B42">
        <v>710220</v>
      </c>
      <c r="C42" s="27">
        <v>8.75</v>
      </c>
      <c r="D42" s="27">
        <v>8.75</v>
      </c>
      <c r="E42" s="27">
        <v>8.75</v>
      </c>
      <c r="F42" s="27">
        <v>8.75</v>
      </c>
      <c r="G42" s="27">
        <v>8.75</v>
      </c>
      <c r="H42" s="27">
        <v>8.75</v>
      </c>
      <c r="I42" s="27">
        <v>8.75</v>
      </c>
      <c r="J42" s="27">
        <v>8.75</v>
      </c>
      <c r="K42" s="27">
        <v>8.34</v>
      </c>
      <c r="L42" s="27">
        <v>7.84</v>
      </c>
      <c r="M42" s="27">
        <v>7.86</v>
      </c>
      <c r="N42" s="27">
        <v>7.89</v>
      </c>
      <c r="O42" s="27">
        <v>7.94</v>
      </c>
      <c r="P42" s="27">
        <v>7.95</v>
      </c>
      <c r="Q42" s="27">
        <v>7.96</v>
      </c>
      <c r="R42" s="27">
        <v>7.97</v>
      </c>
      <c r="S42" s="27">
        <v>7.98</v>
      </c>
      <c r="T42" s="27">
        <v>8</v>
      </c>
      <c r="U42" s="27">
        <v>8.01</v>
      </c>
      <c r="V42" s="27">
        <v>8.0299999999999994</v>
      </c>
      <c r="W42" s="27">
        <v>8.0500000000000007</v>
      </c>
      <c r="X42" s="27">
        <v>8.07</v>
      </c>
      <c r="Y42" s="27">
        <v>8.08</v>
      </c>
      <c r="Z42" s="27">
        <v>8.1</v>
      </c>
      <c r="AA42" s="27">
        <v>8.25</v>
      </c>
    </row>
    <row r="43" spans="1:27">
      <c r="A43" t="s">
        <v>84</v>
      </c>
      <c r="B43">
        <v>710225</v>
      </c>
      <c r="C43" s="27">
        <v>10.69</v>
      </c>
      <c r="D43" s="27">
        <v>10.69</v>
      </c>
      <c r="E43" s="27">
        <v>10.69</v>
      </c>
      <c r="F43" s="27">
        <v>10.69</v>
      </c>
      <c r="G43" s="27">
        <v>10.69</v>
      </c>
      <c r="H43" s="27">
        <v>10.69</v>
      </c>
      <c r="I43" s="27">
        <v>10.69</v>
      </c>
      <c r="J43" s="27">
        <v>10.69</v>
      </c>
      <c r="K43" s="27">
        <v>8.34</v>
      </c>
      <c r="L43" s="27">
        <v>7.84</v>
      </c>
      <c r="M43" s="27">
        <v>7.87</v>
      </c>
      <c r="N43" s="27">
        <v>7.89</v>
      </c>
      <c r="O43" s="27">
        <v>7.95</v>
      </c>
      <c r="P43" s="27">
        <v>7.96</v>
      </c>
      <c r="Q43" s="27">
        <v>7.97</v>
      </c>
      <c r="R43" s="27">
        <v>7.98</v>
      </c>
      <c r="S43" s="27">
        <v>7.99</v>
      </c>
      <c r="T43" s="27">
        <v>8</v>
      </c>
      <c r="U43" s="27">
        <v>8.02</v>
      </c>
      <c r="V43" s="27">
        <v>8.0299999999999994</v>
      </c>
      <c r="W43" s="27">
        <v>8.0500000000000007</v>
      </c>
      <c r="X43" s="27">
        <v>8.07</v>
      </c>
      <c r="Y43" s="27">
        <v>8.09</v>
      </c>
      <c r="Z43" s="27">
        <v>8.11</v>
      </c>
      <c r="AA43" s="27">
        <v>8.9</v>
      </c>
    </row>
    <row r="44" spans="1:27">
      <c r="A44" t="s">
        <v>85</v>
      </c>
      <c r="B44">
        <v>710230</v>
      </c>
      <c r="C44" s="27">
        <v>12.34</v>
      </c>
      <c r="D44" s="27">
        <v>12.34</v>
      </c>
      <c r="E44" s="27">
        <v>12.34</v>
      </c>
      <c r="F44" s="27">
        <v>12.34</v>
      </c>
      <c r="G44" s="27">
        <v>12.34</v>
      </c>
      <c r="H44" s="27">
        <v>12.34</v>
      </c>
      <c r="I44" s="27">
        <v>12.34</v>
      </c>
      <c r="J44" s="27">
        <v>12.34</v>
      </c>
      <c r="K44" s="27">
        <v>9.23</v>
      </c>
      <c r="L44" s="27">
        <v>8.73</v>
      </c>
      <c r="M44" s="27">
        <v>8.75</v>
      </c>
      <c r="N44" s="27">
        <v>8.7799999999999994</v>
      </c>
      <c r="O44" s="27">
        <v>8.83</v>
      </c>
      <c r="P44" s="27">
        <v>8.84</v>
      </c>
      <c r="Q44" s="27">
        <v>8.85</v>
      </c>
      <c r="R44" s="27">
        <v>8.86</v>
      </c>
      <c r="S44" s="27">
        <v>8.8699999999999992</v>
      </c>
      <c r="T44" s="27">
        <v>8.8800000000000008</v>
      </c>
      <c r="U44" s="27">
        <v>8.9</v>
      </c>
      <c r="V44" s="27">
        <v>8.92</v>
      </c>
      <c r="W44" s="27">
        <v>8.94</v>
      </c>
      <c r="X44" s="27">
        <v>8.9499999999999993</v>
      </c>
      <c r="Y44" s="27">
        <v>8.9700000000000006</v>
      </c>
      <c r="Z44" s="27">
        <v>8.99</v>
      </c>
      <c r="AA44" s="27">
        <v>10.039999999999999</v>
      </c>
    </row>
    <row r="45" spans="1:27">
      <c r="A45" t="s">
        <v>86</v>
      </c>
      <c r="B45">
        <v>710235</v>
      </c>
      <c r="C45" s="27">
        <v>8.75</v>
      </c>
      <c r="D45" s="27">
        <v>8.75</v>
      </c>
      <c r="E45" s="27">
        <v>8.75</v>
      </c>
      <c r="F45" s="27">
        <v>8.75</v>
      </c>
      <c r="G45" s="27">
        <v>8.75</v>
      </c>
      <c r="H45" s="27">
        <v>8.75</v>
      </c>
      <c r="I45" s="27">
        <v>8.75</v>
      </c>
      <c r="J45" s="27">
        <v>8.75</v>
      </c>
      <c r="K45" s="27">
        <v>8.34</v>
      </c>
      <c r="L45" s="27">
        <v>7.84</v>
      </c>
      <c r="M45" s="27">
        <v>7.86</v>
      </c>
      <c r="N45" s="27">
        <v>7.89</v>
      </c>
      <c r="O45" s="27">
        <v>7.94</v>
      </c>
      <c r="P45" s="27">
        <v>7.95</v>
      </c>
      <c r="Q45" s="27">
        <v>7.96</v>
      </c>
      <c r="R45" s="27">
        <v>7.97</v>
      </c>
      <c r="S45" s="27">
        <v>7.98</v>
      </c>
      <c r="T45" s="27">
        <v>8</v>
      </c>
      <c r="U45" s="27">
        <v>8.01</v>
      </c>
      <c r="V45" s="27">
        <v>8.0299999999999994</v>
      </c>
      <c r="W45" s="27">
        <v>8.0500000000000007</v>
      </c>
      <c r="X45" s="27">
        <v>8.07</v>
      </c>
      <c r="Y45" s="27">
        <v>8.08</v>
      </c>
      <c r="Z45" s="27">
        <v>8.1</v>
      </c>
      <c r="AA45" s="27">
        <v>8.25</v>
      </c>
    </row>
    <row r="46" spans="1:27">
      <c r="A46" t="s">
        <v>12</v>
      </c>
      <c r="B46" t="s">
        <v>12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>
      <c r="A47" t="s">
        <v>87</v>
      </c>
      <c r="C47" s="27">
        <v>10.130000000000001</v>
      </c>
      <c r="D47" s="27">
        <v>10.119999999999999</v>
      </c>
      <c r="E47" s="27">
        <v>10.11</v>
      </c>
      <c r="F47" s="27">
        <v>10.1</v>
      </c>
      <c r="G47" s="27">
        <v>10.1</v>
      </c>
      <c r="H47" s="27">
        <v>10.09</v>
      </c>
      <c r="I47" s="27">
        <v>10.09</v>
      </c>
      <c r="J47" s="27">
        <v>10.09</v>
      </c>
      <c r="K47" s="27">
        <v>8.11</v>
      </c>
      <c r="L47" s="27">
        <v>7.65</v>
      </c>
      <c r="M47" s="27">
        <v>7.67</v>
      </c>
      <c r="N47" s="27">
        <v>7.69</v>
      </c>
      <c r="O47" s="27">
        <v>7.73</v>
      </c>
      <c r="P47" s="27">
        <v>7.73</v>
      </c>
      <c r="Q47" s="27">
        <v>7.72</v>
      </c>
      <c r="R47" s="27">
        <v>7.71</v>
      </c>
      <c r="S47" s="27">
        <v>7.7</v>
      </c>
      <c r="T47" s="27">
        <v>7.69</v>
      </c>
      <c r="U47" s="27">
        <v>7.7</v>
      </c>
      <c r="V47" s="27">
        <v>7.7</v>
      </c>
      <c r="W47" s="27">
        <v>7.71</v>
      </c>
      <c r="X47" s="27">
        <v>7.72</v>
      </c>
      <c r="Y47" s="27">
        <v>7.73</v>
      </c>
      <c r="Z47" s="27">
        <v>7.74</v>
      </c>
      <c r="AA47" s="27">
        <v>8.52</v>
      </c>
    </row>
    <row r="48" spans="1:27"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27">
      <c r="A49" t="s">
        <v>88</v>
      </c>
      <c r="B49">
        <v>710302</v>
      </c>
      <c r="C49" s="27">
        <v>0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2.2999999999999998</v>
      </c>
      <c r="L49" s="27">
        <v>2.2999999999999998</v>
      </c>
      <c r="M49" s="27">
        <v>2.2999999999999998</v>
      </c>
      <c r="N49" s="27">
        <v>2.2999999999999998</v>
      </c>
      <c r="O49" s="27">
        <v>2.2999999999999998</v>
      </c>
      <c r="P49" s="27">
        <v>2.2999999999999998</v>
      </c>
      <c r="Q49" s="27">
        <v>2.2999999999999998</v>
      </c>
      <c r="R49" s="27">
        <v>2.2999999999999998</v>
      </c>
      <c r="S49" s="27">
        <v>2.2999999999999998</v>
      </c>
      <c r="T49" s="27">
        <v>2.2999999999999998</v>
      </c>
      <c r="U49" s="27">
        <v>2.2999999999999998</v>
      </c>
      <c r="V49" s="27">
        <v>2.2999999999999998</v>
      </c>
      <c r="W49" s="27">
        <v>2.2999999999999998</v>
      </c>
      <c r="X49" s="27">
        <v>2.2999999999999998</v>
      </c>
      <c r="Y49" s="27">
        <v>2.2999999999999998</v>
      </c>
      <c r="Z49" s="27">
        <v>2.2999999999999998</v>
      </c>
      <c r="AA49" s="27">
        <v>1.53</v>
      </c>
    </row>
    <row r="50" spans="1:27">
      <c r="A50" t="s">
        <v>945</v>
      </c>
      <c r="B50">
        <v>710303</v>
      </c>
      <c r="C50" s="27">
        <v>7.39</v>
      </c>
      <c r="D50" s="27">
        <v>7.39</v>
      </c>
      <c r="E50" s="27">
        <v>7.39</v>
      </c>
      <c r="F50" s="27">
        <v>7.39</v>
      </c>
      <c r="G50" s="27">
        <v>7.39</v>
      </c>
      <c r="H50" s="27">
        <v>7.39</v>
      </c>
      <c r="I50" s="27">
        <v>7.39</v>
      </c>
      <c r="J50" s="27">
        <v>7.39</v>
      </c>
      <c r="K50" s="27">
        <v>7.4</v>
      </c>
      <c r="L50" s="27">
        <v>7.15</v>
      </c>
      <c r="M50" s="27">
        <v>7.16</v>
      </c>
      <c r="N50" s="27">
        <v>7.17</v>
      </c>
      <c r="O50" s="27">
        <v>7.19</v>
      </c>
      <c r="P50" s="27">
        <v>7.2</v>
      </c>
      <c r="Q50" s="27">
        <v>7.2</v>
      </c>
      <c r="R50" s="27">
        <v>7.21</v>
      </c>
      <c r="S50" s="27">
        <v>7.21</v>
      </c>
      <c r="T50" s="27">
        <v>7.21</v>
      </c>
      <c r="U50" s="27">
        <v>7.22</v>
      </c>
      <c r="V50" s="27">
        <v>7.23</v>
      </c>
      <c r="W50" s="27">
        <v>7.24</v>
      </c>
      <c r="X50" s="27">
        <v>7.24</v>
      </c>
      <c r="Y50" s="27">
        <v>7.25</v>
      </c>
      <c r="Z50" s="27">
        <v>7.26</v>
      </c>
      <c r="AA50" s="27">
        <v>7.28</v>
      </c>
    </row>
    <row r="51" spans="1:27">
      <c r="A51" t="s">
        <v>90</v>
      </c>
      <c r="B51">
        <v>710315</v>
      </c>
      <c r="C51" s="27">
        <v>7.39</v>
      </c>
      <c r="D51" s="27">
        <v>7.39</v>
      </c>
      <c r="E51" s="27">
        <v>7.39</v>
      </c>
      <c r="F51" s="27">
        <v>7.39</v>
      </c>
      <c r="G51" s="27">
        <v>7.39</v>
      </c>
      <c r="H51" s="27">
        <v>7.39</v>
      </c>
      <c r="I51" s="27">
        <v>7.39</v>
      </c>
      <c r="J51" s="27">
        <v>7.39</v>
      </c>
      <c r="K51" s="27">
        <v>7.4</v>
      </c>
      <c r="L51" s="27">
        <v>7.15</v>
      </c>
      <c r="M51" s="27">
        <v>7.16</v>
      </c>
      <c r="N51" s="27">
        <v>7.17</v>
      </c>
      <c r="O51" s="27">
        <v>7.19</v>
      </c>
      <c r="P51" s="27">
        <v>7.2</v>
      </c>
      <c r="Q51" s="27">
        <v>7.2</v>
      </c>
      <c r="R51" s="27">
        <v>7.21</v>
      </c>
      <c r="S51" s="27">
        <v>7.21</v>
      </c>
      <c r="T51" s="27">
        <v>7.21</v>
      </c>
      <c r="U51" s="27">
        <v>7.22</v>
      </c>
      <c r="V51" s="27">
        <v>7.23</v>
      </c>
      <c r="W51" s="27">
        <v>7.24</v>
      </c>
      <c r="X51" s="27">
        <v>7.24</v>
      </c>
      <c r="Y51" s="27">
        <v>7.25</v>
      </c>
      <c r="Z51" s="27">
        <v>7.26</v>
      </c>
      <c r="AA51" s="27">
        <v>7.28</v>
      </c>
    </row>
    <row r="52" spans="1:27">
      <c r="A52" t="s">
        <v>94</v>
      </c>
      <c r="B52">
        <v>710304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2.2999999999999998</v>
      </c>
      <c r="L52" s="27">
        <v>2.2999999999999998</v>
      </c>
      <c r="M52" s="27">
        <v>2.2999999999999998</v>
      </c>
      <c r="N52" s="27">
        <v>2.2999999999999998</v>
      </c>
      <c r="O52" s="27">
        <v>2.2999999999999998</v>
      </c>
      <c r="P52" s="27">
        <v>2.2999999999999998</v>
      </c>
      <c r="Q52" s="27">
        <v>2.2999999999999998</v>
      </c>
      <c r="R52" s="27">
        <v>2.2999999999999998</v>
      </c>
      <c r="S52" s="27">
        <v>2.2999999999999998</v>
      </c>
      <c r="T52" s="27">
        <v>2.2999999999999998</v>
      </c>
      <c r="U52" s="27">
        <v>2.2999999999999998</v>
      </c>
      <c r="V52" s="27">
        <v>2.2999999999999998</v>
      </c>
      <c r="W52" s="27">
        <v>2.2999999999999998</v>
      </c>
      <c r="X52" s="27">
        <v>2.2999999999999998</v>
      </c>
      <c r="Y52" s="27">
        <v>2.2999999999999998</v>
      </c>
      <c r="Z52" s="27">
        <v>2.2999999999999998</v>
      </c>
      <c r="AA52" s="27">
        <v>1.53</v>
      </c>
    </row>
    <row r="53" spans="1:27">
      <c r="A53" t="s">
        <v>95</v>
      </c>
      <c r="B53">
        <v>710306</v>
      </c>
      <c r="C53" s="27">
        <v>7.39</v>
      </c>
      <c r="D53" s="27">
        <v>7.39</v>
      </c>
      <c r="E53" s="27">
        <v>7.39</v>
      </c>
      <c r="F53" s="27">
        <v>7.39</v>
      </c>
      <c r="G53" s="27">
        <v>7.39</v>
      </c>
      <c r="H53" s="27">
        <v>7.39</v>
      </c>
      <c r="I53" s="27">
        <v>7.39</v>
      </c>
      <c r="J53" s="27">
        <v>7.39</v>
      </c>
      <c r="K53" s="27">
        <v>7.09</v>
      </c>
      <c r="L53" s="27">
        <v>6.85</v>
      </c>
      <c r="M53" s="27">
        <v>6.86</v>
      </c>
      <c r="N53" s="27">
        <v>6.87</v>
      </c>
      <c r="O53" s="27">
        <v>6.89</v>
      </c>
      <c r="P53" s="27">
        <v>6.89</v>
      </c>
      <c r="Q53" s="27">
        <v>6.9</v>
      </c>
      <c r="R53" s="27">
        <v>6.9</v>
      </c>
      <c r="S53" s="27">
        <v>6.91</v>
      </c>
      <c r="T53" s="27">
        <v>6.91</v>
      </c>
      <c r="U53" s="27">
        <v>6.92</v>
      </c>
      <c r="V53" s="27">
        <v>6.92</v>
      </c>
      <c r="W53" s="27">
        <v>6.93</v>
      </c>
      <c r="X53" s="27">
        <v>6.94</v>
      </c>
      <c r="Y53" s="27">
        <v>6.94</v>
      </c>
      <c r="Z53" s="27">
        <v>6.95</v>
      </c>
      <c r="AA53" s="27">
        <v>7.07</v>
      </c>
    </row>
    <row r="54" spans="1:27">
      <c r="A54" t="s">
        <v>97</v>
      </c>
      <c r="B54">
        <v>710307</v>
      </c>
      <c r="C54" s="27">
        <v>7.39</v>
      </c>
      <c r="D54" s="27">
        <v>7.39</v>
      </c>
      <c r="E54" s="27">
        <v>7.39</v>
      </c>
      <c r="F54" s="27">
        <v>7.39</v>
      </c>
      <c r="G54" s="27">
        <v>7.39</v>
      </c>
      <c r="H54" s="27">
        <v>7.39</v>
      </c>
      <c r="I54" s="27">
        <v>7.39</v>
      </c>
      <c r="J54" s="27">
        <v>7.39</v>
      </c>
      <c r="K54" s="27">
        <v>7.09</v>
      </c>
      <c r="L54" s="27">
        <v>6.85</v>
      </c>
      <c r="M54" s="27">
        <v>6.86</v>
      </c>
      <c r="N54" s="27">
        <v>6.87</v>
      </c>
      <c r="O54" s="27">
        <v>6.89</v>
      </c>
      <c r="P54" s="27">
        <v>6.89</v>
      </c>
      <c r="Q54" s="27">
        <v>6.9</v>
      </c>
      <c r="R54" s="27">
        <v>6.9</v>
      </c>
      <c r="S54" s="27">
        <v>6.91</v>
      </c>
      <c r="T54" s="27">
        <v>6.91</v>
      </c>
      <c r="U54" s="27">
        <v>6.92</v>
      </c>
      <c r="V54" s="27">
        <v>6.92</v>
      </c>
      <c r="W54" s="27">
        <v>6.93</v>
      </c>
      <c r="X54" s="27">
        <v>6.94</v>
      </c>
      <c r="Y54" s="27">
        <v>6.94</v>
      </c>
      <c r="Z54" s="27">
        <v>6.95</v>
      </c>
      <c r="AA54" s="27">
        <v>7.07</v>
      </c>
    </row>
    <row r="55" spans="1:27">
      <c r="A55" t="s">
        <v>98</v>
      </c>
      <c r="B55">
        <v>710316</v>
      </c>
      <c r="C55" s="27">
        <v>7.39</v>
      </c>
      <c r="D55" s="27">
        <v>7.39</v>
      </c>
      <c r="E55" s="27">
        <v>7.39</v>
      </c>
      <c r="F55" s="27">
        <v>7.39</v>
      </c>
      <c r="G55" s="27">
        <v>7.39</v>
      </c>
      <c r="H55" s="27">
        <v>7.39</v>
      </c>
      <c r="I55" s="27">
        <v>7.39</v>
      </c>
      <c r="J55" s="27">
        <v>7.39</v>
      </c>
      <c r="K55" s="27">
        <v>7.09</v>
      </c>
      <c r="L55" s="27">
        <v>6.85</v>
      </c>
      <c r="M55" s="27">
        <v>6.86</v>
      </c>
      <c r="N55" s="27">
        <v>6.87</v>
      </c>
      <c r="O55" s="27">
        <v>6.89</v>
      </c>
      <c r="P55" s="27">
        <v>6.89</v>
      </c>
      <c r="Q55" s="27">
        <v>6.9</v>
      </c>
      <c r="R55" s="27">
        <v>6.9</v>
      </c>
      <c r="S55" s="27">
        <v>6.91</v>
      </c>
      <c r="T55" s="27">
        <v>6.91</v>
      </c>
      <c r="U55" s="27">
        <v>6.92</v>
      </c>
      <c r="V55" s="27">
        <v>6.92</v>
      </c>
      <c r="W55" s="27">
        <v>6.93</v>
      </c>
      <c r="X55" s="27">
        <v>6.94</v>
      </c>
      <c r="Y55" s="27">
        <v>6.94</v>
      </c>
      <c r="Z55" s="27">
        <v>6.95</v>
      </c>
      <c r="AA55" s="27">
        <v>7.07</v>
      </c>
    </row>
    <row r="56" spans="1:27">
      <c r="A56" t="s">
        <v>101</v>
      </c>
      <c r="B56">
        <v>710308</v>
      </c>
      <c r="C56" s="27">
        <v>7.58</v>
      </c>
      <c r="D56" s="27">
        <v>7.58</v>
      </c>
      <c r="E56" s="27">
        <v>7.58</v>
      </c>
      <c r="F56" s="27">
        <v>7.58</v>
      </c>
      <c r="G56" s="27">
        <v>7.58</v>
      </c>
      <c r="H56" s="27">
        <v>7.58</v>
      </c>
      <c r="I56" s="27">
        <v>7.58</v>
      </c>
      <c r="J56" s="27">
        <v>7.58</v>
      </c>
      <c r="K56" s="27">
        <v>7.28</v>
      </c>
      <c r="L56" s="27">
        <v>7.04</v>
      </c>
      <c r="M56" s="27">
        <v>7.05</v>
      </c>
      <c r="N56" s="27">
        <v>7.06</v>
      </c>
      <c r="O56" s="27">
        <v>7.08</v>
      </c>
      <c r="P56" s="27">
        <v>7.08</v>
      </c>
      <c r="Q56" s="27">
        <v>7.09</v>
      </c>
      <c r="R56" s="27">
        <v>7.09</v>
      </c>
      <c r="S56" s="27">
        <v>7.1</v>
      </c>
      <c r="T56" s="27">
        <v>7.1</v>
      </c>
      <c r="U56" s="27">
        <v>7.11</v>
      </c>
      <c r="V56" s="27">
        <v>7.11</v>
      </c>
      <c r="W56" s="27">
        <v>7.12</v>
      </c>
      <c r="X56" s="27">
        <v>7.13</v>
      </c>
      <c r="Y56" s="27">
        <v>7.13</v>
      </c>
      <c r="Z56" s="27">
        <v>7.14</v>
      </c>
      <c r="AA56" s="27">
        <v>7.26</v>
      </c>
    </row>
    <row r="57" spans="1:27">
      <c r="A57" t="s">
        <v>946</v>
      </c>
      <c r="B57">
        <v>710311</v>
      </c>
      <c r="C57" s="27">
        <v>7.58</v>
      </c>
      <c r="D57" s="27">
        <v>7.58</v>
      </c>
      <c r="E57" s="27">
        <v>7.58</v>
      </c>
      <c r="F57" s="27">
        <v>7.58</v>
      </c>
      <c r="G57" s="27">
        <v>7.58</v>
      </c>
      <c r="H57" s="27">
        <v>7.58</v>
      </c>
      <c r="I57" s="27">
        <v>7.58</v>
      </c>
      <c r="J57" s="27">
        <v>7.58</v>
      </c>
      <c r="K57" s="27">
        <v>7.28</v>
      </c>
      <c r="L57" s="27">
        <v>7.04</v>
      </c>
      <c r="M57" s="27">
        <v>7.05</v>
      </c>
      <c r="N57" s="27">
        <v>7.06</v>
      </c>
      <c r="O57" s="27">
        <v>7.08</v>
      </c>
      <c r="P57" s="27">
        <v>7.08</v>
      </c>
      <c r="Q57" s="27">
        <v>7.09</v>
      </c>
      <c r="R57" s="27">
        <v>7.09</v>
      </c>
      <c r="S57" s="27">
        <v>7.1</v>
      </c>
      <c r="T57" s="27">
        <v>7.1</v>
      </c>
      <c r="U57" s="27">
        <v>7.11</v>
      </c>
      <c r="V57" s="27">
        <v>7.11</v>
      </c>
      <c r="W57" s="27">
        <v>7.12</v>
      </c>
      <c r="X57" s="27">
        <v>7.13</v>
      </c>
      <c r="Y57" s="27">
        <v>7.13</v>
      </c>
      <c r="Z57" s="27">
        <v>7.14</v>
      </c>
      <c r="AA57" s="27">
        <v>7.26</v>
      </c>
    </row>
    <row r="58" spans="1:27">
      <c r="A58" t="s">
        <v>104</v>
      </c>
      <c r="B58">
        <v>710317</v>
      </c>
      <c r="C58" s="27">
        <v>7.58</v>
      </c>
      <c r="D58" s="27">
        <v>7.58</v>
      </c>
      <c r="E58" s="27">
        <v>7.58</v>
      </c>
      <c r="F58" s="27">
        <v>7.58</v>
      </c>
      <c r="G58" s="27">
        <v>7.58</v>
      </c>
      <c r="H58" s="27">
        <v>7.58</v>
      </c>
      <c r="I58" s="27">
        <v>7.58</v>
      </c>
      <c r="J58" s="27">
        <v>7.58</v>
      </c>
      <c r="K58" s="27">
        <v>7.28</v>
      </c>
      <c r="L58" s="27">
        <v>7.04</v>
      </c>
      <c r="M58" s="27">
        <v>7.05</v>
      </c>
      <c r="N58" s="27">
        <v>7.06</v>
      </c>
      <c r="O58" s="27">
        <v>7.08</v>
      </c>
      <c r="P58" s="27">
        <v>7.08</v>
      </c>
      <c r="Q58" s="27">
        <v>7.09</v>
      </c>
      <c r="R58" s="27">
        <v>7.09</v>
      </c>
      <c r="S58" s="27">
        <v>7.1</v>
      </c>
      <c r="T58" s="27">
        <v>7.1</v>
      </c>
      <c r="U58" s="27">
        <v>7.11</v>
      </c>
      <c r="V58" s="27">
        <v>7.11</v>
      </c>
      <c r="W58" s="27">
        <v>7.12</v>
      </c>
      <c r="X58" s="27">
        <v>7.13</v>
      </c>
      <c r="Y58" s="27">
        <v>7.13</v>
      </c>
      <c r="Z58" s="27">
        <v>7.14</v>
      </c>
      <c r="AA58" s="27">
        <v>7.26</v>
      </c>
    </row>
    <row r="59" spans="1:27">
      <c r="A59" t="s">
        <v>106</v>
      </c>
      <c r="B59">
        <v>710310</v>
      </c>
      <c r="C59" s="27">
        <v>0</v>
      </c>
      <c r="D59" s="27">
        <v>0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2.4</v>
      </c>
      <c r="L59" s="27">
        <v>2.4</v>
      </c>
      <c r="M59" s="27">
        <v>2.4</v>
      </c>
      <c r="N59" s="27">
        <v>2.4</v>
      </c>
      <c r="O59" s="27">
        <v>2.4</v>
      </c>
      <c r="P59" s="27">
        <v>2.4</v>
      </c>
      <c r="Q59" s="27">
        <v>2.4</v>
      </c>
      <c r="R59" s="27">
        <v>2.4</v>
      </c>
      <c r="S59" s="27">
        <v>2.4</v>
      </c>
      <c r="T59" s="27">
        <v>2.4</v>
      </c>
      <c r="U59" s="27">
        <v>2.4</v>
      </c>
      <c r="V59" s="27">
        <v>2.4</v>
      </c>
      <c r="W59" s="27">
        <v>2.4</v>
      </c>
      <c r="X59" s="27">
        <v>2.4</v>
      </c>
      <c r="Y59" s="27">
        <v>2.4</v>
      </c>
      <c r="Z59" s="27">
        <v>2.4</v>
      </c>
      <c r="AA59" s="27">
        <v>1.6</v>
      </c>
    </row>
    <row r="60" spans="1:27">
      <c r="A60" t="s">
        <v>107</v>
      </c>
      <c r="B60">
        <v>710312</v>
      </c>
      <c r="C60" s="27">
        <v>7.75</v>
      </c>
      <c r="D60" s="27">
        <v>7.75</v>
      </c>
      <c r="E60" s="27">
        <v>7.75</v>
      </c>
      <c r="F60" s="27">
        <v>7.75</v>
      </c>
      <c r="G60" s="27">
        <v>7.75</v>
      </c>
      <c r="H60" s="27">
        <v>7.75</v>
      </c>
      <c r="I60" s="27">
        <v>7.75</v>
      </c>
      <c r="J60" s="27">
        <v>7.75</v>
      </c>
      <c r="K60" s="27">
        <v>7.45</v>
      </c>
      <c r="L60" s="27">
        <v>7.21</v>
      </c>
      <c r="M60" s="27">
        <v>7.22</v>
      </c>
      <c r="N60" s="27">
        <v>7.23</v>
      </c>
      <c r="O60" s="27">
        <v>7.25</v>
      </c>
      <c r="P60" s="27">
        <v>7.25</v>
      </c>
      <c r="Q60" s="27">
        <v>7.26</v>
      </c>
      <c r="R60" s="27">
        <v>7.26</v>
      </c>
      <c r="S60" s="27">
        <v>7.27</v>
      </c>
      <c r="T60" s="27">
        <v>7.27</v>
      </c>
      <c r="U60" s="27">
        <v>7.28</v>
      </c>
      <c r="V60" s="27">
        <v>7.28</v>
      </c>
      <c r="W60" s="27">
        <v>7.29</v>
      </c>
      <c r="X60" s="27">
        <v>7.3</v>
      </c>
      <c r="Y60" s="27">
        <v>7.3</v>
      </c>
      <c r="Z60" s="27">
        <v>7.31</v>
      </c>
      <c r="AA60" s="27">
        <v>7.43</v>
      </c>
    </row>
    <row r="61" spans="1:27">
      <c r="A61" t="s">
        <v>947</v>
      </c>
      <c r="B61">
        <v>710313</v>
      </c>
      <c r="C61" s="27">
        <v>7.75</v>
      </c>
      <c r="D61" s="27">
        <v>7.75</v>
      </c>
      <c r="E61" s="27">
        <v>7.75</v>
      </c>
      <c r="F61" s="27">
        <v>7.75</v>
      </c>
      <c r="G61" s="27">
        <v>7.75</v>
      </c>
      <c r="H61" s="27">
        <v>7.75</v>
      </c>
      <c r="I61" s="27">
        <v>7.75</v>
      </c>
      <c r="J61" s="27">
        <v>7.75</v>
      </c>
      <c r="K61" s="27">
        <v>7.86</v>
      </c>
      <c r="L61" s="27">
        <v>7.81</v>
      </c>
      <c r="M61" s="27">
        <v>7.81</v>
      </c>
      <c r="N61" s="27">
        <v>7.81</v>
      </c>
      <c r="O61" s="27">
        <v>7.81</v>
      </c>
      <c r="P61" s="27">
        <v>7.81</v>
      </c>
      <c r="Q61" s="27">
        <v>7.81</v>
      </c>
      <c r="R61" s="27">
        <v>7.81</v>
      </c>
      <c r="S61" s="27">
        <v>7.81</v>
      </c>
      <c r="T61" s="27">
        <v>7.81</v>
      </c>
      <c r="U61" s="27">
        <v>7.81</v>
      </c>
      <c r="V61" s="27">
        <v>7.81</v>
      </c>
      <c r="W61" s="27">
        <v>7.81</v>
      </c>
      <c r="X61" s="27">
        <v>7.81</v>
      </c>
      <c r="Y61" s="27">
        <v>7.81</v>
      </c>
      <c r="Z61" s="27">
        <v>7.81</v>
      </c>
      <c r="AA61" s="27">
        <v>7.79</v>
      </c>
    </row>
    <row r="62" spans="1:27">
      <c r="A62" t="s">
        <v>109</v>
      </c>
      <c r="B62">
        <v>710318</v>
      </c>
      <c r="C62" s="27">
        <v>7.75</v>
      </c>
      <c r="D62" s="27">
        <v>7.75</v>
      </c>
      <c r="E62" s="27">
        <v>7.75</v>
      </c>
      <c r="F62" s="27">
        <v>7.75</v>
      </c>
      <c r="G62" s="27">
        <v>7.75</v>
      </c>
      <c r="H62" s="27">
        <v>7.75</v>
      </c>
      <c r="I62" s="27">
        <v>7.75</v>
      </c>
      <c r="J62" s="27">
        <v>7.75</v>
      </c>
      <c r="K62" s="27">
        <v>7.86</v>
      </c>
      <c r="L62" s="27">
        <v>7.81</v>
      </c>
      <c r="M62" s="27">
        <v>7.81</v>
      </c>
      <c r="N62" s="27">
        <v>7.81</v>
      </c>
      <c r="O62" s="27">
        <v>7.81</v>
      </c>
      <c r="P62" s="27">
        <v>7.81</v>
      </c>
      <c r="Q62" s="27">
        <v>7.81</v>
      </c>
      <c r="R62" s="27">
        <v>7.81</v>
      </c>
      <c r="S62" s="27">
        <v>7.81</v>
      </c>
      <c r="T62" s="27">
        <v>7.81</v>
      </c>
      <c r="U62" s="27">
        <v>7.81</v>
      </c>
      <c r="V62" s="27">
        <v>7.81</v>
      </c>
      <c r="W62" s="27">
        <v>7.81</v>
      </c>
      <c r="X62" s="27">
        <v>7.81</v>
      </c>
      <c r="Y62" s="27">
        <v>7.81</v>
      </c>
      <c r="Z62" s="27">
        <v>7.81</v>
      </c>
      <c r="AA62" s="27">
        <v>7.79</v>
      </c>
    </row>
    <row r="63" spans="1:27">
      <c r="A63" t="s">
        <v>948</v>
      </c>
      <c r="B63">
        <v>710335</v>
      </c>
      <c r="C63" s="27">
        <v>6.64</v>
      </c>
      <c r="D63" s="27">
        <v>6.64</v>
      </c>
      <c r="E63" s="27">
        <v>6.64</v>
      </c>
      <c r="F63" s="27">
        <v>6.64</v>
      </c>
      <c r="G63" s="27">
        <v>6.64</v>
      </c>
      <c r="H63" s="27">
        <v>6.64</v>
      </c>
      <c r="I63" s="27">
        <v>6.64</v>
      </c>
      <c r="J63" s="27">
        <v>6.64</v>
      </c>
      <c r="K63" s="27">
        <v>7.42</v>
      </c>
      <c r="L63" s="27">
        <v>7.36</v>
      </c>
      <c r="M63" s="27">
        <v>7.36</v>
      </c>
      <c r="N63" s="27">
        <v>7.36</v>
      </c>
      <c r="O63" s="27">
        <v>7.36</v>
      </c>
      <c r="P63" s="27">
        <v>7.36</v>
      </c>
      <c r="Q63" s="27">
        <v>7.36</v>
      </c>
      <c r="R63" s="27">
        <v>7.36</v>
      </c>
      <c r="S63" s="27">
        <v>7.36</v>
      </c>
      <c r="T63" s="27">
        <v>7.36</v>
      </c>
      <c r="U63" s="27">
        <v>7.36</v>
      </c>
      <c r="V63" s="27">
        <v>7.36</v>
      </c>
      <c r="W63" s="27">
        <v>7.36</v>
      </c>
      <c r="X63" s="27">
        <v>7.36</v>
      </c>
      <c r="Y63" s="27">
        <v>7.36</v>
      </c>
      <c r="Z63" s="27">
        <v>7.36</v>
      </c>
      <c r="AA63" s="27">
        <v>7.12</v>
      </c>
    </row>
    <row r="64" spans="1:27">
      <c r="A64" t="s">
        <v>114</v>
      </c>
      <c r="B64">
        <v>710322</v>
      </c>
      <c r="C64" s="27">
        <v>2.2000000000000002</v>
      </c>
      <c r="D64" s="27">
        <v>2.2000000000000002</v>
      </c>
      <c r="E64" s="27">
        <v>2.2000000000000002</v>
      </c>
      <c r="F64" s="27">
        <v>2.2000000000000002</v>
      </c>
      <c r="G64" s="27">
        <v>2.2000000000000002</v>
      </c>
      <c r="H64" s="27">
        <v>2.2000000000000002</v>
      </c>
      <c r="I64" s="27">
        <v>2.2000000000000002</v>
      </c>
      <c r="J64" s="27">
        <v>2.2000000000000002</v>
      </c>
      <c r="K64" s="27">
        <v>2.2000000000000002</v>
      </c>
      <c r="L64" s="27">
        <v>2.2000000000000002</v>
      </c>
      <c r="M64" s="27">
        <v>2.2000000000000002</v>
      </c>
      <c r="N64" s="27">
        <v>2.2000000000000002</v>
      </c>
      <c r="O64" s="27">
        <v>2.2000000000000002</v>
      </c>
      <c r="P64" s="27">
        <v>2.2000000000000002</v>
      </c>
      <c r="Q64" s="27">
        <v>2.2000000000000002</v>
      </c>
      <c r="R64" s="27">
        <v>2.2000000000000002</v>
      </c>
      <c r="S64" s="27">
        <v>2.2000000000000002</v>
      </c>
      <c r="T64" s="27">
        <v>2.2000000000000002</v>
      </c>
      <c r="U64" s="27">
        <v>2.2000000000000002</v>
      </c>
      <c r="V64" s="27">
        <v>2.2000000000000002</v>
      </c>
      <c r="W64" s="27">
        <v>2.2000000000000002</v>
      </c>
      <c r="X64" s="27">
        <v>2.2000000000000002</v>
      </c>
      <c r="Y64" s="27">
        <v>2.2000000000000002</v>
      </c>
      <c r="Z64" s="27">
        <v>2.2000000000000002</v>
      </c>
      <c r="AA64" s="27">
        <v>2.2000000000000002</v>
      </c>
    </row>
    <row r="65" spans="1:27">
      <c r="A65" t="s">
        <v>115</v>
      </c>
      <c r="B65">
        <v>710324</v>
      </c>
      <c r="C65" s="27">
        <v>2.2999999999999998</v>
      </c>
      <c r="D65" s="27">
        <v>2.2999999999999998</v>
      </c>
      <c r="E65" s="27">
        <v>2.2999999999999998</v>
      </c>
      <c r="F65" s="27">
        <v>2.2999999999999998</v>
      </c>
      <c r="G65" s="27">
        <v>2.2999999999999998</v>
      </c>
      <c r="H65" s="27">
        <v>2.2999999999999998</v>
      </c>
      <c r="I65" s="27">
        <v>2.2999999999999998</v>
      </c>
      <c r="J65" s="27">
        <v>2.2999999999999998</v>
      </c>
      <c r="K65" s="27">
        <v>2.2999999999999998</v>
      </c>
      <c r="L65" s="27">
        <v>2.2999999999999998</v>
      </c>
      <c r="M65" s="27">
        <v>2.2999999999999998</v>
      </c>
      <c r="N65" s="27">
        <v>2.2999999999999998</v>
      </c>
      <c r="O65" s="27">
        <v>2.2999999999999998</v>
      </c>
      <c r="P65" s="27">
        <v>2.2999999999999998</v>
      </c>
      <c r="Q65" s="27">
        <v>2.2999999999999998</v>
      </c>
      <c r="R65" s="27">
        <v>2.2999999999999998</v>
      </c>
      <c r="S65" s="27">
        <v>2.2999999999999998</v>
      </c>
      <c r="T65" s="27">
        <v>2.2999999999999998</v>
      </c>
      <c r="U65" s="27">
        <v>2.2999999999999998</v>
      </c>
      <c r="V65" s="27">
        <v>2.2999999999999998</v>
      </c>
      <c r="W65" s="27">
        <v>2.2999999999999998</v>
      </c>
      <c r="X65" s="27">
        <v>2.2999999999999998</v>
      </c>
      <c r="Y65" s="27">
        <v>2.2999999999999998</v>
      </c>
      <c r="Z65" s="27">
        <v>2.2999999999999998</v>
      </c>
      <c r="AA65" s="27">
        <v>2.2999999999999998</v>
      </c>
    </row>
    <row r="66" spans="1:27">
      <c r="A66" t="s">
        <v>116</v>
      </c>
      <c r="B66">
        <v>710326</v>
      </c>
      <c r="C66" s="27">
        <v>2.4</v>
      </c>
      <c r="D66" s="27">
        <v>2.4</v>
      </c>
      <c r="E66" s="27">
        <v>2.4</v>
      </c>
      <c r="F66" s="27">
        <v>2.4</v>
      </c>
      <c r="G66" s="27">
        <v>2.4</v>
      </c>
      <c r="H66" s="27">
        <v>2.4</v>
      </c>
      <c r="I66" s="27">
        <v>2.4</v>
      </c>
      <c r="J66" s="27">
        <v>2.4</v>
      </c>
      <c r="K66" s="27">
        <v>2.4</v>
      </c>
      <c r="L66" s="27">
        <v>2.4</v>
      </c>
      <c r="M66" s="27">
        <v>2.4</v>
      </c>
      <c r="N66" s="27">
        <v>2.4</v>
      </c>
      <c r="O66" s="27">
        <v>2.4</v>
      </c>
      <c r="P66" s="27">
        <v>2.4</v>
      </c>
      <c r="Q66" s="27">
        <v>2.4</v>
      </c>
      <c r="R66" s="27">
        <v>2.4</v>
      </c>
      <c r="S66" s="27">
        <v>2.4</v>
      </c>
      <c r="T66" s="27">
        <v>2.4</v>
      </c>
      <c r="U66" s="27">
        <v>2.4</v>
      </c>
      <c r="V66" s="27">
        <v>2.4</v>
      </c>
      <c r="W66" s="27">
        <v>2.4</v>
      </c>
      <c r="X66" s="27">
        <v>2.4</v>
      </c>
      <c r="Y66" s="27">
        <v>2.4</v>
      </c>
      <c r="Z66" s="27">
        <v>2.4</v>
      </c>
      <c r="AA66" s="27">
        <v>2.4</v>
      </c>
    </row>
    <row r="67" spans="1:27">
      <c r="A67" t="s">
        <v>949</v>
      </c>
      <c r="B67">
        <v>710327</v>
      </c>
      <c r="C67" s="27">
        <v>2.5</v>
      </c>
      <c r="D67" s="27">
        <v>2.5</v>
      </c>
      <c r="E67" s="27">
        <v>2.5</v>
      </c>
      <c r="F67" s="27">
        <v>2.5</v>
      </c>
      <c r="G67" s="27">
        <v>2.5</v>
      </c>
      <c r="H67" s="27">
        <v>2.5</v>
      </c>
      <c r="I67" s="27">
        <v>2.5</v>
      </c>
      <c r="J67" s="27">
        <v>2.5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  <c r="V67" s="27">
        <v>0</v>
      </c>
      <c r="W67" s="27">
        <v>0</v>
      </c>
      <c r="X67" s="27">
        <v>0</v>
      </c>
      <c r="Y67" s="27">
        <v>0</v>
      </c>
      <c r="Z67" s="27">
        <v>0</v>
      </c>
      <c r="AA67" s="27">
        <v>0.83</v>
      </c>
    </row>
    <row r="68" spans="1:27">
      <c r="A68" t="s">
        <v>118</v>
      </c>
      <c r="B68">
        <v>710328</v>
      </c>
      <c r="C68" s="27">
        <v>0</v>
      </c>
      <c r="D68" s="27">
        <v>0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2.5</v>
      </c>
      <c r="L68" s="27">
        <v>2.5</v>
      </c>
      <c r="M68" s="27">
        <v>2.5</v>
      </c>
      <c r="N68" s="27">
        <v>2.5</v>
      </c>
      <c r="O68" s="27">
        <v>2.5</v>
      </c>
      <c r="P68" s="27">
        <v>2.5</v>
      </c>
      <c r="Q68" s="27">
        <v>2.5</v>
      </c>
      <c r="R68" s="27">
        <v>2.5</v>
      </c>
      <c r="S68" s="27">
        <v>2.5</v>
      </c>
      <c r="T68" s="27">
        <v>2.5</v>
      </c>
      <c r="U68" s="27">
        <v>2.5</v>
      </c>
      <c r="V68" s="27">
        <v>2.5</v>
      </c>
      <c r="W68" s="27">
        <v>2.5</v>
      </c>
      <c r="X68" s="27">
        <v>2.5</v>
      </c>
      <c r="Y68" s="27">
        <v>2.5</v>
      </c>
      <c r="Z68" s="27">
        <v>2.5</v>
      </c>
      <c r="AA68" s="27">
        <v>1.67</v>
      </c>
    </row>
    <row r="69" spans="1:27">
      <c r="A69" t="s">
        <v>950</v>
      </c>
      <c r="B69">
        <v>710330</v>
      </c>
      <c r="C69" s="27">
        <v>2.2000000000000002</v>
      </c>
      <c r="D69" s="27">
        <v>2.2000000000000002</v>
      </c>
      <c r="E69" s="27">
        <v>2.2000000000000002</v>
      </c>
      <c r="F69" s="27">
        <v>2.2000000000000002</v>
      </c>
      <c r="G69" s="27">
        <v>2.2000000000000002</v>
      </c>
      <c r="H69" s="27">
        <v>2.2000000000000002</v>
      </c>
      <c r="I69" s="27">
        <v>2.2000000000000002</v>
      </c>
      <c r="J69" s="27">
        <v>2.2000000000000002</v>
      </c>
      <c r="K69" s="27">
        <v>2.2000000000000002</v>
      </c>
      <c r="L69" s="27">
        <v>2.2000000000000002</v>
      </c>
      <c r="M69" s="27">
        <v>2.2000000000000002</v>
      </c>
      <c r="N69" s="27">
        <v>2.2000000000000002</v>
      </c>
      <c r="O69" s="27">
        <v>2.2000000000000002</v>
      </c>
      <c r="P69" s="27">
        <v>2.2000000000000002</v>
      </c>
      <c r="Q69" s="27">
        <v>2.2000000000000002</v>
      </c>
      <c r="R69" s="27">
        <v>2.2000000000000002</v>
      </c>
      <c r="S69" s="27">
        <v>2.2000000000000002</v>
      </c>
      <c r="T69" s="27">
        <v>2.2000000000000002</v>
      </c>
      <c r="U69" s="27">
        <v>2.2000000000000002</v>
      </c>
      <c r="V69" s="27">
        <v>2.2000000000000002</v>
      </c>
      <c r="W69" s="27">
        <v>2.2000000000000002</v>
      </c>
      <c r="X69" s="27">
        <v>2.2000000000000002</v>
      </c>
      <c r="Y69" s="27">
        <v>2.2000000000000002</v>
      </c>
      <c r="Z69" s="27">
        <v>2.2000000000000002</v>
      </c>
      <c r="AA69" s="27">
        <v>2.2000000000000002</v>
      </c>
    </row>
    <row r="70" spans="1:27">
      <c r="A70" t="s">
        <v>951</v>
      </c>
      <c r="B70">
        <v>710332</v>
      </c>
      <c r="C70" s="27">
        <v>2.2999999999999998</v>
      </c>
      <c r="D70" s="27">
        <v>2.2999999999999998</v>
      </c>
      <c r="E70" s="27">
        <v>2.2999999999999998</v>
      </c>
      <c r="F70" s="27">
        <v>2.2999999999999998</v>
      </c>
      <c r="G70" s="27">
        <v>2.2999999999999998</v>
      </c>
      <c r="H70" s="27">
        <v>2.2999999999999998</v>
      </c>
      <c r="I70" s="27">
        <v>2.2999999999999998</v>
      </c>
      <c r="J70" s="27">
        <v>2.2999999999999998</v>
      </c>
      <c r="K70" s="27">
        <v>2.2999999999999998</v>
      </c>
      <c r="L70" s="27">
        <v>2.2999999999999998</v>
      </c>
      <c r="M70" s="27">
        <v>2.2999999999999998</v>
      </c>
      <c r="N70" s="27">
        <v>2.2999999999999998</v>
      </c>
      <c r="O70" s="27">
        <v>2.2999999999999998</v>
      </c>
      <c r="P70" s="27">
        <v>2.2999999999999998</v>
      </c>
      <c r="Q70" s="27">
        <v>2.2999999999999998</v>
      </c>
      <c r="R70" s="27">
        <v>2.2999999999999998</v>
      </c>
      <c r="S70" s="27">
        <v>2.2999999999999998</v>
      </c>
      <c r="T70" s="27">
        <v>2.2999999999999998</v>
      </c>
      <c r="U70" s="27">
        <v>2.2999999999999998</v>
      </c>
      <c r="V70" s="27">
        <v>2.2999999999999998</v>
      </c>
      <c r="W70" s="27">
        <v>2.2999999999999998</v>
      </c>
      <c r="X70" s="27">
        <v>2.2999999999999998</v>
      </c>
      <c r="Y70" s="27">
        <v>2.2999999999999998</v>
      </c>
      <c r="Z70" s="27">
        <v>2.2999999999999998</v>
      </c>
      <c r="AA70" s="27">
        <v>2.2999999999999998</v>
      </c>
    </row>
    <row r="71" spans="1:27">
      <c r="A71" t="s">
        <v>952</v>
      </c>
      <c r="B71">
        <v>710334</v>
      </c>
      <c r="C71" s="27">
        <v>2.4</v>
      </c>
      <c r="D71" s="27">
        <v>2.4</v>
      </c>
      <c r="E71" s="27">
        <v>2.4</v>
      </c>
      <c r="F71" s="27">
        <v>2.4</v>
      </c>
      <c r="G71" s="27">
        <v>2.4</v>
      </c>
      <c r="H71" s="27">
        <v>2.4</v>
      </c>
      <c r="I71" s="27">
        <v>2.4</v>
      </c>
      <c r="J71" s="27">
        <v>2.4</v>
      </c>
      <c r="K71" s="27">
        <v>2.4</v>
      </c>
      <c r="L71" s="27">
        <v>2.4</v>
      </c>
      <c r="M71" s="27">
        <v>2.4</v>
      </c>
      <c r="N71" s="27">
        <v>2.4</v>
      </c>
      <c r="O71" s="27">
        <v>2.4</v>
      </c>
      <c r="P71" s="27">
        <v>2.4</v>
      </c>
      <c r="Q71" s="27">
        <v>2.4</v>
      </c>
      <c r="R71" s="27">
        <v>2.4</v>
      </c>
      <c r="S71" s="27">
        <v>2.4</v>
      </c>
      <c r="T71" s="27">
        <v>2.4</v>
      </c>
      <c r="U71" s="27">
        <v>2.4</v>
      </c>
      <c r="V71" s="27">
        <v>2.4</v>
      </c>
      <c r="W71" s="27">
        <v>2.4</v>
      </c>
      <c r="X71" s="27">
        <v>2.4</v>
      </c>
      <c r="Y71" s="27">
        <v>2.4</v>
      </c>
      <c r="Z71" s="27">
        <v>2.4</v>
      </c>
      <c r="AA71" s="27">
        <v>2.4</v>
      </c>
    </row>
    <row r="72" spans="1:27">
      <c r="A72" t="s">
        <v>953</v>
      </c>
      <c r="B72">
        <v>710320</v>
      </c>
      <c r="C72" s="27">
        <v>5</v>
      </c>
      <c r="D72" s="27">
        <v>5</v>
      </c>
      <c r="E72" s="27">
        <v>5</v>
      </c>
      <c r="F72" s="27">
        <v>5</v>
      </c>
      <c r="G72" s="27">
        <v>5</v>
      </c>
      <c r="H72" s="27">
        <v>5</v>
      </c>
      <c r="I72" s="27">
        <v>5</v>
      </c>
      <c r="J72" s="27">
        <v>5</v>
      </c>
      <c r="K72" s="27">
        <v>5</v>
      </c>
      <c r="L72" s="27">
        <v>5</v>
      </c>
      <c r="M72" s="27">
        <v>5</v>
      </c>
      <c r="N72" s="27">
        <v>5</v>
      </c>
      <c r="O72" s="27">
        <v>5</v>
      </c>
      <c r="P72" s="27">
        <v>5</v>
      </c>
      <c r="Q72" s="27">
        <v>5</v>
      </c>
      <c r="R72" s="27">
        <v>5</v>
      </c>
      <c r="S72" s="27">
        <v>5</v>
      </c>
      <c r="T72" s="27">
        <v>5</v>
      </c>
      <c r="U72" s="27">
        <v>5</v>
      </c>
      <c r="V72" s="27">
        <v>5</v>
      </c>
      <c r="W72" s="27">
        <v>5</v>
      </c>
      <c r="X72" s="27">
        <v>5</v>
      </c>
      <c r="Y72" s="27">
        <v>5</v>
      </c>
      <c r="Z72" s="27">
        <v>5</v>
      </c>
      <c r="AA72" s="27">
        <v>5</v>
      </c>
    </row>
    <row r="73" spans="1:27">
      <c r="A73" t="s">
        <v>954</v>
      </c>
      <c r="B73">
        <v>710336</v>
      </c>
      <c r="C73" s="27">
        <v>2.4</v>
      </c>
      <c r="D73" s="27">
        <v>2.4</v>
      </c>
      <c r="E73" s="27">
        <v>2.4</v>
      </c>
      <c r="F73" s="27">
        <v>2.4</v>
      </c>
      <c r="G73" s="27">
        <v>2.4</v>
      </c>
      <c r="H73" s="27">
        <v>2.4</v>
      </c>
      <c r="I73" s="27">
        <v>2.4</v>
      </c>
      <c r="J73" s="27">
        <v>2.4</v>
      </c>
      <c r="K73" s="27">
        <v>2.4</v>
      </c>
      <c r="L73" s="27">
        <v>2.4</v>
      </c>
      <c r="M73" s="27">
        <v>2.4</v>
      </c>
      <c r="N73" s="27">
        <v>2.4</v>
      </c>
      <c r="O73" s="27">
        <v>2.4</v>
      </c>
      <c r="P73" s="27">
        <v>2.4</v>
      </c>
      <c r="Q73" s="27">
        <v>2.4</v>
      </c>
      <c r="R73" s="27">
        <v>2.4</v>
      </c>
      <c r="S73" s="27">
        <v>2.4</v>
      </c>
      <c r="T73" s="27">
        <v>2.4</v>
      </c>
      <c r="U73" s="27">
        <v>2.4</v>
      </c>
      <c r="V73" s="27">
        <v>2.4</v>
      </c>
      <c r="W73" s="27">
        <v>2.4</v>
      </c>
      <c r="X73" s="27">
        <v>2.4</v>
      </c>
      <c r="Y73" s="27">
        <v>2.4</v>
      </c>
      <c r="Z73" s="27">
        <v>2.4</v>
      </c>
      <c r="AA73" s="27">
        <v>2.4</v>
      </c>
    </row>
    <row r="74" spans="1:27">
      <c r="A74" t="s">
        <v>128</v>
      </c>
      <c r="B74">
        <v>710338</v>
      </c>
      <c r="C74" s="27">
        <v>5.43</v>
      </c>
      <c r="D74" s="27">
        <v>5.43</v>
      </c>
      <c r="E74" s="27">
        <v>5.43</v>
      </c>
      <c r="F74" s="27">
        <v>5.43</v>
      </c>
      <c r="G74" s="27">
        <v>5.43</v>
      </c>
      <c r="H74" s="27">
        <v>5.43</v>
      </c>
      <c r="I74" s="27">
        <v>5.43</v>
      </c>
      <c r="J74" s="27">
        <v>5.43</v>
      </c>
      <c r="K74" s="27">
        <v>5.43</v>
      </c>
      <c r="L74" s="27">
        <v>5.43</v>
      </c>
      <c r="M74" s="27">
        <v>5.43</v>
      </c>
      <c r="N74" s="27">
        <v>5.43</v>
      </c>
      <c r="O74" s="27">
        <v>5.43</v>
      </c>
      <c r="P74" s="27">
        <v>5.43</v>
      </c>
      <c r="Q74" s="27">
        <v>5.43</v>
      </c>
      <c r="R74" s="27">
        <v>5.43</v>
      </c>
      <c r="S74" s="27">
        <v>5.43</v>
      </c>
      <c r="T74" s="27">
        <v>5.43</v>
      </c>
      <c r="U74" s="27">
        <v>5.43</v>
      </c>
      <c r="V74" s="27">
        <v>5.43</v>
      </c>
      <c r="W74" s="27">
        <v>5.43</v>
      </c>
      <c r="X74" s="27">
        <v>5.43</v>
      </c>
      <c r="Y74" s="27">
        <v>5.43</v>
      </c>
      <c r="Z74" s="27">
        <v>5.43</v>
      </c>
      <c r="AA74" s="27">
        <v>5.43</v>
      </c>
    </row>
    <row r="75" spans="1:27">
      <c r="A75" t="s">
        <v>12</v>
      </c>
      <c r="B75" t="s">
        <v>12</v>
      </c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spans="1:27">
      <c r="A76" t="s">
        <v>955</v>
      </c>
      <c r="C76" s="27">
        <v>7.66</v>
      </c>
      <c r="D76" s="27">
        <v>7.66</v>
      </c>
      <c r="E76" s="27">
        <v>7.66</v>
      </c>
      <c r="F76" s="27">
        <v>7.66</v>
      </c>
      <c r="G76" s="27">
        <v>7.67</v>
      </c>
      <c r="H76" s="27">
        <v>7.67</v>
      </c>
      <c r="I76" s="27">
        <v>7.67</v>
      </c>
      <c r="J76" s="27">
        <v>7.67</v>
      </c>
      <c r="K76" s="27">
        <v>7.67</v>
      </c>
      <c r="L76" s="27">
        <v>7.58</v>
      </c>
      <c r="M76" s="27">
        <v>7.58</v>
      </c>
      <c r="N76" s="27">
        <v>7.58</v>
      </c>
      <c r="O76" s="27">
        <v>7.59</v>
      </c>
      <c r="P76" s="27">
        <v>7.59</v>
      </c>
      <c r="Q76" s="27">
        <v>7.59</v>
      </c>
      <c r="R76" s="27">
        <v>7.59</v>
      </c>
      <c r="S76" s="27">
        <v>7.59</v>
      </c>
      <c r="T76" s="27">
        <v>7.59</v>
      </c>
      <c r="U76" s="27">
        <v>7.59</v>
      </c>
      <c r="V76" s="27">
        <v>7.59</v>
      </c>
      <c r="W76" s="27">
        <v>7.6</v>
      </c>
      <c r="X76" s="27">
        <v>7.6</v>
      </c>
      <c r="Y76" s="27">
        <v>7.6</v>
      </c>
      <c r="Z76" s="27">
        <v>7.6</v>
      </c>
      <c r="AA76" s="27">
        <v>7.62</v>
      </c>
    </row>
    <row r="77" spans="1:27"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spans="1:27">
      <c r="A78" t="s">
        <v>133</v>
      </c>
      <c r="B78">
        <v>710340</v>
      </c>
      <c r="C78" s="27">
        <v>8.01</v>
      </c>
      <c r="D78" s="27">
        <v>8.01</v>
      </c>
      <c r="E78" s="27">
        <v>8.01</v>
      </c>
      <c r="F78" s="27">
        <v>8.01</v>
      </c>
      <c r="G78" s="27">
        <v>8.01</v>
      </c>
      <c r="H78" s="27">
        <v>8.01</v>
      </c>
      <c r="I78" s="27">
        <v>8.01</v>
      </c>
      <c r="J78" s="27">
        <v>8.01</v>
      </c>
      <c r="K78" s="27">
        <v>6.15</v>
      </c>
      <c r="L78" s="27">
        <v>5.7</v>
      </c>
      <c r="M78" s="27">
        <v>5.7</v>
      </c>
      <c r="N78" s="27">
        <v>5.71</v>
      </c>
      <c r="O78" s="27">
        <v>5.73</v>
      </c>
      <c r="P78" s="27">
        <v>5.73</v>
      </c>
      <c r="Q78" s="27">
        <v>5.73</v>
      </c>
      <c r="R78" s="27">
        <v>5.73</v>
      </c>
      <c r="S78" s="27">
        <v>5.74</v>
      </c>
      <c r="T78" s="27">
        <v>5.74</v>
      </c>
      <c r="U78" s="27">
        <v>5.75</v>
      </c>
      <c r="V78" s="27">
        <v>5.75</v>
      </c>
      <c r="W78" s="27">
        <v>5.76</v>
      </c>
      <c r="X78" s="27">
        <v>5.76</v>
      </c>
      <c r="Y78" s="27">
        <v>5.77</v>
      </c>
      <c r="Z78" s="27">
        <v>5.77</v>
      </c>
      <c r="AA78" s="27">
        <v>6.51</v>
      </c>
    </row>
    <row r="79" spans="1:27">
      <c r="A79" t="s">
        <v>956</v>
      </c>
      <c r="B79">
        <v>710341</v>
      </c>
      <c r="C79" s="27">
        <v>4.22</v>
      </c>
      <c r="D79" s="27">
        <v>4.22</v>
      </c>
      <c r="E79" s="27">
        <v>4.22</v>
      </c>
      <c r="F79" s="27">
        <v>4.22</v>
      </c>
      <c r="G79" s="27">
        <v>4.22</v>
      </c>
      <c r="H79" s="27">
        <v>4.22</v>
      </c>
      <c r="I79" s="27">
        <v>4.22</v>
      </c>
      <c r="J79" s="27">
        <v>4.22</v>
      </c>
      <c r="K79" s="27">
        <v>3.73</v>
      </c>
      <c r="L79" s="27">
        <v>3.45</v>
      </c>
      <c r="M79" s="27">
        <v>3.47</v>
      </c>
      <c r="N79" s="27">
        <v>3.48</v>
      </c>
      <c r="O79" s="27">
        <v>3.52</v>
      </c>
      <c r="P79" s="27">
        <v>3.52</v>
      </c>
      <c r="Q79" s="27">
        <v>3.53</v>
      </c>
      <c r="R79" s="27">
        <v>3.53</v>
      </c>
      <c r="S79" s="27">
        <v>3.54</v>
      </c>
      <c r="T79" s="27">
        <v>3.55</v>
      </c>
      <c r="U79" s="27">
        <v>3.56</v>
      </c>
      <c r="V79" s="27">
        <v>3.57</v>
      </c>
      <c r="W79" s="27">
        <v>3.58</v>
      </c>
      <c r="X79" s="27">
        <v>3.59</v>
      </c>
      <c r="Y79" s="27">
        <v>3.6</v>
      </c>
      <c r="Z79" s="27">
        <v>3.61</v>
      </c>
      <c r="AA79" s="27">
        <v>3.77</v>
      </c>
    </row>
    <row r="80" spans="1:27">
      <c r="A80" t="s">
        <v>957</v>
      </c>
      <c r="B80">
        <v>710342</v>
      </c>
      <c r="C80" s="27">
        <v>4.59</v>
      </c>
      <c r="D80" s="27">
        <v>4.59</v>
      </c>
      <c r="E80" s="27">
        <v>4.59</v>
      </c>
      <c r="F80" s="27">
        <v>4.59</v>
      </c>
      <c r="G80" s="27">
        <v>4.59</v>
      </c>
      <c r="H80" s="27">
        <v>4.59</v>
      </c>
      <c r="I80" s="27">
        <v>4.59</v>
      </c>
      <c r="J80" s="27">
        <v>4.59</v>
      </c>
      <c r="K80" s="27">
        <v>3.42</v>
      </c>
      <c r="L80" s="27">
        <v>2.99</v>
      </c>
      <c r="M80" s="27">
        <v>3.02</v>
      </c>
      <c r="N80" s="27">
        <v>3.05</v>
      </c>
      <c r="O80" s="27">
        <v>3.11</v>
      </c>
      <c r="P80" s="27">
        <v>3.12</v>
      </c>
      <c r="Q80" s="27">
        <v>3.14</v>
      </c>
      <c r="R80" s="27">
        <v>3.15</v>
      </c>
      <c r="S80" s="27">
        <v>3.16</v>
      </c>
      <c r="T80" s="27">
        <v>3.17</v>
      </c>
      <c r="U80" s="27">
        <v>3.19</v>
      </c>
      <c r="V80" s="27">
        <v>3.21</v>
      </c>
      <c r="W80" s="27">
        <v>3.23</v>
      </c>
      <c r="X80" s="27">
        <v>3.25</v>
      </c>
      <c r="Y80" s="27">
        <v>3.27</v>
      </c>
      <c r="Z80" s="27">
        <v>3.29</v>
      </c>
      <c r="AA80" s="27">
        <v>3.65</v>
      </c>
    </row>
    <row r="81" spans="1:27">
      <c r="A81" t="s">
        <v>137</v>
      </c>
      <c r="B81">
        <v>710343</v>
      </c>
      <c r="C81" s="27">
        <v>6.59</v>
      </c>
      <c r="D81" s="27">
        <v>6.59</v>
      </c>
      <c r="E81" s="27">
        <v>6.59</v>
      </c>
      <c r="F81" s="27">
        <v>6.59</v>
      </c>
      <c r="G81" s="27">
        <v>6.59</v>
      </c>
      <c r="H81" s="27">
        <v>6.59</v>
      </c>
      <c r="I81" s="27">
        <v>6.59</v>
      </c>
      <c r="J81" s="27">
        <v>6.59</v>
      </c>
      <c r="K81" s="27">
        <v>5.42</v>
      </c>
      <c r="L81" s="27">
        <v>4.99</v>
      </c>
      <c r="M81" s="27">
        <v>5.0199999999999996</v>
      </c>
      <c r="N81" s="27">
        <v>5.05</v>
      </c>
      <c r="O81" s="27">
        <v>5.1100000000000003</v>
      </c>
      <c r="P81" s="27">
        <v>5.12</v>
      </c>
      <c r="Q81" s="27">
        <v>5.14</v>
      </c>
      <c r="R81" s="27">
        <v>5.15</v>
      </c>
      <c r="S81" s="27">
        <v>5.16</v>
      </c>
      <c r="T81" s="27">
        <v>5.17</v>
      </c>
      <c r="U81" s="27">
        <v>5.19</v>
      </c>
      <c r="V81" s="27">
        <v>5.21</v>
      </c>
      <c r="W81" s="27">
        <v>5.23</v>
      </c>
      <c r="X81" s="27">
        <v>5.25</v>
      </c>
      <c r="Y81" s="27">
        <v>5.27</v>
      </c>
      <c r="Z81" s="27">
        <v>5.29</v>
      </c>
      <c r="AA81" s="27">
        <v>5.65</v>
      </c>
    </row>
    <row r="82" spans="1:27">
      <c r="A82" t="s">
        <v>958</v>
      </c>
      <c r="B82">
        <v>710344</v>
      </c>
      <c r="C82" s="27">
        <v>8.5</v>
      </c>
      <c r="D82" s="27">
        <v>8.5</v>
      </c>
      <c r="E82" s="27">
        <v>8.5</v>
      </c>
      <c r="F82" s="27">
        <v>8.5</v>
      </c>
      <c r="G82" s="27">
        <v>8.5</v>
      </c>
      <c r="H82" s="27">
        <v>8.5</v>
      </c>
      <c r="I82" s="27">
        <v>8.5</v>
      </c>
      <c r="J82" s="27">
        <v>8.5</v>
      </c>
      <c r="K82" s="27">
        <v>7.33</v>
      </c>
      <c r="L82" s="27">
        <v>6.9</v>
      </c>
      <c r="M82" s="27">
        <v>6.93</v>
      </c>
      <c r="N82" s="27">
        <v>6.96</v>
      </c>
      <c r="O82" s="27">
        <v>7.02</v>
      </c>
      <c r="P82" s="27">
        <v>7.03</v>
      </c>
      <c r="Q82" s="27">
        <v>7.05</v>
      </c>
      <c r="R82" s="27">
        <v>7.06</v>
      </c>
      <c r="S82" s="27">
        <v>7.07</v>
      </c>
      <c r="T82" s="27">
        <v>7.08</v>
      </c>
      <c r="U82" s="27">
        <v>7.1</v>
      </c>
      <c r="V82" s="27">
        <v>7.12</v>
      </c>
      <c r="W82" s="27">
        <v>7.14</v>
      </c>
      <c r="X82" s="27">
        <v>7.16</v>
      </c>
      <c r="Y82" s="27">
        <v>7.18</v>
      </c>
      <c r="Z82" s="27">
        <v>7.2</v>
      </c>
      <c r="AA82" s="27">
        <v>7.56</v>
      </c>
    </row>
    <row r="83" spans="1:27">
      <c r="A83" t="s">
        <v>959</v>
      </c>
      <c r="B83">
        <v>710346</v>
      </c>
      <c r="C83" s="27">
        <v>6.02</v>
      </c>
      <c r="D83" s="27">
        <v>6.02</v>
      </c>
      <c r="E83" s="27">
        <v>6.02</v>
      </c>
      <c r="F83" s="27">
        <v>6.02</v>
      </c>
      <c r="G83" s="27">
        <v>6.02</v>
      </c>
      <c r="H83" s="27">
        <v>6.02</v>
      </c>
      <c r="I83" s="27">
        <v>6.02</v>
      </c>
      <c r="J83" s="27">
        <v>6.02</v>
      </c>
      <c r="K83" s="27">
        <v>5.27</v>
      </c>
      <c r="L83" s="27">
        <v>4.92</v>
      </c>
      <c r="M83" s="27">
        <v>4.9400000000000004</v>
      </c>
      <c r="N83" s="27">
        <v>4.95</v>
      </c>
      <c r="O83" s="27">
        <v>4.99</v>
      </c>
      <c r="P83" s="27">
        <v>5</v>
      </c>
      <c r="Q83" s="27">
        <v>5.01</v>
      </c>
      <c r="R83" s="27">
        <v>5.0199999999999996</v>
      </c>
      <c r="S83" s="27">
        <v>5.0199999999999996</v>
      </c>
      <c r="T83" s="27">
        <v>5.03</v>
      </c>
      <c r="U83" s="27">
        <v>5.05</v>
      </c>
      <c r="V83" s="27">
        <v>5.0599999999999996</v>
      </c>
      <c r="W83" s="27">
        <v>5.07</v>
      </c>
      <c r="X83" s="27">
        <v>5.08</v>
      </c>
      <c r="Y83" s="27">
        <v>5.0999999999999996</v>
      </c>
      <c r="Z83" s="27">
        <v>5.1100000000000003</v>
      </c>
      <c r="AA83" s="27">
        <v>5.37</v>
      </c>
    </row>
    <row r="84" spans="1:27">
      <c r="A84" t="s">
        <v>960</v>
      </c>
      <c r="B84">
        <v>710347</v>
      </c>
      <c r="C84" s="27">
        <v>4.1100000000000003</v>
      </c>
      <c r="D84" s="27">
        <v>4.1100000000000003</v>
      </c>
      <c r="E84" s="27">
        <v>4.1100000000000003</v>
      </c>
      <c r="F84" s="27">
        <v>4.1100000000000003</v>
      </c>
      <c r="G84" s="27">
        <v>4.1100000000000003</v>
      </c>
      <c r="H84" s="27">
        <v>4.1100000000000003</v>
      </c>
      <c r="I84" s="27">
        <v>4.1100000000000003</v>
      </c>
      <c r="J84" s="27">
        <v>4.1100000000000003</v>
      </c>
      <c r="K84" s="27">
        <v>3.99</v>
      </c>
      <c r="L84" s="27">
        <v>3.79</v>
      </c>
      <c r="M84" s="27">
        <v>3.8</v>
      </c>
      <c r="N84" s="27">
        <v>3.81</v>
      </c>
      <c r="O84" s="27">
        <v>3.82</v>
      </c>
      <c r="P84" s="27">
        <v>3.82</v>
      </c>
      <c r="Q84" s="27">
        <v>3.82</v>
      </c>
      <c r="R84" s="27">
        <v>3.82</v>
      </c>
      <c r="S84" s="27">
        <v>3.83</v>
      </c>
      <c r="T84" s="27">
        <v>3.83</v>
      </c>
      <c r="U84" s="27">
        <v>3.83</v>
      </c>
      <c r="V84" s="27">
        <v>3.84</v>
      </c>
      <c r="W84" s="27">
        <v>3.84</v>
      </c>
      <c r="X84" s="27">
        <v>3.84</v>
      </c>
      <c r="Y84" s="27">
        <v>3.85</v>
      </c>
      <c r="Z84" s="27">
        <v>3.85</v>
      </c>
      <c r="AA84" s="27">
        <v>3.93</v>
      </c>
    </row>
    <row r="85" spans="1:27">
      <c r="A85" t="s">
        <v>961</v>
      </c>
      <c r="B85">
        <v>710348</v>
      </c>
      <c r="C85" s="27">
        <v>5.4</v>
      </c>
      <c r="D85" s="27">
        <v>5.4</v>
      </c>
      <c r="E85" s="27">
        <v>5.4</v>
      </c>
      <c r="F85" s="27">
        <v>5.4</v>
      </c>
      <c r="G85" s="27">
        <v>5.4</v>
      </c>
      <c r="H85" s="27">
        <v>5.4</v>
      </c>
      <c r="I85" s="27">
        <v>5.4</v>
      </c>
      <c r="J85" s="27">
        <v>5.4</v>
      </c>
      <c r="K85" s="27">
        <v>4.91</v>
      </c>
      <c r="L85" s="27">
        <v>4.63</v>
      </c>
      <c r="M85" s="27">
        <v>4.6500000000000004</v>
      </c>
      <c r="N85" s="27">
        <v>4.66</v>
      </c>
      <c r="O85" s="27">
        <v>4.7</v>
      </c>
      <c r="P85" s="27">
        <v>4.7</v>
      </c>
      <c r="Q85" s="27">
        <v>4.71</v>
      </c>
      <c r="R85" s="27">
        <v>4.71</v>
      </c>
      <c r="S85" s="27">
        <v>4.72</v>
      </c>
      <c r="T85" s="27">
        <v>4.7300000000000004</v>
      </c>
      <c r="U85" s="27">
        <v>4.74</v>
      </c>
      <c r="V85" s="27">
        <v>4.75</v>
      </c>
      <c r="W85" s="27">
        <v>4.76</v>
      </c>
      <c r="X85" s="27">
        <v>4.7699999999999996</v>
      </c>
      <c r="Y85" s="27">
        <v>4.78</v>
      </c>
      <c r="Z85" s="27">
        <v>4.79</v>
      </c>
      <c r="AA85" s="27">
        <v>4.95</v>
      </c>
    </row>
    <row r="86" spans="1:27">
      <c r="A86" t="s">
        <v>962</v>
      </c>
      <c r="B86">
        <v>710349</v>
      </c>
      <c r="C86" s="27">
        <v>4.1100000000000003</v>
      </c>
      <c r="D86" s="27">
        <v>4.1100000000000003</v>
      </c>
      <c r="E86" s="27">
        <v>4.1100000000000003</v>
      </c>
      <c r="F86" s="27">
        <v>4.1100000000000003</v>
      </c>
      <c r="G86" s="27">
        <v>4.1100000000000003</v>
      </c>
      <c r="H86" s="27">
        <v>4.1100000000000003</v>
      </c>
      <c r="I86" s="27">
        <v>4.1100000000000003</v>
      </c>
      <c r="J86" s="27">
        <v>4.1100000000000003</v>
      </c>
      <c r="K86" s="27">
        <v>3.99</v>
      </c>
      <c r="L86" s="27">
        <v>3.79</v>
      </c>
      <c r="M86" s="27">
        <v>3.8</v>
      </c>
      <c r="N86" s="27">
        <v>3.81</v>
      </c>
      <c r="O86" s="27">
        <v>3.82</v>
      </c>
      <c r="P86" s="27">
        <v>3.82</v>
      </c>
      <c r="Q86" s="27">
        <v>3.82</v>
      </c>
      <c r="R86" s="27">
        <v>3.82</v>
      </c>
      <c r="S86" s="27">
        <v>3.83</v>
      </c>
      <c r="T86" s="27">
        <v>3.83</v>
      </c>
      <c r="U86" s="27">
        <v>3.83</v>
      </c>
      <c r="V86" s="27">
        <v>3.84</v>
      </c>
      <c r="W86" s="27">
        <v>3.84</v>
      </c>
      <c r="X86" s="27">
        <v>3.84</v>
      </c>
      <c r="Y86" s="27">
        <v>3.85</v>
      </c>
      <c r="Z86" s="27">
        <v>3.85</v>
      </c>
      <c r="AA86" s="27">
        <v>3.93</v>
      </c>
    </row>
    <row r="87" spans="1:27">
      <c r="A87" t="s">
        <v>963</v>
      </c>
      <c r="B87">
        <v>710350</v>
      </c>
      <c r="C87" s="27">
        <v>5.98</v>
      </c>
      <c r="D87" s="27">
        <v>5.98</v>
      </c>
      <c r="E87" s="27">
        <v>5.98</v>
      </c>
      <c r="F87" s="27">
        <v>5.98</v>
      </c>
      <c r="G87" s="27">
        <v>5.98</v>
      </c>
      <c r="H87" s="27">
        <v>5.98</v>
      </c>
      <c r="I87" s="27">
        <v>5.98</v>
      </c>
      <c r="J87" s="27">
        <v>5.98</v>
      </c>
      <c r="K87" s="27">
        <v>5.23</v>
      </c>
      <c r="L87" s="27">
        <v>4.88</v>
      </c>
      <c r="M87" s="27">
        <v>4.9000000000000004</v>
      </c>
      <c r="N87" s="27">
        <v>4.91</v>
      </c>
      <c r="O87" s="27">
        <v>4.95</v>
      </c>
      <c r="P87" s="27">
        <v>4.96</v>
      </c>
      <c r="Q87" s="27">
        <v>4.97</v>
      </c>
      <c r="R87" s="27">
        <v>4.9800000000000004</v>
      </c>
      <c r="S87" s="27">
        <v>4.9800000000000004</v>
      </c>
      <c r="T87" s="27">
        <v>4.99</v>
      </c>
      <c r="U87" s="27">
        <v>5.01</v>
      </c>
      <c r="V87" s="27">
        <v>5.0199999999999996</v>
      </c>
      <c r="W87" s="27">
        <v>5.03</v>
      </c>
      <c r="X87" s="27">
        <v>5.04</v>
      </c>
      <c r="Y87" s="27">
        <v>5.0599999999999996</v>
      </c>
      <c r="Z87" s="27">
        <v>5.07</v>
      </c>
      <c r="AA87" s="27">
        <v>5.33</v>
      </c>
    </row>
    <row r="88" spans="1:27">
      <c r="A88" t="s">
        <v>964</v>
      </c>
      <c r="B88">
        <v>710352</v>
      </c>
      <c r="C88" s="27">
        <v>7.88</v>
      </c>
      <c r="D88" s="27">
        <v>7.88</v>
      </c>
      <c r="E88" s="27">
        <v>7.88</v>
      </c>
      <c r="F88" s="27">
        <v>7.88</v>
      </c>
      <c r="G88" s="27">
        <v>7.88</v>
      </c>
      <c r="H88" s="27">
        <v>7.88</v>
      </c>
      <c r="I88" s="27">
        <v>7.88</v>
      </c>
      <c r="J88" s="27">
        <v>7.88</v>
      </c>
      <c r="K88" s="27">
        <v>6.02</v>
      </c>
      <c r="L88" s="27">
        <v>5.57</v>
      </c>
      <c r="M88" s="27">
        <v>5.57</v>
      </c>
      <c r="N88" s="27">
        <v>5.58</v>
      </c>
      <c r="O88" s="27">
        <v>5.6</v>
      </c>
      <c r="P88" s="27">
        <v>5.6</v>
      </c>
      <c r="Q88" s="27">
        <v>5.6</v>
      </c>
      <c r="R88" s="27">
        <v>5.6</v>
      </c>
      <c r="S88" s="27">
        <v>5.61</v>
      </c>
      <c r="T88" s="27">
        <v>5.61</v>
      </c>
      <c r="U88" s="27">
        <v>5.62</v>
      </c>
      <c r="V88" s="27">
        <v>5.62</v>
      </c>
      <c r="W88" s="27">
        <v>5.63</v>
      </c>
      <c r="X88" s="27">
        <v>5.63</v>
      </c>
      <c r="Y88" s="27">
        <v>5.64</v>
      </c>
      <c r="Z88" s="27">
        <v>5.64</v>
      </c>
      <c r="AA88" s="27">
        <v>6.38</v>
      </c>
    </row>
    <row r="89" spans="1:27">
      <c r="A89" t="s">
        <v>965</v>
      </c>
      <c r="B89">
        <v>710354</v>
      </c>
      <c r="C89" s="27">
        <v>6.5</v>
      </c>
      <c r="D89" s="27">
        <v>6.5</v>
      </c>
      <c r="E89" s="27">
        <v>6.5</v>
      </c>
      <c r="F89" s="27">
        <v>6.5</v>
      </c>
      <c r="G89" s="27">
        <v>6.5</v>
      </c>
      <c r="H89" s="27">
        <v>6.5</v>
      </c>
      <c r="I89" s="27">
        <v>6.5</v>
      </c>
      <c r="J89" s="27">
        <v>6.5</v>
      </c>
      <c r="K89" s="27">
        <v>5.33</v>
      </c>
      <c r="L89" s="27">
        <v>4.9000000000000004</v>
      </c>
      <c r="M89" s="27">
        <v>4.93</v>
      </c>
      <c r="N89" s="27">
        <v>4.96</v>
      </c>
      <c r="O89" s="27">
        <v>5.0199999999999996</v>
      </c>
      <c r="P89" s="27">
        <v>5.03</v>
      </c>
      <c r="Q89" s="27">
        <v>5.05</v>
      </c>
      <c r="R89" s="27">
        <v>5.0599999999999996</v>
      </c>
      <c r="S89" s="27">
        <v>5.07</v>
      </c>
      <c r="T89" s="27">
        <v>5.08</v>
      </c>
      <c r="U89" s="27">
        <v>5.0999999999999996</v>
      </c>
      <c r="V89" s="27">
        <v>5.12</v>
      </c>
      <c r="W89" s="27">
        <v>5.14</v>
      </c>
      <c r="X89" s="27">
        <v>5.16</v>
      </c>
      <c r="Y89" s="27">
        <v>5.18</v>
      </c>
      <c r="Z89" s="27">
        <v>5.2</v>
      </c>
      <c r="AA89" s="27">
        <v>5.56</v>
      </c>
    </row>
    <row r="90" spans="1:27">
      <c r="A90" t="s">
        <v>966</v>
      </c>
      <c r="B90">
        <v>710356</v>
      </c>
      <c r="C90" s="27">
        <v>5.66</v>
      </c>
      <c r="D90" s="27">
        <v>5.66</v>
      </c>
      <c r="E90" s="27">
        <v>5.66</v>
      </c>
      <c r="F90" s="27">
        <v>5.66</v>
      </c>
      <c r="G90" s="27">
        <v>5.66</v>
      </c>
      <c r="H90" s="27">
        <v>5.66</v>
      </c>
      <c r="I90" s="27">
        <v>5.66</v>
      </c>
      <c r="J90" s="27">
        <v>5.66</v>
      </c>
      <c r="K90" s="27">
        <v>4.91</v>
      </c>
      <c r="L90" s="27">
        <v>4.5599999999999996</v>
      </c>
      <c r="M90" s="27">
        <v>4.58</v>
      </c>
      <c r="N90" s="27">
        <v>4.59</v>
      </c>
      <c r="O90" s="27">
        <v>4.63</v>
      </c>
      <c r="P90" s="27">
        <v>4.6399999999999997</v>
      </c>
      <c r="Q90" s="27">
        <v>4.6500000000000004</v>
      </c>
      <c r="R90" s="27">
        <v>4.66</v>
      </c>
      <c r="S90" s="27">
        <v>4.66</v>
      </c>
      <c r="T90" s="27">
        <v>4.67</v>
      </c>
      <c r="U90" s="27">
        <v>4.6900000000000004</v>
      </c>
      <c r="V90" s="27">
        <v>4.7</v>
      </c>
      <c r="W90" s="27">
        <v>4.71</v>
      </c>
      <c r="X90" s="27">
        <v>4.72</v>
      </c>
      <c r="Y90" s="27">
        <v>4.74</v>
      </c>
      <c r="Z90" s="27">
        <v>4.75</v>
      </c>
      <c r="AA90" s="27">
        <v>5.01</v>
      </c>
    </row>
    <row r="91" spans="1:27">
      <c r="A91" t="s">
        <v>967</v>
      </c>
      <c r="B91">
        <v>710358</v>
      </c>
      <c r="C91" s="27">
        <v>5.42</v>
      </c>
      <c r="D91" s="27">
        <v>5.42</v>
      </c>
      <c r="E91" s="27">
        <v>5.42</v>
      </c>
      <c r="F91" s="27">
        <v>5.42</v>
      </c>
      <c r="G91" s="27">
        <v>5.42</v>
      </c>
      <c r="H91" s="27">
        <v>5.42</v>
      </c>
      <c r="I91" s="27">
        <v>5.42</v>
      </c>
      <c r="J91" s="27">
        <v>5.42</v>
      </c>
      <c r="K91" s="27">
        <v>4.93</v>
      </c>
      <c r="L91" s="27">
        <v>4.6500000000000004</v>
      </c>
      <c r="M91" s="27">
        <v>4.67</v>
      </c>
      <c r="N91" s="27">
        <v>4.68</v>
      </c>
      <c r="O91" s="27">
        <v>4.72</v>
      </c>
      <c r="P91" s="27">
        <v>4.72</v>
      </c>
      <c r="Q91" s="27">
        <v>4.7300000000000004</v>
      </c>
      <c r="R91" s="27">
        <v>4.7300000000000004</v>
      </c>
      <c r="S91" s="27">
        <v>4.74</v>
      </c>
      <c r="T91" s="27">
        <v>4.75</v>
      </c>
      <c r="U91" s="27">
        <v>4.76</v>
      </c>
      <c r="V91" s="27">
        <v>4.7699999999999996</v>
      </c>
      <c r="W91" s="27">
        <v>4.78</v>
      </c>
      <c r="X91" s="27">
        <v>4.79</v>
      </c>
      <c r="Y91" s="27">
        <v>4.8</v>
      </c>
      <c r="Z91" s="27">
        <v>4.8099999999999996</v>
      </c>
      <c r="AA91" s="27">
        <v>4.97</v>
      </c>
    </row>
    <row r="92" spans="1:27">
      <c r="A92" t="s">
        <v>968</v>
      </c>
      <c r="B92">
        <v>710397</v>
      </c>
      <c r="C92" s="27">
        <v>6.5</v>
      </c>
      <c r="D92" s="27">
        <v>6.5</v>
      </c>
      <c r="E92" s="27">
        <v>6.5</v>
      </c>
      <c r="F92" s="27">
        <v>6.5</v>
      </c>
      <c r="G92" s="27">
        <v>6.5</v>
      </c>
      <c r="H92" s="27">
        <v>6.5</v>
      </c>
      <c r="I92" s="27">
        <v>6.5</v>
      </c>
      <c r="J92" s="27">
        <v>6.5</v>
      </c>
      <c r="K92" s="27">
        <v>5.33</v>
      </c>
      <c r="L92" s="27">
        <v>4.9000000000000004</v>
      </c>
      <c r="M92" s="27">
        <v>4.93</v>
      </c>
      <c r="N92" s="27">
        <v>4.96</v>
      </c>
      <c r="O92" s="27">
        <v>5.0199999999999996</v>
      </c>
      <c r="P92" s="27">
        <v>5.03</v>
      </c>
      <c r="Q92" s="27">
        <v>5.05</v>
      </c>
      <c r="R92" s="27">
        <v>5.0599999999999996</v>
      </c>
      <c r="S92" s="27">
        <v>5.07</v>
      </c>
      <c r="T92" s="27">
        <v>5.08</v>
      </c>
      <c r="U92" s="27">
        <v>5.0999999999999996</v>
      </c>
      <c r="V92" s="27">
        <v>5.12</v>
      </c>
      <c r="W92" s="27">
        <v>5.14</v>
      </c>
      <c r="X92" s="27">
        <v>5.16</v>
      </c>
      <c r="Y92" s="27">
        <v>5.18</v>
      </c>
      <c r="Z92" s="27">
        <v>5.2</v>
      </c>
      <c r="AA92" s="27">
        <v>5.56</v>
      </c>
    </row>
    <row r="93" spans="1:27">
      <c r="A93" t="s">
        <v>969</v>
      </c>
      <c r="B93">
        <v>710397</v>
      </c>
      <c r="C93" s="27">
        <v>5.77</v>
      </c>
      <c r="D93" s="27">
        <v>5.77</v>
      </c>
      <c r="E93" s="27">
        <v>5.77</v>
      </c>
      <c r="F93" s="27">
        <v>5.77</v>
      </c>
      <c r="G93" s="27">
        <v>5.77</v>
      </c>
      <c r="H93" s="27">
        <v>5.77</v>
      </c>
      <c r="I93" s="27">
        <v>5.77</v>
      </c>
      <c r="J93" s="27">
        <v>5.77</v>
      </c>
      <c r="K93" s="27">
        <v>5.0199999999999996</v>
      </c>
      <c r="L93" s="27">
        <v>4.67</v>
      </c>
      <c r="M93" s="27">
        <v>4.6900000000000004</v>
      </c>
      <c r="N93" s="27">
        <v>4.7</v>
      </c>
      <c r="O93" s="27">
        <v>4.74</v>
      </c>
      <c r="P93" s="27">
        <v>4.75</v>
      </c>
      <c r="Q93" s="27">
        <v>4.76</v>
      </c>
      <c r="R93" s="27">
        <v>4.7699999999999996</v>
      </c>
      <c r="S93" s="27">
        <v>4.7699999999999996</v>
      </c>
      <c r="T93" s="27">
        <v>4.78</v>
      </c>
      <c r="U93" s="27">
        <v>4.8</v>
      </c>
      <c r="V93" s="27">
        <v>4.8099999999999996</v>
      </c>
      <c r="W93" s="27">
        <v>4.82</v>
      </c>
      <c r="X93" s="27">
        <v>4.83</v>
      </c>
      <c r="Y93" s="27">
        <v>4.8499999999999996</v>
      </c>
      <c r="Z93" s="27">
        <v>4.8600000000000003</v>
      </c>
      <c r="AA93" s="27">
        <v>5.12</v>
      </c>
    </row>
    <row r="94" spans="1:27">
      <c r="A94" t="s">
        <v>970</v>
      </c>
      <c r="B94">
        <v>710397</v>
      </c>
      <c r="C94" s="27">
        <v>5.42</v>
      </c>
      <c r="D94" s="27">
        <v>5.42</v>
      </c>
      <c r="E94" s="27">
        <v>5.42</v>
      </c>
      <c r="F94" s="27">
        <v>5.42</v>
      </c>
      <c r="G94" s="27">
        <v>5.42</v>
      </c>
      <c r="H94" s="27">
        <v>5.42</v>
      </c>
      <c r="I94" s="27">
        <v>5.42</v>
      </c>
      <c r="J94" s="27">
        <v>5.42</v>
      </c>
      <c r="K94" s="27">
        <v>4.93</v>
      </c>
      <c r="L94" s="27">
        <v>4.6500000000000004</v>
      </c>
      <c r="M94" s="27">
        <v>4.67</v>
      </c>
      <c r="N94" s="27">
        <v>4.68</v>
      </c>
      <c r="O94" s="27">
        <v>4.72</v>
      </c>
      <c r="P94" s="27">
        <v>4.72</v>
      </c>
      <c r="Q94" s="27">
        <v>4.7300000000000004</v>
      </c>
      <c r="R94" s="27">
        <v>4.7300000000000004</v>
      </c>
      <c r="S94" s="27">
        <v>4.74</v>
      </c>
      <c r="T94" s="27">
        <v>4.75</v>
      </c>
      <c r="U94" s="27">
        <v>4.76</v>
      </c>
      <c r="V94" s="27">
        <v>4.7699999999999996</v>
      </c>
      <c r="W94" s="27">
        <v>4.78</v>
      </c>
      <c r="X94" s="27">
        <v>4.79</v>
      </c>
      <c r="Y94" s="27">
        <v>4.8</v>
      </c>
      <c r="Z94" s="27">
        <v>4.8099999999999996</v>
      </c>
      <c r="AA94" s="27">
        <v>4.97</v>
      </c>
    </row>
    <row r="95" spans="1:27">
      <c r="A95" t="s">
        <v>155</v>
      </c>
      <c r="B95">
        <v>710359</v>
      </c>
      <c r="C95" s="27">
        <v>8.06</v>
      </c>
      <c r="D95" s="27">
        <v>8.06</v>
      </c>
      <c r="E95" s="27">
        <v>8.06</v>
      </c>
      <c r="F95" s="27">
        <v>8.06</v>
      </c>
      <c r="G95" s="27">
        <v>8.06</v>
      </c>
      <c r="H95" s="27">
        <v>8.06</v>
      </c>
      <c r="I95" s="27">
        <v>8.06</v>
      </c>
      <c r="J95" s="27">
        <v>8.06</v>
      </c>
      <c r="K95" s="27">
        <v>6.89</v>
      </c>
      <c r="L95" s="27">
        <v>6.46</v>
      </c>
      <c r="M95" s="27">
        <v>6.49</v>
      </c>
      <c r="N95" s="27">
        <v>6.52</v>
      </c>
      <c r="O95" s="27">
        <v>6.58</v>
      </c>
      <c r="P95" s="27">
        <v>6.59</v>
      </c>
      <c r="Q95" s="27">
        <v>6.61</v>
      </c>
      <c r="R95" s="27">
        <v>6.62</v>
      </c>
      <c r="S95" s="27">
        <v>6.63</v>
      </c>
      <c r="T95" s="27">
        <v>6.64</v>
      </c>
      <c r="U95" s="27">
        <v>6.66</v>
      </c>
      <c r="V95" s="27">
        <v>6.68</v>
      </c>
      <c r="W95" s="27">
        <v>6.7</v>
      </c>
      <c r="X95" s="27">
        <v>6.72</v>
      </c>
      <c r="Y95" s="27">
        <v>6.74</v>
      </c>
      <c r="Z95" s="27">
        <v>6.76</v>
      </c>
      <c r="AA95" s="27">
        <v>7.12</v>
      </c>
    </row>
    <row r="96" spans="1:27">
      <c r="A96" t="s">
        <v>12</v>
      </c>
      <c r="B96" t="s">
        <v>12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spans="1:27">
      <c r="A97" t="s">
        <v>158</v>
      </c>
      <c r="C97" s="27">
        <v>2.16</v>
      </c>
      <c r="D97" s="27">
        <v>2.15</v>
      </c>
      <c r="E97" s="27">
        <v>2.1800000000000002</v>
      </c>
      <c r="F97" s="27">
        <v>2.2200000000000002</v>
      </c>
      <c r="G97" s="27">
        <v>2.2400000000000002</v>
      </c>
      <c r="H97" s="27">
        <v>2.2400000000000002</v>
      </c>
      <c r="I97" s="27">
        <v>2.2400000000000002</v>
      </c>
      <c r="J97" s="27">
        <v>2.23</v>
      </c>
      <c r="K97" s="27">
        <v>1.93</v>
      </c>
      <c r="L97" s="27">
        <v>1.81</v>
      </c>
      <c r="M97" s="27">
        <v>1.82</v>
      </c>
      <c r="N97" s="27">
        <v>1.84</v>
      </c>
      <c r="O97" s="27">
        <v>1.86</v>
      </c>
      <c r="P97" s="27">
        <v>1.87</v>
      </c>
      <c r="Q97" s="27">
        <v>1.87</v>
      </c>
      <c r="R97" s="27">
        <v>1.88</v>
      </c>
      <c r="S97" s="27">
        <v>1.89</v>
      </c>
      <c r="T97" s="27">
        <v>1.9</v>
      </c>
      <c r="U97" s="27">
        <v>1.91</v>
      </c>
      <c r="V97" s="27">
        <v>1.92</v>
      </c>
      <c r="W97" s="27">
        <v>1.93</v>
      </c>
      <c r="X97" s="27">
        <v>1.94</v>
      </c>
      <c r="Y97" s="27">
        <v>1.95</v>
      </c>
      <c r="Z97" s="27">
        <v>1.96</v>
      </c>
      <c r="AA97" s="27">
        <v>2</v>
      </c>
    </row>
    <row r="98" spans="1:27"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spans="1:27">
      <c r="A99" t="s">
        <v>971</v>
      </c>
      <c r="B99">
        <v>710360</v>
      </c>
      <c r="C99" s="27">
        <v>3</v>
      </c>
      <c r="D99" s="27">
        <v>3</v>
      </c>
      <c r="E99" s="27">
        <v>3</v>
      </c>
      <c r="F99" s="27">
        <v>3</v>
      </c>
      <c r="G99" s="27">
        <v>3</v>
      </c>
      <c r="H99" s="27">
        <v>3</v>
      </c>
      <c r="I99" s="27">
        <v>3</v>
      </c>
      <c r="J99" s="27">
        <v>3</v>
      </c>
      <c r="K99" s="27">
        <v>3</v>
      </c>
      <c r="L99" s="27">
        <v>3</v>
      </c>
      <c r="M99" s="27">
        <v>3</v>
      </c>
      <c r="N99" s="27">
        <v>3</v>
      </c>
      <c r="O99" s="27">
        <v>3</v>
      </c>
      <c r="P99" s="27">
        <v>3</v>
      </c>
      <c r="Q99" s="27">
        <v>3</v>
      </c>
      <c r="R99" s="27">
        <v>3</v>
      </c>
      <c r="S99" s="27">
        <v>3</v>
      </c>
      <c r="T99" s="27">
        <v>3</v>
      </c>
      <c r="U99" s="27">
        <v>3</v>
      </c>
      <c r="V99" s="27">
        <v>3</v>
      </c>
      <c r="W99" s="27">
        <v>3</v>
      </c>
      <c r="X99" s="27">
        <v>3</v>
      </c>
      <c r="Y99" s="27">
        <v>3</v>
      </c>
      <c r="Z99" s="27">
        <v>3</v>
      </c>
      <c r="AA99" s="27">
        <v>3</v>
      </c>
    </row>
    <row r="100" spans="1:27">
      <c r="A100" t="s">
        <v>12</v>
      </c>
      <c r="B100" t="s">
        <v>12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spans="1:27">
      <c r="A101" t="s">
        <v>972</v>
      </c>
      <c r="C101" s="27">
        <v>3</v>
      </c>
      <c r="D101" s="27">
        <v>3</v>
      </c>
      <c r="E101" s="27">
        <v>3</v>
      </c>
      <c r="F101" s="27">
        <v>3</v>
      </c>
      <c r="G101" s="27">
        <v>3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  <c r="V101" s="27">
        <v>0</v>
      </c>
      <c r="W101" s="27">
        <v>0</v>
      </c>
      <c r="X101" s="27">
        <v>0</v>
      </c>
      <c r="Y101" s="27">
        <v>0</v>
      </c>
      <c r="Z101" s="27">
        <v>0</v>
      </c>
      <c r="AA101" s="27">
        <v>0.63</v>
      </c>
    </row>
    <row r="102" spans="1:27"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spans="1:27">
      <c r="A103" t="s">
        <v>162</v>
      </c>
      <c r="C103" s="27">
        <v>6.29</v>
      </c>
      <c r="D103" s="27">
        <v>6.29</v>
      </c>
      <c r="E103" s="27">
        <v>6.3</v>
      </c>
      <c r="F103" s="27">
        <v>6.3</v>
      </c>
      <c r="G103" s="27">
        <v>6.32</v>
      </c>
      <c r="H103" s="27">
        <v>6.34</v>
      </c>
      <c r="I103" s="27">
        <v>6.33</v>
      </c>
      <c r="J103" s="27">
        <v>6.33</v>
      </c>
      <c r="K103" s="27">
        <v>6.27</v>
      </c>
      <c r="L103" s="27">
        <v>6.17</v>
      </c>
      <c r="M103" s="27">
        <v>6.18</v>
      </c>
      <c r="N103" s="27">
        <v>6.2</v>
      </c>
      <c r="O103" s="27">
        <v>6.22</v>
      </c>
      <c r="P103" s="27">
        <v>6.23</v>
      </c>
      <c r="Q103" s="27">
        <v>6.25</v>
      </c>
      <c r="R103" s="27">
        <v>6.25</v>
      </c>
      <c r="S103" s="27">
        <v>6.26</v>
      </c>
      <c r="T103" s="27">
        <v>6.26</v>
      </c>
      <c r="U103" s="27">
        <v>6.27</v>
      </c>
      <c r="V103" s="27">
        <v>6.28</v>
      </c>
      <c r="W103" s="27">
        <v>6.3</v>
      </c>
      <c r="X103" s="27">
        <v>6.31</v>
      </c>
      <c r="Y103" s="27">
        <v>6.33</v>
      </c>
      <c r="Z103" s="27">
        <v>6.35</v>
      </c>
      <c r="AA103" s="27">
        <v>6.28</v>
      </c>
    </row>
    <row r="104" spans="1:27"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spans="1:27">
      <c r="A105" t="s">
        <v>973</v>
      </c>
      <c r="B105">
        <v>710361</v>
      </c>
      <c r="C105" s="27">
        <v>3.67</v>
      </c>
      <c r="D105" s="27">
        <v>3.67</v>
      </c>
      <c r="E105" s="27">
        <v>3.67</v>
      </c>
      <c r="F105" s="27">
        <v>3.67</v>
      </c>
      <c r="G105" s="27">
        <v>3.67</v>
      </c>
      <c r="H105" s="27">
        <v>3.67</v>
      </c>
      <c r="I105" s="27">
        <v>3.67</v>
      </c>
      <c r="J105" s="27">
        <v>3.67</v>
      </c>
      <c r="K105" s="27">
        <v>3.67</v>
      </c>
      <c r="L105" s="27">
        <v>3.67</v>
      </c>
      <c r="M105" s="27">
        <v>3.67</v>
      </c>
      <c r="N105" s="27">
        <v>3.67</v>
      </c>
      <c r="O105" s="27">
        <v>3.67</v>
      </c>
      <c r="P105" s="27">
        <v>3.67</v>
      </c>
      <c r="Q105" s="27">
        <v>3.67</v>
      </c>
      <c r="R105" s="27">
        <v>3.67</v>
      </c>
      <c r="S105" s="27">
        <v>3.67</v>
      </c>
      <c r="T105" s="27">
        <v>3.67</v>
      </c>
      <c r="U105" s="27">
        <v>3.67</v>
      </c>
      <c r="V105" s="27">
        <v>3.67</v>
      </c>
      <c r="W105" s="27">
        <v>3.67</v>
      </c>
      <c r="X105" s="27">
        <v>3.67</v>
      </c>
      <c r="Y105" s="27">
        <v>3.67</v>
      </c>
      <c r="Z105" s="27">
        <v>3.67</v>
      </c>
      <c r="AA105" s="27">
        <v>3.67</v>
      </c>
    </row>
    <row r="106" spans="1:27">
      <c r="A106" t="s">
        <v>12</v>
      </c>
      <c r="B106" t="s">
        <v>12</v>
      </c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spans="1:27">
      <c r="A107" t="s">
        <v>974</v>
      </c>
      <c r="C107" s="27">
        <v>3.67</v>
      </c>
      <c r="D107" s="27">
        <v>3.67</v>
      </c>
      <c r="E107" s="27">
        <v>3.67</v>
      </c>
      <c r="F107" s="27">
        <v>3.67</v>
      </c>
      <c r="G107" s="27">
        <v>3.67</v>
      </c>
      <c r="H107" s="27">
        <v>3.67</v>
      </c>
      <c r="I107" s="27">
        <v>3.67</v>
      </c>
      <c r="J107" s="27">
        <v>3.67</v>
      </c>
      <c r="K107" s="27">
        <v>3.67</v>
      </c>
      <c r="L107" s="27">
        <v>3.67</v>
      </c>
      <c r="M107" s="27">
        <v>3.67</v>
      </c>
      <c r="N107" s="27">
        <v>3.67</v>
      </c>
      <c r="O107" s="27">
        <v>3.67</v>
      </c>
      <c r="P107" s="27">
        <v>3.67</v>
      </c>
      <c r="Q107" s="27">
        <v>3.67</v>
      </c>
      <c r="R107" s="27">
        <v>3.67</v>
      </c>
      <c r="S107" s="27">
        <v>3.67</v>
      </c>
      <c r="T107" s="27">
        <v>3.67</v>
      </c>
      <c r="U107" s="27">
        <v>3.67</v>
      </c>
      <c r="V107" s="27">
        <v>3.67</v>
      </c>
      <c r="W107" s="27">
        <v>3.67</v>
      </c>
      <c r="X107" s="27">
        <v>3.67</v>
      </c>
      <c r="Y107" s="27">
        <v>3.67</v>
      </c>
      <c r="Z107" s="27">
        <v>3.67</v>
      </c>
      <c r="AA107" s="27">
        <v>3.67</v>
      </c>
    </row>
    <row r="108" spans="1:27"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spans="1:27">
      <c r="A109" t="s">
        <v>975</v>
      </c>
      <c r="B109">
        <v>710370</v>
      </c>
      <c r="C109" s="27">
        <v>3.6</v>
      </c>
      <c r="D109" s="27">
        <v>3.6</v>
      </c>
      <c r="E109" s="27">
        <v>3.6</v>
      </c>
      <c r="F109" s="27">
        <v>3.6</v>
      </c>
      <c r="G109" s="27">
        <v>3.6</v>
      </c>
      <c r="H109" s="27">
        <v>3.6</v>
      </c>
      <c r="I109" s="27">
        <v>3.6</v>
      </c>
      <c r="J109" s="27">
        <v>3.6</v>
      </c>
      <c r="K109" s="27">
        <v>3.6</v>
      </c>
      <c r="L109" s="27">
        <v>3.6</v>
      </c>
      <c r="M109" s="27">
        <v>3.6</v>
      </c>
      <c r="N109" s="27">
        <v>3.6</v>
      </c>
      <c r="O109" s="27">
        <v>3.6</v>
      </c>
      <c r="P109" s="27">
        <v>3.6</v>
      </c>
      <c r="Q109" s="27">
        <v>3.6</v>
      </c>
      <c r="R109" s="27">
        <v>3.6</v>
      </c>
      <c r="S109" s="27">
        <v>3.6</v>
      </c>
      <c r="T109" s="27">
        <v>3.6</v>
      </c>
      <c r="U109" s="27">
        <v>3.6</v>
      </c>
      <c r="V109" s="27">
        <v>3.6</v>
      </c>
      <c r="W109" s="27">
        <v>3.6</v>
      </c>
      <c r="X109" s="27">
        <v>3.6</v>
      </c>
      <c r="Y109" s="27">
        <v>3.6</v>
      </c>
      <c r="Z109" s="27">
        <v>3.6</v>
      </c>
      <c r="AA109" s="27">
        <v>3.6</v>
      </c>
    </row>
    <row r="110" spans="1:27">
      <c r="A110" t="s">
        <v>976</v>
      </c>
      <c r="B110">
        <v>710372</v>
      </c>
      <c r="C110" s="27">
        <v>3.37</v>
      </c>
      <c r="D110" s="27">
        <v>3.37</v>
      </c>
      <c r="E110" s="27">
        <v>3.37</v>
      </c>
      <c r="F110" s="27">
        <v>3.37</v>
      </c>
      <c r="G110" s="27">
        <v>3.37</v>
      </c>
      <c r="H110" s="27">
        <v>3.37</v>
      </c>
      <c r="I110" s="27">
        <v>3.37</v>
      </c>
      <c r="J110" s="27">
        <v>3.37</v>
      </c>
      <c r="K110" s="27">
        <v>3.37</v>
      </c>
      <c r="L110" s="27">
        <v>3.37</v>
      </c>
      <c r="M110" s="27">
        <v>3.37</v>
      </c>
      <c r="N110" s="27">
        <v>3.37</v>
      </c>
      <c r="O110" s="27">
        <v>3.37</v>
      </c>
      <c r="P110" s="27">
        <v>3.37</v>
      </c>
      <c r="Q110" s="27">
        <v>3.37</v>
      </c>
      <c r="R110" s="27">
        <v>3.37</v>
      </c>
      <c r="S110" s="27">
        <v>3.37</v>
      </c>
      <c r="T110" s="27">
        <v>3.37</v>
      </c>
      <c r="U110" s="27">
        <v>3.37</v>
      </c>
      <c r="V110" s="27">
        <v>3.37</v>
      </c>
      <c r="W110" s="27">
        <v>3.37</v>
      </c>
      <c r="X110" s="27">
        <v>3.37</v>
      </c>
      <c r="Y110" s="27">
        <v>3.37</v>
      </c>
      <c r="Z110" s="27">
        <v>3.37</v>
      </c>
      <c r="AA110" s="27">
        <v>3.37</v>
      </c>
    </row>
    <row r="111" spans="1:27">
      <c r="A111" t="s">
        <v>977</v>
      </c>
      <c r="B111">
        <v>710374</v>
      </c>
      <c r="C111" s="27">
        <v>3.35</v>
      </c>
      <c r="D111" s="27">
        <v>3.35</v>
      </c>
      <c r="E111" s="27">
        <v>3.35</v>
      </c>
      <c r="F111" s="27">
        <v>3.35</v>
      </c>
      <c r="G111" s="27">
        <v>3.35</v>
      </c>
      <c r="H111" s="27">
        <v>3.35</v>
      </c>
      <c r="I111" s="27">
        <v>3.35</v>
      </c>
      <c r="J111" s="27">
        <v>3.35</v>
      </c>
      <c r="K111" s="27">
        <v>0</v>
      </c>
      <c r="L111" s="27">
        <v>0</v>
      </c>
      <c r="M111" s="27">
        <v>0</v>
      </c>
      <c r="N111" s="27">
        <v>0</v>
      </c>
      <c r="O111" s="27">
        <v>0</v>
      </c>
      <c r="P111" s="27">
        <v>0</v>
      </c>
      <c r="Q111" s="27">
        <v>0</v>
      </c>
      <c r="R111" s="27">
        <v>0</v>
      </c>
      <c r="S111" s="27">
        <v>0</v>
      </c>
      <c r="T111" s="27">
        <v>0</v>
      </c>
      <c r="U111" s="27">
        <v>0</v>
      </c>
      <c r="V111" s="27">
        <v>0</v>
      </c>
      <c r="W111" s="27">
        <v>0</v>
      </c>
      <c r="X111" s="27">
        <v>0</v>
      </c>
      <c r="Y111" s="27">
        <v>0</v>
      </c>
      <c r="Z111" s="27">
        <v>0</v>
      </c>
      <c r="AA111" s="27">
        <v>1.1200000000000001</v>
      </c>
    </row>
    <row r="112" spans="1:27">
      <c r="A112" t="s">
        <v>978</v>
      </c>
      <c r="B112">
        <v>710376</v>
      </c>
      <c r="C112" s="27">
        <v>2.9</v>
      </c>
      <c r="D112" s="27">
        <v>2.9</v>
      </c>
      <c r="E112" s="27">
        <v>2.9</v>
      </c>
      <c r="F112" s="27">
        <v>2.9</v>
      </c>
      <c r="G112" s="27">
        <v>2.9</v>
      </c>
      <c r="H112" s="27">
        <v>2.9</v>
      </c>
      <c r="I112" s="27">
        <v>2.9</v>
      </c>
      <c r="J112" s="27">
        <v>2.9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27">
        <v>0</v>
      </c>
      <c r="Q112" s="27">
        <v>0</v>
      </c>
      <c r="R112" s="27">
        <v>0</v>
      </c>
      <c r="S112" s="27">
        <v>0</v>
      </c>
      <c r="T112" s="27">
        <v>0</v>
      </c>
      <c r="U112" s="27">
        <v>0</v>
      </c>
      <c r="V112" s="27">
        <v>0</v>
      </c>
      <c r="W112" s="27">
        <v>0</v>
      </c>
      <c r="X112" s="27">
        <v>0</v>
      </c>
      <c r="Y112" s="27">
        <v>0</v>
      </c>
      <c r="Z112" s="27">
        <v>0</v>
      </c>
      <c r="AA112" s="27">
        <v>0.97</v>
      </c>
    </row>
    <row r="113" spans="1:27">
      <c r="A113" t="s">
        <v>979</v>
      </c>
      <c r="B113">
        <v>710378</v>
      </c>
      <c r="C113" s="27">
        <v>3.02</v>
      </c>
      <c r="D113" s="27">
        <v>3.02</v>
      </c>
      <c r="E113" s="27">
        <v>3.02</v>
      </c>
      <c r="F113" s="27">
        <v>3.02</v>
      </c>
      <c r="G113" s="27">
        <v>3.02</v>
      </c>
      <c r="H113" s="27">
        <v>3.02</v>
      </c>
      <c r="I113" s="27">
        <v>3.02</v>
      </c>
      <c r="J113" s="27">
        <v>3.02</v>
      </c>
      <c r="K113" s="27">
        <v>0</v>
      </c>
      <c r="L113" s="27">
        <v>0</v>
      </c>
      <c r="M113" s="27">
        <v>0</v>
      </c>
      <c r="N113" s="27">
        <v>0</v>
      </c>
      <c r="O113" s="27">
        <v>0</v>
      </c>
      <c r="P113" s="27">
        <v>0</v>
      </c>
      <c r="Q113" s="27">
        <v>0</v>
      </c>
      <c r="R113" s="27">
        <v>0</v>
      </c>
      <c r="S113" s="27">
        <v>0</v>
      </c>
      <c r="T113" s="27">
        <v>0</v>
      </c>
      <c r="U113" s="27">
        <v>0</v>
      </c>
      <c r="V113" s="27">
        <v>0</v>
      </c>
      <c r="W113" s="27">
        <v>0</v>
      </c>
      <c r="X113" s="27">
        <v>0</v>
      </c>
      <c r="Y113" s="27">
        <v>0</v>
      </c>
      <c r="Z113" s="27">
        <v>0</v>
      </c>
      <c r="AA113" s="27">
        <v>1.01</v>
      </c>
    </row>
    <row r="114" spans="1:27">
      <c r="A114" t="s">
        <v>12</v>
      </c>
      <c r="B114" t="s">
        <v>12</v>
      </c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spans="1:27">
      <c r="A115" t="s">
        <v>176</v>
      </c>
      <c r="C115" s="27">
        <v>3.16</v>
      </c>
      <c r="D115" s="27">
        <v>3.16</v>
      </c>
      <c r="E115" s="27">
        <v>3.16</v>
      </c>
      <c r="F115" s="27">
        <v>3.16</v>
      </c>
      <c r="G115" s="27">
        <v>3.16</v>
      </c>
      <c r="H115" s="27">
        <v>3.16</v>
      </c>
      <c r="I115" s="27">
        <v>3.16</v>
      </c>
      <c r="J115" s="27">
        <v>3.16</v>
      </c>
      <c r="K115" s="27">
        <v>0.86</v>
      </c>
      <c r="L115" s="27">
        <v>0.85</v>
      </c>
      <c r="M115" s="27">
        <v>0.84</v>
      </c>
      <c r="N115" s="27">
        <v>0.83</v>
      </c>
      <c r="O115" s="27">
        <v>0.82</v>
      </c>
      <c r="P115" s="27">
        <v>0.81</v>
      </c>
      <c r="Q115" s="27">
        <v>0.8</v>
      </c>
      <c r="R115" s="27">
        <v>0.79</v>
      </c>
      <c r="S115" s="27">
        <v>0.78</v>
      </c>
      <c r="T115" s="27">
        <v>0.77</v>
      </c>
      <c r="U115" s="27">
        <v>0.76</v>
      </c>
      <c r="V115" s="27">
        <v>0.75</v>
      </c>
      <c r="W115" s="27">
        <v>0.75</v>
      </c>
      <c r="X115" s="27">
        <v>0.74</v>
      </c>
      <c r="Y115" s="27">
        <v>0.73</v>
      </c>
      <c r="Z115" s="27">
        <v>0.72</v>
      </c>
      <c r="AA115" s="27">
        <v>1.58</v>
      </c>
    </row>
    <row r="116" spans="1:27"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spans="1:27">
      <c r="A117" t="s">
        <v>980</v>
      </c>
      <c r="B117">
        <v>710404</v>
      </c>
      <c r="C117" s="27">
        <v>6.5</v>
      </c>
      <c r="D117" s="27">
        <v>6.5</v>
      </c>
      <c r="E117" s="27">
        <v>6.5</v>
      </c>
      <c r="F117" s="27">
        <v>6.5</v>
      </c>
      <c r="G117" s="27">
        <v>6.5</v>
      </c>
      <c r="H117" s="27">
        <v>6.5</v>
      </c>
      <c r="I117" s="27">
        <v>6.5</v>
      </c>
      <c r="J117" s="27">
        <v>6.5</v>
      </c>
      <c r="K117" s="27">
        <v>7.38</v>
      </c>
      <c r="L117" s="27">
        <v>7.06</v>
      </c>
      <c r="M117" s="27">
        <v>7.08</v>
      </c>
      <c r="N117" s="27">
        <v>7.1</v>
      </c>
      <c r="O117" s="27">
        <v>7.14</v>
      </c>
      <c r="P117" s="27">
        <v>7.15</v>
      </c>
      <c r="Q117" s="27">
        <v>7.16</v>
      </c>
      <c r="R117" s="27">
        <v>7.17</v>
      </c>
      <c r="S117" s="27">
        <v>7.18</v>
      </c>
      <c r="T117" s="27">
        <v>7.18</v>
      </c>
      <c r="U117" s="27">
        <v>7.2</v>
      </c>
      <c r="V117" s="27">
        <v>7.21</v>
      </c>
      <c r="W117" s="27">
        <v>7.22</v>
      </c>
      <c r="X117" s="27">
        <v>7.24</v>
      </c>
      <c r="Y117" s="27">
        <v>7.25</v>
      </c>
      <c r="Z117" s="27">
        <v>7.27</v>
      </c>
      <c r="AA117" s="27">
        <v>6.96</v>
      </c>
    </row>
    <row r="118" spans="1:27">
      <c r="A118" t="s">
        <v>178</v>
      </c>
      <c r="B118">
        <v>710405</v>
      </c>
      <c r="C118" s="27">
        <v>6.5</v>
      </c>
      <c r="D118" s="27">
        <v>6.5</v>
      </c>
      <c r="E118" s="27">
        <v>6.5</v>
      </c>
      <c r="F118" s="27">
        <v>6.5</v>
      </c>
      <c r="G118" s="27">
        <v>6.5</v>
      </c>
      <c r="H118" s="27">
        <v>6.5</v>
      </c>
      <c r="I118" s="27">
        <v>6.5</v>
      </c>
      <c r="J118" s="27">
        <v>6.5</v>
      </c>
      <c r="K118" s="27">
        <v>7.38</v>
      </c>
      <c r="L118" s="27">
        <v>7.06</v>
      </c>
      <c r="M118" s="27">
        <v>7.08</v>
      </c>
      <c r="N118" s="27">
        <v>7.1</v>
      </c>
      <c r="O118" s="27">
        <v>7.14</v>
      </c>
      <c r="P118" s="27">
        <v>7.15</v>
      </c>
      <c r="Q118" s="27">
        <v>7.16</v>
      </c>
      <c r="R118" s="27">
        <v>7.17</v>
      </c>
      <c r="S118" s="27">
        <v>7.18</v>
      </c>
      <c r="T118" s="27">
        <v>7.18</v>
      </c>
      <c r="U118" s="27">
        <v>7.2</v>
      </c>
      <c r="V118" s="27">
        <v>7.21</v>
      </c>
      <c r="W118" s="27">
        <v>7.22</v>
      </c>
      <c r="X118" s="27">
        <v>7.24</v>
      </c>
      <c r="Y118" s="27">
        <v>7.25</v>
      </c>
      <c r="Z118" s="27">
        <v>7.27</v>
      </c>
      <c r="AA118" s="27">
        <v>6.96</v>
      </c>
    </row>
    <row r="119" spans="1:27">
      <c r="A119" t="s">
        <v>179</v>
      </c>
      <c r="B119">
        <v>710410</v>
      </c>
      <c r="C119" s="27">
        <v>5.35</v>
      </c>
      <c r="D119" s="27">
        <v>5.35</v>
      </c>
      <c r="E119" s="27">
        <v>5.35</v>
      </c>
      <c r="F119" s="27">
        <v>5.35</v>
      </c>
      <c r="G119" s="27">
        <v>5.35</v>
      </c>
      <c r="H119" s="27">
        <v>5.35</v>
      </c>
      <c r="I119" s="27">
        <v>5.35</v>
      </c>
      <c r="J119" s="27">
        <v>5.35</v>
      </c>
      <c r="K119" s="27">
        <v>7.38</v>
      </c>
      <c r="L119" s="27">
        <v>7.06</v>
      </c>
      <c r="M119" s="27">
        <v>7.08</v>
      </c>
      <c r="N119" s="27">
        <v>7.1</v>
      </c>
      <c r="O119" s="27">
        <v>7.14</v>
      </c>
      <c r="P119" s="27">
        <v>7.15</v>
      </c>
      <c r="Q119" s="27">
        <v>7.16</v>
      </c>
      <c r="R119" s="27">
        <v>7.17</v>
      </c>
      <c r="S119" s="27">
        <v>7.18</v>
      </c>
      <c r="T119" s="27">
        <v>7.18</v>
      </c>
      <c r="U119" s="27">
        <v>7.2</v>
      </c>
      <c r="V119" s="27">
        <v>7.21</v>
      </c>
      <c r="W119" s="27">
        <v>7.22</v>
      </c>
      <c r="X119" s="27">
        <v>7.24</v>
      </c>
      <c r="Y119" s="27">
        <v>7.25</v>
      </c>
      <c r="Z119" s="27">
        <v>7.27</v>
      </c>
      <c r="AA119" s="27">
        <v>6.57</v>
      </c>
    </row>
    <row r="120" spans="1:27">
      <c r="A120" t="s">
        <v>180</v>
      </c>
      <c r="B120">
        <v>710406</v>
      </c>
      <c r="C120" s="27">
        <v>3.25</v>
      </c>
      <c r="D120" s="27">
        <v>3.25</v>
      </c>
      <c r="E120" s="27">
        <v>3.25</v>
      </c>
      <c r="F120" s="27">
        <v>3.25</v>
      </c>
      <c r="G120" s="27">
        <v>3.25</v>
      </c>
      <c r="H120" s="27">
        <v>3.25</v>
      </c>
      <c r="I120" s="27">
        <v>3.25</v>
      </c>
      <c r="J120" s="27">
        <v>3.25</v>
      </c>
      <c r="K120" s="27">
        <v>3.25</v>
      </c>
      <c r="L120" s="27">
        <v>3.25</v>
      </c>
      <c r="M120" s="27">
        <v>3.25</v>
      </c>
      <c r="N120" s="27">
        <v>3.25</v>
      </c>
      <c r="O120" s="27">
        <v>3.25</v>
      </c>
      <c r="P120" s="27">
        <v>3.25</v>
      </c>
      <c r="Q120" s="27">
        <v>3.25</v>
      </c>
      <c r="R120" s="27">
        <v>3.25</v>
      </c>
      <c r="S120" s="27">
        <v>3.25</v>
      </c>
      <c r="T120" s="27">
        <v>3.25</v>
      </c>
      <c r="U120" s="27">
        <v>3.25</v>
      </c>
      <c r="V120" s="27">
        <v>3.25</v>
      </c>
      <c r="W120" s="27">
        <v>3.25</v>
      </c>
      <c r="X120" s="27">
        <v>3.25</v>
      </c>
      <c r="Y120" s="27">
        <v>3.25</v>
      </c>
      <c r="Z120" s="27">
        <v>3.25</v>
      </c>
      <c r="AA120" s="27">
        <v>3.25</v>
      </c>
    </row>
    <row r="121" spans="1:27">
      <c r="A121" t="s">
        <v>181</v>
      </c>
      <c r="B121">
        <v>710411</v>
      </c>
      <c r="C121" s="27">
        <v>4.25</v>
      </c>
      <c r="D121" s="27">
        <v>4.25</v>
      </c>
      <c r="E121" s="27">
        <v>4.25</v>
      </c>
      <c r="F121" s="27">
        <v>4.25</v>
      </c>
      <c r="G121" s="27">
        <v>4.25</v>
      </c>
      <c r="H121" s="27">
        <v>4.25</v>
      </c>
      <c r="I121" s="27">
        <v>4.25</v>
      </c>
      <c r="J121" s="27">
        <v>4.25</v>
      </c>
      <c r="K121" s="27">
        <v>4.25</v>
      </c>
      <c r="L121" s="27">
        <v>4.25</v>
      </c>
      <c r="M121" s="27">
        <v>4.25</v>
      </c>
      <c r="N121" s="27">
        <v>4.25</v>
      </c>
      <c r="O121" s="27">
        <v>4.25</v>
      </c>
      <c r="P121" s="27">
        <v>4.25</v>
      </c>
      <c r="Q121" s="27">
        <v>4.25</v>
      </c>
      <c r="R121" s="27">
        <v>4.25</v>
      </c>
      <c r="S121" s="27">
        <v>4.25</v>
      </c>
      <c r="T121" s="27">
        <v>4.25</v>
      </c>
      <c r="U121" s="27">
        <v>4.25</v>
      </c>
      <c r="V121" s="27">
        <v>4.25</v>
      </c>
      <c r="W121" s="27">
        <v>4.25</v>
      </c>
      <c r="X121" s="27">
        <v>4.25</v>
      </c>
      <c r="Y121" s="27">
        <v>4.25</v>
      </c>
      <c r="Z121" s="27">
        <v>4.25</v>
      </c>
      <c r="AA121" s="27">
        <v>4.25</v>
      </c>
    </row>
    <row r="122" spans="1:27">
      <c r="A122" t="s">
        <v>981</v>
      </c>
      <c r="B122">
        <v>710412</v>
      </c>
      <c r="C122" s="27">
        <v>3.25</v>
      </c>
      <c r="D122" s="27">
        <v>3.25</v>
      </c>
      <c r="E122" s="27">
        <v>3.25</v>
      </c>
      <c r="F122" s="27">
        <v>3.25</v>
      </c>
      <c r="G122" s="27">
        <v>3.25</v>
      </c>
      <c r="H122" s="27">
        <v>3.25</v>
      </c>
      <c r="I122" s="27">
        <v>3.25</v>
      </c>
      <c r="J122" s="27">
        <v>3.25</v>
      </c>
      <c r="K122" s="27">
        <v>3.25</v>
      </c>
      <c r="L122" s="27">
        <v>3.25</v>
      </c>
      <c r="M122" s="27">
        <v>3.25</v>
      </c>
      <c r="N122" s="27">
        <v>3.25</v>
      </c>
      <c r="O122" s="27">
        <v>3.25</v>
      </c>
      <c r="P122" s="27">
        <v>3.25</v>
      </c>
      <c r="Q122" s="27">
        <v>3.25</v>
      </c>
      <c r="R122" s="27">
        <v>3.25</v>
      </c>
      <c r="S122" s="27">
        <v>3.25</v>
      </c>
      <c r="T122" s="27">
        <v>3.25</v>
      </c>
      <c r="U122" s="27">
        <v>3.25</v>
      </c>
      <c r="V122" s="27">
        <v>3.25</v>
      </c>
      <c r="W122" s="27">
        <v>3.25</v>
      </c>
      <c r="X122" s="27">
        <v>3.25</v>
      </c>
      <c r="Y122" s="27">
        <v>3.25</v>
      </c>
      <c r="Z122" s="27">
        <v>3.25</v>
      </c>
      <c r="AA122" s="27">
        <v>3.25</v>
      </c>
    </row>
    <row r="123" spans="1:27">
      <c r="A123" t="s">
        <v>12</v>
      </c>
      <c r="B123" t="s">
        <v>12</v>
      </c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spans="1:27">
      <c r="A124" t="s">
        <v>183</v>
      </c>
      <c r="C124" s="27">
        <v>5.73</v>
      </c>
      <c r="D124" s="27">
        <v>5.73</v>
      </c>
      <c r="E124" s="27">
        <v>5.73</v>
      </c>
      <c r="F124" s="27">
        <v>5.72</v>
      </c>
      <c r="G124" s="27">
        <v>5.72</v>
      </c>
      <c r="H124" s="27">
        <v>5.71</v>
      </c>
      <c r="I124" s="27">
        <v>5.71</v>
      </c>
      <c r="J124" s="27">
        <v>5.71</v>
      </c>
      <c r="K124" s="27">
        <v>7.38</v>
      </c>
      <c r="L124" s="27">
        <v>7.06</v>
      </c>
      <c r="M124" s="27">
        <v>7.08</v>
      </c>
      <c r="N124" s="27">
        <v>7.1</v>
      </c>
      <c r="O124" s="27">
        <v>7.14</v>
      </c>
      <c r="P124" s="27">
        <v>7.15</v>
      </c>
      <c r="Q124" s="27">
        <v>7.16</v>
      </c>
      <c r="R124" s="27">
        <v>7.17</v>
      </c>
      <c r="S124" s="27">
        <v>7.18</v>
      </c>
      <c r="T124" s="27">
        <v>7.18</v>
      </c>
      <c r="U124" s="27">
        <v>7.2</v>
      </c>
      <c r="V124" s="27">
        <v>7.21</v>
      </c>
      <c r="W124" s="27">
        <v>7.22</v>
      </c>
      <c r="X124" s="27">
        <v>7.24</v>
      </c>
      <c r="Y124" s="27">
        <v>7.25</v>
      </c>
      <c r="Z124" s="27">
        <v>7.27</v>
      </c>
      <c r="AA124" s="27">
        <v>6.7</v>
      </c>
    </row>
    <row r="125" spans="1:27"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spans="1:27">
      <c r="A126" t="s">
        <v>982</v>
      </c>
      <c r="B126">
        <v>710421</v>
      </c>
      <c r="C126" s="27">
        <v>5.25</v>
      </c>
      <c r="D126" s="27">
        <v>5.25</v>
      </c>
      <c r="E126" s="27">
        <v>5.25</v>
      </c>
      <c r="F126" s="27">
        <v>5.25</v>
      </c>
      <c r="G126" s="27">
        <v>5.25</v>
      </c>
      <c r="H126" s="27">
        <v>5.25</v>
      </c>
      <c r="I126" s="27">
        <v>5.25</v>
      </c>
      <c r="J126" s="27">
        <v>5.25</v>
      </c>
      <c r="K126" s="27">
        <v>5.25</v>
      </c>
      <c r="L126" s="27">
        <v>5.25</v>
      </c>
      <c r="M126" s="27">
        <v>5.25</v>
      </c>
      <c r="N126" s="27">
        <v>5.25</v>
      </c>
      <c r="O126" s="27">
        <v>5.25</v>
      </c>
      <c r="P126" s="27">
        <v>5.25</v>
      </c>
      <c r="Q126" s="27">
        <v>5.25</v>
      </c>
      <c r="R126" s="27">
        <v>5.25</v>
      </c>
      <c r="S126" s="27">
        <v>5.25</v>
      </c>
      <c r="T126" s="27">
        <v>5.25</v>
      </c>
      <c r="U126" s="27">
        <v>5.25</v>
      </c>
      <c r="V126" s="27">
        <v>5.25</v>
      </c>
      <c r="W126" s="27">
        <v>5.25</v>
      </c>
      <c r="X126" s="27">
        <v>5.25</v>
      </c>
      <c r="Y126" s="27">
        <v>5.25</v>
      </c>
      <c r="Z126" s="27">
        <v>5.25</v>
      </c>
      <c r="AA126" s="27">
        <v>5.25</v>
      </c>
    </row>
    <row r="127" spans="1:27">
      <c r="A127" t="s">
        <v>983</v>
      </c>
      <c r="B127">
        <v>710422</v>
      </c>
      <c r="C127" s="27">
        <v>5.5</v>
      </c>
      <c r="D127" s="27">
        <v>5.5</v>
      </c>
      <c r="E127" s="27">
        <v>5.5</v>
      </c>
      <c r="F127" s="27">
        <v>5.5</v>
      </c>
      <c r="G127" s="27">
        <v>5.5</v>
      </c>
      <c r="H127" s="27">
        <v>5.5</v>
      </c>
      <c r="I127" s="27">
        <v>5.5</v>
      </c>
      <c r="J127" s="27">
        <v>5.5</v>
      </c>
      <c r="K127" s="27">
        <v>5.5</v>
      </c>
      <c r="L127" s="27">
        <v>5.5</v>
      </c>
      <c r="M127" s="27">
        <v>5.5</v>
      </c>
      <c r="N127" s="27">
        <v>5.5</v>
      </c>
      <c r="O127" s="27">
        <v>5.5</v>
      </c>
      <c r="P127" s="27">
        <v>5.5</v>
      </c>
      <c r="Q127" s="27">
        <v>5.5</v>
      </c>
      <c r="R127" s="27">
        <v>5.5</v>
      </c>
      <c r="S127" s="27">
        <v>5.5</v>
      </c>
      <c r="T127" s="27">
        <v>5.5</v>
      </c>
      <c r="U127" s="27">
        <v>5.5</v>
      </c>
      <c r="V127" s="27">
        <v>5.5</v>
      </c>
      <c r="W127" s="27">
        <v>5.5</v>
      </c>
      <c r="X127" s="27">
        <v>5.5</v>
      </c>
      <c r="Y127" s="27">
        <v>5.5</v>
      </c>
      <c r="Z127" s="27">
        <v>5.5</v>
      </c>
      <c r="AA127" s="27">
        <v>5.5</v>
      </c>
    </row>
    <row r="128" spans="1:27">
      <c r="A128" t="s">
        <v>186</v>
      </c>
      <c r="B128">
        <v>710415</v>
      </c>
      <c r="C128" s="27">
        <v>8.5</v>
      </c>
      <c r="D128" s="27">
        <v>8.5</v>
      </c>
      <c r="E128" s="27">
        <v>8.5</v>
      </c>
      <c r="F128" s="27">
        <v>8.5</v>
      </c>
      <c r="G128" s="27">
        <v>8.5</v>
      </c>
      <c r="H128" s="27">
        <v>8.5</v>
      </c>
      <c r="I128" s="27">
        <v>8.5</v>
      </c>
      <c r="J128" s="27">
        <v>8.5</v>
      </c>
      <c r="K128" s="27">
        <v>8.25</v>
      </c>
      <c r="L128" s="27">
        <v>8</v>
      </c>
      <c r="M128" s="27">
        <v>8</v>
      </c>
      <c r="N128" s="27">
        <v>7.75</v>
      </c>
      <c r="O128" s="27">
        <v>7.5</v>
      </c>
      <c r="P128" s="27">
        <v>7.5</v>
      </c>
      <c r="Q128" s="27">
        <v>7.5</v>
      </c>
      <c r="R128" s="27">
        <v>7.5</v>
      </c>
      <c r="S128" s="27">
        <v>7.5</v>
      </c>
      <c r="T128" s="27">
        <v>7.25</v>
      </c>
      <c r="U128" s="27">
        <v>7.25</v>
      </c>
      <c r="V128" s="27">
        <v>7.25</v>
      </c>
      <c r="W128" s="27">
        <v>7</v>
      </c>
      <c r="X128" s="27">
        <v>7</v>
      </c>
      <c r="Y128" s="27">
        <v>7</v>
      </c>
      <c r="Z128" s="27">
        <v>7</v>
      </c>
      <c r="AA128" s="27">
        <v>7.8</v>
      </c>
    </row>
    <row r="129" spans="1:27">
      <c r="A129" t="s">
        <v>187</v>
      </c>
      <c r="B129">
        <v>710420</v>
      </c>
      <c r="C129" s="27">
        <v>8.5</v>
      </c>
      <c r="D129" s="27">
        <v>8.5</v>
      </c>
      <c r="E129" s="27">
        <v>8.5</v>
      </c>
      <c r="F129" s="27">
        <v>8.5</v>
      </c>
      <c r="G129" s="27">
        <v>8.5</v>
      </c>
      <c r="H129" s="27">
        <v>8.5</v>
      </c>
      <c r="I129" s="27">
        <v>8.5</v>
      </c>
      <c r="J129" s="27">
        <v>8.5</v>
      </c>
      <c r="K129" s="27">
        <v>8.51</v>
      </c>
      <c r="L129" s="27">
        <v>8.39</v>
      </c>
      <c r="M129" s="27">
        <v>8.14</v>
      </c>
      <c r="N129" s="27">
        <v>8.1300000000000008</v>
      </c>
      <c r="O129" s="27">
        <v>8.1199999999999992</v>
      </c>
      <c r="P129" s="27">
        <v>7.98</v>
      </c>
      <c r="Q129" s="27">
        <v>7.97</v>
      </c>
      <c r="R129" s="27">
        <v>7.95</v>
      </c>
      <c r="S129" s="27">
        <v>7.79</v>
      </c>
      <c r="T129" s="27">
        <v>7.76</v>
      </c>
      <c r="U129" s="27">
        <v>7.74</v>
      </c>
      <c r="V129" s="27">
        <v>7.72</v>
      </c>
      <c r="W129" s="27">
        <v>7.7</v>
      </c>
      <c r="X129" s="27">
        <v>7.69</v>
      </c>
      <c r="Y129" s="27">
        <v>7.51</v>
      </c>
      <c r="Z129" s="27">
        <v>7.49</v>
      </c>
      <c r="AA129" s="27">
        <v>8.11</v>
      </c>
    </row>
    <row r="130" spans="1:27">
      <c r="A130" t="s">
        <v>12</v>
      </c>
      <c r="B130" t="s">
        <v>12</v>
      </c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spans="1:27">
      <c r="A131" t="s">
        <v>188</v>
      </c>
      <c r="C131" s="27">
        <v>8.5</v>
      </c>
      <c r="D131" s="27">
        <v>8.5</v>
      </c>
      <c r="E131" s="27">
        <v>8.5</v>
      </c>
      <c r="F131" s="27">
        <v>8.5</v>
      </c>
      <c r="G131" s="27">
        <v>8.5</v>
      </c>
      <c r="H131" s="27">
        <v>8.5</v>
      </c>
      <c r="I131" s="27">
        <v>8.5</v>
      </c>
      <c r="J131" s="27">
        <v>8.5</v>
      </c>
      <c r="K131" s="27">
        <v>8.51</v>
      </c>
      <c r="L131" s="27">
        <v>8.39</v>
      </c>
      <c r="M131" s="27">
        <v>8.14</v>
      </c>
      <c r="N131" s="27">
        <v>8.1300000000000008</v>
      </c>
      <c r="O131" s="27">
        <v>8.1199999999999992</v>
      </c>
      <c r="P131" s="27">
        <v>7.98</v>
      </c>
      <c r="Q131" s="27">
        <v>7.97</v>
      </c>
      <c r="R131" s="27">
        <v>7.95</v>
      </c>
      <c r="S131" s="27">
        <v>7.79</v>
      </c>
      <c r="T131" s="27">
        <v>7.76</v>
      </c>
      <c r="U131" s="27">
        <v>7.74</v>
      </c>
      <c r="V131" s="27">
        <v>7.72</v>
      </c>
      <c r="W131" s="27">
        <v>7.7</v>
      </c>
      <c r="X131" s="27">
        <v>7.69</v>
      </c>
      <c r="Y131" s="27">
        <v>7.51</v>
      </c>
      <c r="Z131" s="27">
        <v>7.49</v>
      </c>
      <c r="AA131" s="27">
        <v>8.11</v>
      </c>
    </row>
    <row r="132" spans="1:27"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spans="1:27">
      <c r="A133" t="s">
        <v>984</v>
      </c>
      <c r="B133">
        <v>710440</v>
      </c>
      <c r="C133" s="27">
        <v>5.87</v>
      </c>
      <c r="D133" s="27">
        <v>5.87</v>
      </c>
      <c r="E133" s="27">
        <v>5.87</v>
      </c>
      <c r="F133" s="27">
        <v>5.87</v>
      </c>
      <c r="G133" s="27">
        <v>5.87</v>
      </c>
      <c r="H133" s="27">
        <v>5.87</v>
      </c>
      <c r="I133" s="27">
        <v>5.87</v>
      </c>
      <c r="J133" s="27">
        <v>5.87</v>
      </c>
      <c r="K133" s="27">
        <v>5.87</v>
      </c>
      <c r="L133" s="27">
        <v>5.87</v>
      </c>
      <c r="M133" s="27">
        <v>5.87</v>
      </c>
      <c r="N133" s="27">
        <v>5.87</v>
      </c>
      <c r="O133" s="27">
        <v>5.87</v>
      </c>
      <c r="P133" s="27">
        <v>5.87</v>
      </c>
      <c r="Q133" s="27">
        <v>5.87</v>
      </c>
      <c r="R133" s="27">
        <v>5.87</v>
      </c>
      <c r="S133" s="27">
        <v>5.87</v>
      </c>
      <c r="T133" s="27">
        <v>5.87</v>
      </c>
      <c r="U133" s="27">
        <v>5.87</v>
      </c>
      <c r="V133" s="27">
        <v>5.87</v>
      </c>
      <c r="W133" s="27">
        <v>5.87</v>
      </c>
      <c r="X133" s="27">
        <v>5.87</v>
      </c>
      <c r="Y133" s="27">
        <v>5.87</v>
      </c>
      <c r="Z133" s="27">
        <v>5.87</v>
      </c>
      <c r="AA133" s="27">
        <v>5.87</v>
      </c>
    </row>
    <row r="134" spans="1:27">
      <c r="A134" t="s">
        <v>12</v>
      </c>
      <c r="B134" t="s">
        <v>12</v>
      </c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spans="1:27">
      <c r="A135" t="s">
        <v>985</v>
      </c>
      <c r="B135">
        <v>710442</v>
      </c>
      <c r="C135" s="27">
        <v>0</v>
      </c>
      <c r="D135" s="27">
        <v>0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7.72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  <c r="V135" s="27">
        <v>0</v>
      </c>
      <c r="W135" s="27">
        <v>0</v>
      </c>
      <c r="X135" s="27">
        <v>0</v>
      </c>
      <c r="Y135" s="27">
        <v>0</v>
      </c>
      <c r="Z135" s="27">
        <v>0</v>
      </c>
      <c r="AA135" s="27">
        <v>0.32</v>
      </c>
    </row>
    <row r="136" spans="1:27">
      <c r="A136" t="s">
        <v>986</v>
      </c>
      <c r="C136" s="27">
        <v>5.87</v>
      </c>
      <c r="D136" s="27">
        <v>5.87</v>
      </c>
      <c r="E136" s="27">
        <v>5.87</v>
      </c>
      <c r="F136" s="27">
        <v>5.87</v>
      </c>
      <c r="G136" s="27">
        <v>5.87</v>
      </c>
      <c r="H136" s="27">
        <v>5.87</v>
      </c>
      <c r="I136" s="27">
        <v>5.87</v>
      </c>
      <c r="J136" s="27">
        <v>5.87</v>
      </c>
      <c r="K136" s="27">
        <v>5.87</v>
      </c>
      <c r="L136" s="27">
        <v>5.87</v>
      </c>
      <c r="M136" s="27">
        <v>5.87</v>
      </c>
      <c r="N136" s="27">
        <v>5.87</v>
      </c>
      <c r="O136" s="27">
        <v>5.87</v>
      </c>
      <c r="P136" s="27">
        <v>5.87</v>
      </c>
      <c r="Q136" s="27">
        <v>5.87</v>
      </c>
      <c r="R136" s="27">
        <v>5.87</v>
      </c>
      <c r="S136" s="27">
        <v>5.87</v>
      </c>
      <c r="T136" s="27">
        <v>5.87</v>
      </c>
      <c r="U136" s="27">
        <v>5.87</v>
      </c>
      <c r="V136" s="27">
        <v>5.87</v>
      </c>
      <c r="W136" s="27">
        <v>5.87</v>
      </c>
      <c r="X136" s="27">
        <v>5.87</v>
      </c>
      <c r="Y136" s="27">
        <v>5.87</v>
      </c>
      <c r="Z136" s="27">
        <v>5.87</v>
      </c>
      <c r="AA136" s="27">
        <v>5.87</v>
      </c>
    </row>
    <row r="137" spans="1:27"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spans="1:27">
      <c r="A138" t="s">
        <v>987</v>
      </c>
      <c r="B138">
        <v>710460</v>
      </c>
      <c r="C138" s="27">
        <v>8.5</v>
      </c>
      <c r="D138" s="27">
        <v>8.5</v>
      </c>
      <c r="E138" s="27">
        <v>8.5</v>
      </c>
      <c r="F138" s="27">
        <v>8.5</v>
      </c>
      <c r="G138" s="27">
        <v>8.5</v>
      </c>
      <c r="H138" s="27">
        <v>8.5</v>
      </c>
      <c r="I138" s="27">
        <v>8.5</v>
      </c>
      <c r="J138" s="27">
        <v>8.5</v>
      </c>
      <c r="K138" s="27">
        <v>8.16</v>
      </c>
      <c r="L138" s="27">
        <v>8.16</v>
      </c>
      <c r="M138" s="27">
        <v>8.0299999999999994</v>
      </c>
      <c r="N138" s="27">
        <v>7.91</v>
      </c>
      <c r="O138" s="27">
        <v>7.82</v>
      </c>
      <c r="P138" s="27">
        <v>7.74</v>
      </c>
      <c r="Q138" s="27">
        <v>7.66</v>
      </c>
      <c r="R138" s="27">
        <v>7.57</v>
      </c>
      <c r="S138" s="27">
        <v>7.49</v>
      </c>
      <c r="T138" s="27">
        <v>7.41</v>
      </c>
      <c r="U138" s="27">
        <v>7.32</v>
      </c>
      <c r="V138" s="27">
        <v>7.24</v>
      </c>
      <c r="W138" s="27">
        <v>7.16</v>
      </c>
      <c r="X138" s="27">
        <v>7.07</v>
      </c>
      <c r="Y138" s="27">
        <v>6.99</v>
      </c>
      <c r="Z138" s="27">
        <v>6.91</v>
      </c>
      <c r="AA138" s="27">
        <v>7.86</v>
      </c>
    </row>
    <row r="139" spans="1:27">
      <c r="A139" t="s">
        <v>12</v>
      </c>
      <c r="B139" t="s">
        <v>12</v>
      </c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spans="1:27">
      <c r="A140" t="s">
        <v>988</v>
      </c>
      <c r="B140">
        <v>710462</v>
      </c>
      <c r="C140" s="27">
        <v>0</v>
      </c>
      <c r="D140" s="27">
        <v>0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8.43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  <c r="V140" s="27">
        <v>0</v>
      </c>
      <c r="W140" s="27">
        <v>0</v>
      </c>
      <c r="X140" s="27">
        <v>0</v>
      </c>
      <c r="Y140" s="27">
        <v>0</v>
      </c>
      <c r="Z140" s="27">
        <v>0</v>
      </c>
      <c r="AA140" s="27">
        <v>0.35</v>
      </c>
    </row>
    <row r="141" spans="1:27">
      <c r="A141" t="s">
        <v>198</v>
      </c>
      <c r="B141">
        <v>710464</v>
      </c>
      <c r="C141" s="27">
        <v>0</v>
      </c>
      <c r="D141" s="27">
        <v>0</v>
      </c>
      <c r="E141" s="27">
        <v>0</v>
      </c>
      <c r="F141" s="27">
        <v>0</v>
      </c>
      <c r="G141" s="27">
        <v>0</v>
      </c>
      <c r="H141" s="27">
        <v>0</v>
      </c>
      <c r="I141" s="27">
        <v>0</v>
      </c>
      <c r="J141" s="27">
        <v>0</v>
      </c>
      <c r="K141" s="27">
        <v>9.64</v>
      </c>
      <c r="L141" s="27">
        <v>0</v>
      </c>
      <c r="M141" s="27">
        <v>0</v>
      </c>
      <c r="N141" s="27">
        <v>0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  <c r="V141" s="27">
        <v>0</v>
      </c>
      <c r="W141" s="27">
        <v>0</v>
      </c>
      <c r="X141" s="27">
        <v>0</v>
      </c>
      <c r="Y141" s="27">
        <v>0</v>
      </c>
      <c r="Z141" s="27">
        <v>0</v>
      </c>
      <c r="AA141" s="27">
        <v>0.4</v>
      </c>
    </row>
    <row r="142" spans="1:27">
      <c r="A142" t="s">
        <v>989</v>
      </c>
      <c r="B142">
        <v>710466</v>
      </c>
      <c r="C142" s="27">
        <v>0</v>
      </c>
      <c r="D142" s="27">
        <v>0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27">
        <v>0</v>
      </c>
      <c r="K142" s="27">
        <v>8.4700000000000006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  <c r="V142" s="27">
        <v>0</v>
      </c>
      <c r="W142" s="27">
        <v>0</v>
      </c>
      <c r="X142" s="27">
        <v>0</v>
      </c>
      <c r="Y142" s="27">
        <v>0</v>
      </c>
      <c r="Z142" s="27">
        <v>0</v>
      </c>
      <c r="AA142" s="27">
        <v>0.35</v>
      </c>
    </row>
    <row r="143" spans="1:27">
      <c r="A143" t="s">
        <v>990</v>
      </c>
      <c r="B143">
        <v>710468</v>
      </c>
      <c r="C143" s="27">
        <v>0</v>
      </c>
      <c r="D143" s="27">
        <v>0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8.16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  <c r="V143" s="27">
        <v>0</v>
      </c>
      <c r="W143" s="27">
        <v>0</v>
      </c>
      <c r="X143" s="27">
        <v>0</v>
      </c>
      <c r="Y143" s="27">
        <v>0</v>
      </c>
      <c r="Z143" s="27">
        <v>0</v>
      </c>
      <c r="AA143" s="27">
        <v>0.34</v>
      </c>
    </row>
    <row r="144" spans="1:27">
      <c r="A144" t="s">
        <v>991</v>
      </c>
      <c r="C144" s="27">
        <v>8.5399999999999991</v>
      </c>
      <c r="D144" s="27">
        <v>8.5399999999999991</v>
      </c>
      <c r="E144" s="27">
        <v>8.5399999999999991</v>
      </c>
      <c r="F144" s="27">
        <v>8.5399999999999991</v>
      </c>
      <c r="G144" s="27">
        <v>8.5399999999999991</v>
      </c>
      <c r="H144" s="27">
        <v>8.5399999999999991</v>
      </c>
      <c r="I144" s="27">
        <v>8.5399999999999991</v>
      </c>
      <c r="J144" s="27">
        <v>8.5399999999999991</v>
      </c>
      <c r="K144" s="27">
        <v>8.1999999999999993</v>
      </c>
      <c r="L144" s="27">
        <v>8.1999999999999993</v>
      </c>
      <c r="M144" s="27">
        <v>8.07</v>
      </c>
      <c r="N144" s="27">
        <v>7.95</v>
      </c>
      <c r="O144" s="27">
        <v>7.86</v>
      </c>
      <c r="P144" s="27">
        <v>7.78</v>
      </c>
      <c r="Q144" s="27">
        <v>7.7</v>
      </c>
      <c r="R144" s="27">
        <v>7.61</v>
      </c>
      <c r="S144" s="27">
        <v>7.53</v>
      </c>
      <c r="T144" s="27">
        <v>7.45</v>
      </c>
      <c r="U144" s="27">
        <v>7.35</v>
      </c>
      <c r="V144" s="27">
        <v>7.27</v>
      </c>
      <c r="W144" s="27">
        <v>7.19</v>
      </c>
      <c r="X144" s="27">
        <v>7.1</v>
      </c>
      <c r="Y144" s="27">
        <v>7.02</v>
      </c>
      <c r="Z144" s="27">
        <v>6.94</v>
      </c>
      <c r="AA144" s="27">
        <v>7.9</v>
      </c>
    </row>
    <row r="145" spans="1:27"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spans="1:27">
      <c r="A146" t="s">
        <v>992</v>
      </c>
      <c r="B146">
        <v>710505</v>
      </c>
      <c r="C146" s="27">
        <v>7.47</v>
      </c>
      <c r="D146" s="27">
        <v>7.47</v>
      </c>
      <c r="E146" s="27">
        <v>7.47</v>
      </c>
      <c r="F146" s="27">
        <v>7.47</v>
      </c>
      <c r="G146" s="27">
        <v>7.47</v>
      </c>
      <c r="H146" s="27">
        <v>7.47</v>
      </c>
      <c r="I146" s="27">
        <v>7.47</v>
      </c>
      <c r="J146" s="27">
        <v>7.47</v>
      </c>
      <c r="K146" s="27">
        <v>7.03</v>
      </c>
      <c r="L146" s="27">
        <v>6.56</v>
      </c>
      <c r="M146" s="27">
        <v>6.59</v>
      </c>
      <c r="N146" s="27">
        <v>6.63</v>
      </c>
      <c r="O146" s="27">
        <v>6.7</v>
      </c>
      <c r="P146" s="27">
        <v>6.71</v>
      </c>
      <c r="Q146" s="27">
        <v>6.72</v>
      </c>
      <c r="R146" s="27">
        <v>6.74</v>
      </c>
      <c r="S146" s="27">
        <v>6.75</v>
      </c>
      <c r="T146" s="27">
        <v>6.77</v>
      </c>
      <c r="U146" s="27">
        <v>6.79</v>
      </c>
      <c r="V146" s="27">
        <v>6.81</v>
      </c>
      <c r="W146" s="27">
        <v>6.83</v>
      </c>
      <c r="X146" s="27">
        <v>6.86</v>
      </c>
      <c r="Y146" s="27">
        <v>6.88</v>
      </c>
      <c r="Z146" s="27">
        <v>6.9</v>
      </c>
      <c r="AA146" s="27">
        <v>7</v>
      </c>
    </row>
    <row r="147" spans="1:27">
      <c r="A147" t="s">
        <v>993</v>
      </c>
      <c r="B147">
        <v>710510</v>
      </c>
      <c r="C147" s="27">
        <v>6</v>
      </c>
      <c r="D147" s="27">
        <v>6</v>
      </c>
      <c r="E147" s="27">
        <v>6</v>
      </c>
      <c r="F147" s="27">
        <v>6</v>
      </c>
      <c r="G147" s="27">
        <v>6</v>
      </c>
      <c r="H147" s="27">
        <v>6</v>
      </c>
      <c r="I147" s="27">
        <v>6</v>
      </c>
      <c r="J147" s="27">
        <v>6</v>
      </c>
      <c r="K147" s="27">
        <v>5.56</v>
      </c>
      <c r="L147" s="27">
        <v>5.09</v>
      </c>
      <c r="M147" s="27">
        <v>5.12</v>
      </c>
      <c r="N147" s="27">
        <v>5.16</v>
      </c>
      <c r="O147" s="27">
        <v>5.23</v>
      </c>
      <c r="P147" s="27">
        <v>5.24</v>
      </c>
      <c r="Q147" s="27">
        <v>5.25</v>
      </c>
      <c r="R147" s="27">
        <v>5.27</v>
      </c>
      <c r="S147" s="27">
        <v>5.28</v>
      </c>
      <c r="T147" s="27">
        <v>5.3</v>
      </c>
      <c r="U147" s="27">
        <v>5.32</v>
      </c>
      <c r="V147" s="27">
        <v>5.34</v>
      </c>
      <c r="W147" s="27">
        <v>5.36</v>
      </c>
      <c r="X147" s="27">
        <v>5.39</v>
      </c>
      <c r="Y147" s="27">
        <v>5.41</v>
      </c>
      <c r="Z147" s="27">
        <v>5.43</v>
      </c>
      <c r="AA147" s="27">
        <v>5.53</v>
      </c>
    </row>
    <row r="148" spans="1:27">
      <c r="A148" t="s">
        <v>207</v>
      </c>
      <c r="B148">
        <v>710515</v>
      </c>
      <c r="C148" s="27">
        <v>6</v>
      </c>
      <c r="D148" s="27">
        <v>6</v>
      </c>
      <c r="E148" s="27">
        <v>6</v>
      </c>
      <c r="F148" s="27">
        <v>6</v>
      </c>
      <c r="G148" s="27">
        <v>6</v>
      </c>
      <c r="H148" s="27">
        <v>6</v>
      </c>
      <c r="I148" s="27">
        <v>6</v>
      </c>
      <c r="J148" s="27">
        <v>6</v>
      </c>
      <c r="K148" s="27">
        <v>5.56</v>
      </c>
      <c r="L148" s="27">
        <v>5.09</v>
      </c>
      <c r="M148" s="27">
        <v>5.12</v>
      </c>
      <c r="N148" s="27">
        <v>5.16</v>
      </c>
      <c r="O148" s="27">
        <v>5.23</v>
      </c>
      <c r="P148" s="27">
        <v>5.24</v>
      </c>
      <c r="Q148" s="27">
        <v>5.25</v>
      </c>
      <c r="R148" s="27">
        <v>5.27</v>
      </c>
      <c r="S148" s="27">
        <v>5.28</v>
      </c>
      <c r="T148" s="27">
        <v>5.3</v>
      </c>
      <c r="U148" s="27">
        <v>5.32</v>
      </c>
      <c r="V148" s="27">
        <v>5.34</v>
      </c>
      <c r="W148" s="27">
        <v>5.36</v>
      </c>
      <c r="X148" s="27">
        <v>5.39</v>
      </c>
      <c r="Y148" s="27">
        <v>5.41</v>
      </c>
      <c r="Z148" s="27">
        <v>5.43</v>
      </c>
      <c r="AA148" s="27">
        <v>5.53</v>
      </c>
    </row>
    <row r="149" spans="1:27">
      <c r="A149" t="s">
        <v>994</v>
      </c>
      <c r="B149">
        <v>710547</v>
      </c>
      <c r="C149" s="27">
        <v>5</v>
      </c>
      <c r="D149" s="27">
        <v>5</v>
      </c>
      <c r="E149" s="27">
        <v>5</v>
      </c>
      <c r="F149" s="27">
        <v>5</v>
      </c>
      <c r="G149" s="27">
        <v>5</v>
      </c>
      <c r="H149" s="27">
        <v>5</v>
      </c>
      <c r="I149" s="27">
        <v>5</v>
      </c>
      <c r="J149" s="27">
        <v>5</v>
      </c>
      <c r="K149" s="27">
        <v>4.5599999999999996</v>
      </c>
      <c r="L149" s="27">
        <v>4.09</v>
      </c>
      <c r="M149" s="27">
        <v>4.12</v>
      </c>
      <c r="N149" s="27">
        <v>4.16</v>
      </c>
      <c r="O149" s="27">
        <v>4.2300000000000004</v>
      </c>
      <c r="P149" s="27">
        <v>4.24</v>
      </c>
      <c r="Q149" s="27">
        <v>4.25</v>
      </c>
      <c r="R149" s="27">
        <v>4.2699999999999996</v>
      </c>
      <c r="S149" s="27">
        <v>4.28</v>
      </c>
      <c r="T149" s="27">
        <v>4.3</v>
      </c>
      <c r="U149" s="27">
        <v>4.32</v>
      </c>
      <c r="V149" s="27">
        <v>4.34</v>
      </c>
      <c r="W149" s="27">
        <v>4.3600000000000003</v>
      </c>
      <c r="X149" s="27">
        <v>4.3899999999999997</v>
      </c>
      <c r="Y149" s="27">
        <v>4.41</v>
      </c>
      <c r="Z149" s="27">
        <v>4.43</v>
      </c>
      <c r="AA149" s="27">
        <v>4.53</v>
      </c>
    </row>
    <row r="150" spans="1:27">
      <c r="A150" t="s">
        <v>209</v>
      </c>
      <c r="B150">
        <v>710520</v>
      </c>
      <c r="C150" s="27">
        <v>7</v>
      </c>
      <c r="D150" s="27">
        <v>7</v>
      </c>
      <c r="E150" s="27">
        <v>7</v>
      </c>
      <c r="F150" s="27">
        <v>7</v>
      </c>
      <c r="G150" s="27">
        <v>7</v>
      </c>
      <c r="H150" s="27">
        <v>7</v>
      </c>
      <c r="I150" s="27">
        <v>7</v>
      </c>
      <c r="J150" s="27">
        <v>7</v>
      </c>
      <c r="K150" s="27">
        <v>6.56</v>
      </c>
      <c r="L150" s="27">
        <v>6.09</v>
      </c>
      <c r="M150" s="27">
        <v>6.12</v>
      </c>
      <c r="N150" s="27">
        <v>6.16</v>
      </c>
      <c r="O150" s="27">
        <v>6.23</v>
      </c>
      <c r="P150" s="27">
        <v>6.24</v>
      </c>
      <c r="Q150" s="27">
        <v>6.25</v>
      </c>
      <c r="R150" s="27">
        <v>6.27</v>
      </c>
      <c r="S150" s="27">
        <v>6.28</v>
      </c>
      <c r="T150" s="27">
        <v>6.3</v>
      </c>
      <c r="U150" s="27">
        <v>6.32</v>
      </c>
      <c r="V150" s="27">
        <v>6.34</v>
      </c>
      <c r="W150" s="27">
        <v>6.36</v>
      </c>
      <c r="X150" s="27">
        <v>6.39</v>
      </c>
      <c r="Y150" s="27">
        <v>6.41</v>
      </c>
      <c r="Z150" s="27">
        <v>6.43</v>
      </c>
      <c r="AA150" s="27">
        <v>6.53</v>
      </c>
    </row>
    <row r="151" spans="1:27">
      <c r="A151" t="s">
        <v>995</v>
      </c>
      <c r="B151">
        <v>710521</v>
      </c>
      <c r="C151" s="27">
        <v>1</v>
      </c>
      <c r="D151" s="27">
        <v>1</v>
      </c>
      <c r="E151" s="27">
        <v>1</v>
      </c>
      <c r="F151" s="27">
        <v>1</v>
      </c>
      <c r="G151" s="27">
        <v>1</v>
      </c>
      <c r="H151" s="27">
        <v>1</v>
      </c>
      <c r="I151" s="27">
        <v>1</v>
      </c>
      <c r="J151" s="27">
        <v>1</v>
      </c>
      <c r="K151" s="27">
        <v>1</v>
      </c>
      <c r="L151" s="27">
        <v>1</v>
      </c>
      <c r="M151" s="27">
        <v>1</v>
      </c>
      <c r="N151" s="27">
        <v>1</v>
      </c>
      <c r="O151" s="27">
        <v>1</v>
      </c>
      <c r="P151" s="27">
        <v>1</v>
      </c>
      <c r="Q151" s="27">
        <v>1</v>
      </c>
      <c r="R151" s="27">
        <v>1</v>
      </c>
      <c r="S151" s="27">
        <v>1</v>
      </c>
      <c r="T151" s="27">
        <v>1</v>
      </c>
      <c r="U151" s="27">
        <v>1</v>
      </c>
      <c r="V151" s="27">
        <v>1</v>
      </c>
      <c r="W151" s="27">
        <v>1</v>
      </c>
      <c r="X151" s="27">
        <v>1</v>
      </c>
      <c r="Y151" s="27">
        <v>1</v>
      </c>
      <c r="Z151" s="27">
        <v>1</v>
      </c>
      <c r="AA151" s="27">
        <v>1</v>
      </c>
    </row>
    <row r="152" spans="1:27">
      <c r="A152" t="s">
        <v>996</v>
      </c>
      <c r="B152">
        <v>710525</v>
      </c>
      <c r="C152" s="27">
        <v>7.5</v>
      </c>
      <c r="D152" s="27">
        <v>7.5</v>
      </c>
      <c r="E152" s="27">
        <v>7.5</v>
      </c>
      <c r="F152" s="27">
        <v>7.5</v>
      </c>
      <c r="G152" s="27">
        <v>7.5</v>
      </c>
      <c r="H152" s="27">
        <v>7.5</v>
      </c>
      <c r="I152" s="27">
        <v>7.5</v>
      </c>
      <c r="J152" s="27">
        <v>7.5</v>
      </c>
      <c r="K152" s="27">
        <v>7.06</v>
      </c>
      <c r="L152" s="27">
        <v>6.59</v>
      </c>
      <c r="M152" s="27">
        <v>6.62</v>
      </c>
      <c r="N152" s="27">
        <v>6.66</v>
      </c>
      <c r="O152" s="27">
        <v>6.73</v>
      </c>
      <c r="P152" s="27">
        <v>6.74</v>
      </c>
      <c r="Q152" s="27">
        <v>6.75</v>
      </c>
      <c r="R152" s="27">
        <v>6.77</v>
      </c>
      <c r="S152" s="27">
        <v>6.78</v>
      </c>
      <c r="T152" s="27">
        <v>6.8</v>
      </c>
      <c r="U152" s="27">
        <v>6.82</v>
      </c>
      <c r="V152" s="27">
        <v>6.84</v>
      </c>
      <c r="W152" s="27">
        <v>6.86</v>
      </c>
      <c r="X152" s="27">
        <v>6.89</v>
      </c>
      <c r="Y152" s="27">
        <v>6.91</v>
      </c>
      <c r="Z152" s="27">
        <v>6.93</v>
      </c>
      <c r="AA152" s="27">
        <v>7.03</v>
      </c>
    </row>
    <row r="153" spans="1:27">
      <c r="A153" t="s">
        <v>997</v>
      </c>
      <c r="B153">
        <v>710535</v>
      </c>
      <c r="C153" s="27">
        <v>0.25</v>
      </c>
      <c r="D153" s="27">
        <v>0.25</v>
      </c>
      <c r="E153" s="27">
        <v>0.25</v>
      </c>
      <c r="F153" s="27">
        <v>0.25</v>
      </c>
      <c r="G153" s="27">
        <v>0.25</v>
      </c>
      <c r="H153" s="27">
        <v>0.25</v>
      </c>
      <c r="I153" s="27">
        <v>0.25</v>
      </c>
      <c r="J153" s="27">
        <v>0.25</v>
      </c>
      <c r="K153" s="27">
        <v>0.25</v>
      </c>
      <c r="L153" s="27">
        <v>0.25</v>
      </c>
      <c r="M153" s="27">
        <v>0.25</v>
      </c>
      <c r="N153" s="27">
        <v>0.25</v>
      </c>
      <c r="O153" s="27">
        <v>0.25</v>
      </c>
      <c r="P153" s="27">
        <v>0.25</v>
      </c>
      <c r="Q153" s="27">
        <v>0.25</v>
      </c>
      <c r="R153" s="27">
        <v>0.25</v>
      </c>
      <c r="S153" s="27">
        <v>0.25</v>
      </c>
      <c r="T153" s="27">
        <v>0.25</v>
      </c>
      <c r="U153" s="27">
        <v>0.25</v>
      </c>
      <c r="V153" s="27">
        <v>0.25</v>
      </c>
      <c r="W153" s="27">
        <v>0.25</v>
      </c>
      <c r="X153" s="27">
        <v>0.25</v>
      </c>
      <c r="Y153" s="27">
        <v>0.25</v>
      </c>
      <c r="Z153" s="27">
        <v>0.25</v>
      </c>
      <c r="AA153" s="27">
        <v>0.25</v>
      </c>
    </row>
    <row r="154" spans="1:27">
      <c r="A154" t="s">
        <v>998</v>
      </c>
      <c r="B154">
        <v>710540</v>
      </c>
      <c r="C154" s="27">
        <v>4</v>
      </c>
      <c r="D154" s="27">
        <v>4</v>
      </c>
      <c r="E154" s="27">
        <v>4</v>
      </c>
      <c r="F154" s="27">
        <v>4</v>
      </c>
      <c r="G154" s="27">
        <v>4</v>
      </c>
      <c r="H154" s="27">
        <v>4</v>
      </c>
      <c r="I154" s="27">
        <v>4</v>
      </c>
      <c r="J154" s="27">
        <v>4</v>
      </c>
      <c r="K154" s="27">
        <v>4</v>
      </c>
      <c r="L154" s="27">
        <v>4</v>
      </c>
      <c r="M154" s="27">
        <v>4</v>
      </c>
      <c r="N154" s="27">
        <v>4</v>
      </c>
      <c r="O154" s="27">
        <v>4</v>
      </c>
      <c r="P154" s="27">
        <v>4</v>
      </c>
      <c r="Q154" s="27">
        <v>4</v>
      </c>
      <c r="R154" s="27">
        <v>4</v>
      </c>
      <c r="S154" s="27">
        <v>4</v>
      </c>
      <c r="T154" s="27">
        <v>4</v>
      </c>
      <c r="U154" s="27">
        <v>4</v>
      </c>
      <c r="V154" s="27">
        <v>4</v>
      </c>
      <c r="W154" s="27">
        <v>4</v>
      </c>
      <c r="X154" s="27">
        <v>4</v>
      </c>
      <c r="Y154" s="27">
        <v>4</v>
      </c>
      <c r="Z154" s="27">
        <v>4</v>
      </c>
      <c r="AA154" s="27">
        <v>4</v>
      </c>
    </row>
    <row r="155" spans="1:27">
      <c r="A155" t="s">
        <v>215</v>
      </c>
      <c r="B155">
        <v>710545</v>
      </c>
      <c r="C155" s="27">
        <v>8.9499999999999993</v>
      </c>
      <c r="D155" s="27">
        <v>8.9499999999999993</v>
      </c>
      <c r="E155" s="27">
        <v>8.9499999999999993</v>
      </c>
      <c r="F155" s="27">
        <v>8.9499999999999993</v>
      </c>
      <c r="G155" s="27">
        <v>8.9499999999999993</v>
      </c>
      <c r="H155" s="27">
        <v>8.9499999999999993</v>
      </c>
      <c r="I155" s="27">
        <v>8.9499999999999993</v>
      </c>
      <c r="J155" s="27">
        <v>8.9499999999999993</v>
      </c>
      <c r="K155" s="27">
        <v>8.9499999999999993</v>
      </c>
      <c r="L155" s="27">
        <v>8.9499999999999993</v>
      </c>
      <c r="M155" s="27">
        <v>8.9499999999999993</v>
      </c>
      <c r="N155" s="27">
        <v>8.9499999999999993</v>
      </c>
      <c r="O155" s="27">
        <v>8.9499999999999993</v>
      </c>
      <c r="P155" s="27">
        <v>8.9499999999999993</v>
      </c>
      <c r="Q155" s="27">
        <v>8.9499999999999993</v>
      </c>
      <c r="R155" s="27">
        <v>8.9499999999999993</v>
      </c>
      <c r="S155" s="27">
        <v>8.9499999999999993</v>
      </c>
      <c r="T155" s="27">
        <v>8.9499999999999993</v>
      </c>
      <c r="U155" s="27">
        <v>8.9499999999999993</v>
      </c>
      <c r="V155" s="27">
        <v>8.9499999999999993</v>
      </c>
      <c r="W155" s="27">
        <v>8.9499999999999993</v>
      </c>
      <c r="X155" s="27">
        <v>8.9499999999999993</v>
      </c>
      <c r="Y155" s="27">
        <v>8.9499999999999993</v>
      </c>
      <c r="Z155" s="27">
        <v>8.9499999999999993</v>
      </c>
      <c r="AA155" s="27">
        <v>8.9499999999999993</v>
      </c>
    </row>
    <row r="156" spans="1:27">
      <c r="A156" t="s">
        <v>12</v>
      </c>
      <c r="B156" t="s">
        <v>12</v>
      </c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spans="1:27">
      <c r="A157" t="s">
        <v>218</v>
      </c>
      <c r="C157" s="27">
        <v>6.26</v>
      </c>
      <c r="D157" s="27">
        <v>6.26</v>
      </c>
      <c r="E157" s="27">
        <v>6.26</v>
      </c>
      <c r="F157" s="27">
        <v>6.26</v>
      </c>
      <c r="G157" s="27">
        <v>6.26</v>
      </c>
      <c r="H157" s="27">
        <v>6.26</v>
      </c>
      <c r="I157" s="27">
        <v>6.23</v>
      </c>
      <c r="J157" s="27">
        <v>6.19</v>
      </c>
      <c r="K157" s="27">
        <v>5.75</v>
      </c>
      <c r="L157" s="27">
        <v>5.28</v>
      </c>
      <c r="M157" s="27">
        <v>5.31</v>
      </c>
      <c r="N157" s="27">
        <v>5.35</v>
      </c>
      <c r="O157" s="27">
        <v>5.42</v>
      </c>
      <c r="P157" s="27">
        <v>5.43</v>
      </c>
      <c r="Q157" s="27">
        <v>5.44</v>
      </c>
      <c r="R157" s="27">
        <v>5.46</v>
      </c>
      <c r="S157" s="27">
        <v>5.47</v>
      </c>
      <c r="T157" s="27">
        <v>5.49</v>
      </c>
      <c r="U157" s="27">
        <v>5.51</v>
      </c>
      <c r="V157" s="27">
        <v>5.53</v>
      </c>
      <c r="W157" s="27">
        <v>5.55</v>
      </c>
      <c r="X157" s="27">
        <v>5.58</v>
      </c>
      <c r="Y157" s="27">
        <v>5.6</v>
      </c>
      <c r="Z157" s="27">
        <v>5.62</v>
      </c>
      <c r="AA157" s="27">
        <v>5.74</v>
      </c>
    </row>
    <row r="158" spans="1:27"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spans="1:27">
      <c r="A159" t="s">
        <v>999</v>
      </c>
      <c r="B159">
        <v>710550</v>
      </c>
      <c r="C159" s="27">
        <v>8.34</v>
      </c>
      <c r="D159" s="27">
        <v>8.34</v>
      </c>
      <c r="E159" s="27">
        <v>8.34</v>
      </c>
      <c r="F159" s="27">
        <v>8.34</v>
      </c>
      <c r="G159" s="27">
        <v>8.34</v>
      </c>
      <c r="H159" s="27">
        <v>8.34</v>
      </c>
      <c r="I159" s="27">
        <v>8.34</v>
      </c>
      <c r="J159" s="27">
        <v>8.34</v>
      </c>
      <c r="K159" s="27">
        <v>6.48</v>
      </c>
      <c r="L159" s="27">
        <v>6.03</v>
      </c>
      <c r="M159" s="27">
        <v>6.03</v>
      </c>
      <c r="N159" s="27">
        <v>6.04</v>
      </c>
      <c r="O159" s="27">
        <v>6.06</v>
      </c>
      <c r="P159" s="27">
        <v>6.06</v>
      </c>
      <c r="Q159" s="27">
        <v>6.06</v>
      </c>
      <c r="R159" s="27">
        <v>6.06</v>
      </c>
      <c r="S159" s="27">
        <v>6.07</v>
      </c>
      <c r="T159" s="27">
        <v>6.07</v>
      </c>
      <c r="U159" s="27">
        <v>6.08</v>
      </c>
      <c r="V159" s="27">
        <v>6.08</v>
      </c>
      <c r="W159" s="27">
        <v>6.09</v>
      </c>
      <c r="X159" s="27">
        <v>6.09</v>
      </c>
      <c r="Y159" s="27">
        <v>6.1</v>
      </c>
      <c r="Z159" s="27">
        <v>6.1</v>
      </c>
      <c r="AA159" s="27">
        <v>6.84</v>
      </c>
    </row>
    <row r="160" spans="1:27">
      <c r="A160" t="s">
        <v>1000</v>
      </c>
      <c r="B160">
        <v>710555</v>
      </c>
      <c r="C160" s="27">
        <v>8.5</v>
      </c>
      <c r="D160" s="27">
        <v>8.5</v>
      </c>
      <c r="E160" s="27">
        <v>8.5</v>
      </c>
      <c r="F160" s="27">
        <v>8.5</v>
      </c>
      <c r="G160" s="27">
        <v>8.5</v>
      </c>
      <c r="H160" s="27">
        <v>8.5</v>
      </c>
      <c r="I160" s="27">
        <v>8.5</v>
      </c>
      <c r="J160" s="27">
        <v>8.5</v>
      </c>
      <c r="K160" s="27">
        <v>7.25</v>
      </c>
      <c r="L160" s="27">
        <v>7</v>
      </c>
      <c r="M160" s="27">
        <v>7</v>
      </c>
      <c r="N160" s="27">
        <v>6.75</v>
      </c>
      <c r="O160" s="27">
        <v>6.5</v>
      </c>
      <c r="P160" s="27">
        <v>6.5</v>
      </c>
      <c r="Q160" s="27">
        <v>6.5</v>
      </c>
      <c r="R160" s="27">
        <v>6.5</v>
      </c>
      <c r="S160" s="27">
        <v>6.5</v>
      </c>
      <c r="T160" s="27">
        <v>6.25</v>
      </c>
      <c r="U160" s="27">
        <v>6.25</v>
      </c>
      <c r="V160" s="27">
        <v>6.25</v>
      </c>
      <c r="W160" s="27">
        <v>6</v>
      </c>
      <c r="X160" s="27">
        <v>6</v>
      </c>
      <c r="Y160" s="27">
        <v>6</v>
      </c>
      <c r="Z160" s="27">
        <v>6</v>
      </c>
      <c r="AA160" s="27">
        <v>7.14</v>
      </c>
    </row>
    <row r="161" spans="1:27">
      <c r="A161" t="s">
        <v>221</v>
      </c>
      <c r="B161">
        <v>710563</v>
      </c>
      <c r="C161" s="27">
        <v>7.84</v>
      </c>
      <c r="D161" s="27">
        <v>7.84</v>
      </c>
      <c r="E161" s="27">
        <v>7.84</v>
      </c>
      <c r="F161" s="27">
        <v>7.84</v>
      </c>
      <c r="G161" s="27">
        <v>7.84</v>
      </c>
      <c r="H161" s="27">
        <v>7.84</v>
      </c>
      <c r="I161" s="27">
        <v>7.84</v>
      </c>
      <c r="J161" s="27">
        <v>7.84</v>
      </c>
      <c r="K161" s="27">
        <v>6</v>
      </c>
      <c r="L161" s="27">
        <v>5.59</v>
      </c>
      <c r="M161" s="27">
        <v>5.6</v>
      </c>
      <c r="N161" s="27">
        <v>5.6</v>
      </c>
      <c r="O161" s="27">
        <v>5.6</v>
      </c>
      <c r="P161" s="27">
        <v>5.61</v>
      </c>
      <c r="Q161" s="27">
        <v>5.61</v>
      </c>
      <c r="R161" s="27">
        <v>5.61</v>
      </c>
      <c r="S161" s="27">
        <v>5.61</v>
      </c>
      <c r="T161" s="27">
        <v>5.61</v>
      </c>
      <c r="U161" s="27">
        <v>5.61</v>
      </c>
      <c r="V161" s="27">
        <v>5.61</v>
      </c>
      <c r="W161" s="27">
        <v>5.61</v>
      </c>
      <c r="X161" s="27">
        <v>5.62</v>
      </c>
      <c r="Y161" s="27">
        <v>5.62</v>
      </c>
      <c r="Z161" s="27">
        <v>5.62</v>
      </c>
      <c r="AA161" s="27">
        <v>6.37</v>
      </c>
    </row>
    <row r="162" spans="1:27">
      <c r="A162" t="s">
        <v>222</v>
      </c>
      <c r="B162">
        <v>710564</v>
      </c>
      <c r="C162" s="27">
        <v>7.33</v>
      </c>
      <c r="D162" s="27">
        <v>7.33</v>
      </c>
      <c r="E162" s="27">
        <v>7.33</v>
      </c>
      <c r="F162" s="27">
        <v>7.33</v>
      </c>
      <c r="G162" s="27">
        <v>7.33</v>
      </c>
      <c r="H162" s="27">
        <v>7.33</v>
      </c>
      <c r="I162" s="27">
        <v>7.33</v>
      </c>
      <c r="J162" s="27">
        <v>7.33</v>
      </c>
      <c r="K162" s="27">
        <v>5.92</v>
      </c>
      <c r="L162" s="27">
        <v>5.46</v>
      </c>
      <c r="M162" s="27">
        <v>5.48</v>
      </c>
      <c r="N162" s="27">
        <v>5.51</v>
      </c>
      <c r="O162" s="27">
        <v>5.55</v>
      </c>
      <c r="P162" s="27">
        <v>5.56</v>
      </c>
      <c r="Q162" s="27">
        <v>5.57</v>
      </c>
      <c r="R162" s="27">
        <v>5.58</v>
      </c>
      <c r="S162" s="27">
        <v>5.58</v>
      </c>
      <c r="T162" s="27">
        <v>5.59</v>
      </c>
      <c r="U162" s="27">
        <v>5.61</v>
      </c>
      <c r="V162" s="27">
        <v>5.62</v>
      </c>
      <c r="W162" s="27">
        <v>5.64</v>
      </c>
      <c r="X162" s="27">
        <v>5.65</v>
      </c>
      <c r="Y162" s="27">
        <v>5.67</v>
      </c>
      <c r="Z162" s="27">
        <v>5.68</v>
      </c>
      <c r="AA162" s="27">
        <v>6.18</v>
      </c>
    </row>
    <row r="163" spans="1:27">
      <c r="A163" t="s">
        <v>223</v>
      </c>
      <c r="B163">
        <v>710565</v>
      </c>
      <c r="C163" s="27">
        <v>6.99</v>
      </c>
      <c r="D163" s="27">
        <v>6.99</v>
      </c>
      <c r="E163" s="27">
        <v>6.99</v>
      </c>
      <c r="F163" s="27">
        <v>6.99</v>
      </c>
      <c r="G163" s="27">
        <v>6.99</v>
      </c>
      <c r="H163" s="27">
        <v>6.99</v>
      </c>
      <c r="I163" s="27">
        <v>6.99</v>
      </c>
      <c r="J163" s="27">
        <v>6.99</v>
      </c>
      <c r="K163" s="27">
        <v>5.87</v>
      </c>
      <c r="L163" s="27">
        <v>5.44</v>
      </c>
      <c r="M163" s="27">
        <v>5.47</v>
      </c>
      <c r="N163" s="27">
        <v>5.5</v>
      </c>
      <c r="O163" s="27">
        <v>5.56</v>
      </c>
      <c r="P163" s="27">
        <v>5.57</v>
      </c>
      <c r="Q163" s="27">
        <v>5.59</v>
      </c>
      <c r="R163" s="27">
        <v>5.6</v>
      </c>
      <c r="S163" s="27">
        <v>5.61</v>
      </c>
      <c r="T163" s="27">
        <v>5.62</v>
      </c>
      <c r="U163" s="27">
        <v>5.64</v>
      </c>
      <c r="V163" s="27">
        <v>5.66</v>
      </c>
      <c r="W163" s="27">
        <v>5.68</v>
      </c>
      <c r="X163" s="27">
        <v>5.7</v>
      </c>
      <c r="Y163" s="27">
        <v>5.72</v>
      </c>
      <c r="Z163" s="27">
        <v>5.74</v>
      </c>
      <c r="AA163" s="27">
        <v>6.08</v>
      </c>
    </row>
    <row r="164" spans="1:27">
      <c r="A164" t="s">
        <v>224</v>
      </c>
      <c r="B164">
        <v>710570</v>
      </c>
      <c r="C164" s="27">
        <v>6.68</v>
      </c>
      <c r="D164" s="27">
        <v>6.68</v>
      </c>
      <c r="E164" s="27">
        <v>6.68</v>
      </c>
      <c r="F164" s="27">
        <v>6.68</v>
      </c>
      <c r="G164" s="27">
        <v>6.68</v>
      </c>
      <c r="H164" s="27">
        <v>6.68</v>
      </c>
      <c r="I164" s="27">
        <v>6.68</v>
      </c>
      <c r="J164" s="27">
        <v>6.68</v>
      </c>
      <c r="K164" s="27">
        <v>5.98</v>
      </c>
      <c r="L164" s="27">
        <v>5.63</v>
      </c>
      <c r="M164" s="27">
        <v>5.65</v>
      </c>
      <c r="N164" s="27">
        <v>5.66</v>
      </c>
      <c r="O164" s="27">
        <v>5.7</v>
      </c>
      <c r="P164" s="27">
        <v>5.71</v>
      </c>
      <c r="Q164" s="27">
        <v>5.72</v>
      </c>
      <c r="R164" s="27">
        <v>5.73</v>
      </c>
      <c r="S164" s="27">
        <v>5.73</v>
      </c>
      <c r="T164" s="27">
        <v>5.74</v>
      </c>
      <c r="U164" s="27">
        <v>5.76</v>
      </c>
      <c r="V164" s="27">
        <v>5.77</v>
      </c>
      <c r="W164" s="27">
        <v>5.78</v>
      </c>
      <c r="X164" s="27">
        <v>5.79</v>
      </c>
      <c r="Y164" s="27">
        <v>5.81</v>
      </c>
      <c r="Z164" s="27">
        <v>5.82</v>
      </c>
      <c r="AA164" s="27">
        <v>6.06</v>
      </c>
    </row>
    <row r="165" spans="1:27">
      <c r="A165" t="s">
        <v>1001</v>
      </c>
      <c r="B165">
        <v>710575</v>
      </c>
      <c r="C165" s="27">
        <v>9.5</v>
      </c>
      <c r="D165" s="27">
        <v>9.5</v>
      </c>
      <c r="E165" s="27">
        <v>9.5</v>
      </c>
      <c r="F165" s="27">
        <v>9.5</v>
      </c>
      <c r="G165" s="27">
        <v>9.5</v>
      </c>
      <c r="H165" s="27">
        <v>9.5</v>
      </c>
      <c r="I165" s="27">
        <v>9.5</v>
      </c>
      <c r="J165" s="27">
        <v>9.5</v>
      </c>
      <c r="K165" s="27">
        <v>8.25</v>
      </c>
      <c r="L165" s="27">
        <v>8</v>
      </c>
      <c r="M165" s="27">
        <v>8</v>
      </c>
      <c r="N165" s="27">
        <v>7.75</v>
      </c>
      <c r="O165" s="27">
        <v>7.5</v>
      </c>
      <c r="P165" s="27">
        <v>7.5</v>
      </c>
      <c r="Q165" s="27">
        <v>7.5</v>
      </c>
      <c r="R165" s="27">
        <v>7.5</v>
      </c>
      <c r="S165" s="27">
        <v>7.5</v>
      </c>
      <c r="T165" s="27">
        <v>7.25</v>
      </c>
      <c r="U165" s="27">
        <v>7.25</v>
      </c>
      <c r="V165" s="27">
        <v>7.25</v>
      </c>
      <c r="W165" s="27">
        <v>7</v>
      </c>
      <c r="X165" s="27">
        <v>7</v>
      </c>
      <c r="Y165" s="27">
        <v>7</v>
      </c>
      <c r="Z165" s="27">
        <v>7</v>
      </c>
      <c r="AA165" s="27">
        <v>8.14</v>
      </c>
    </row>
    <row r="166" spans="1:27">
      <c r="A166" t="s">
        <v>1002</v>
      </c>
      <c r="B166">
        <v>710580</v>
      </c>
      <c r="C166" s="27">
        <v>4</v>
      </c>
      <c r="D166" s="27">
        <v>4</v>
      </c>
      <c r="E166" s="27">
        <v>4</v>
      </c>
      <c r="F166" s="27">
        <v>4</v>
      </c>
      <c r="G166" s="27">
        <v>4</v>
      </c>
      <c r="H166" s="27">
        <v>4</v>
      </c>
      <c r="I166" s="27">
        <v>4</v>
      </c>
      <c r="J166" s="27">
        <v>4</v>
      </c>
      <c r="K166" s="27">
        <v>4</v>
      </c>
      <c r="L166" s="27">
        <v>4</v>
      </c>
      <c r="M166" s="27">
        <v>4</v>
      </c>
      <c r="N166" s="27">
        <v>4</v>
      </c>
      <c r="O166" s="27">
        <v>4</v>
      </c>
      <c r="P166" s="27">
        <v>4</v>
      </c>
      <c r="Q166" s="27">
        <v>4</v>
      </c>
      <c r="R166" s="27">
        <v>4</v>
      </c>
      <c r="S166" s="27">
        <v>4</v>
      </c>
      <c r="T166" s="27">
        <v>4</v>
      </c>
      <c r="U166" s="27">
        <v>4</v>
      </c>
      <c r="V166" s="27">
        <v>4</v>
      </c>
      <c r="W166" s="27">
        <v>4</v>
      </c>
      <c r="X166" s="27">
        <v>4</v>
      </c>
      <c r="Y166" s="27">
        <v>4</v>
      </c>
      <c r="Z166" s="27">
        <v>4</v>
      </c>
      <c r="AA166" s="27">
        <v>4</v>
      </c>
    </row>
    <row r="167" spans="1:27">
      <c r="A167" t="s">
        <v>1003</v>
      </c>
      <c r="B167">
        <v>710590</v>
      </c>
      <c r="C167" s="27">
        <v>9.75</v>
      </c>
      <c r="D167" s="27">
        <v>9.75</v>
      </c>
      <c r="E167" s="27">
        <v>9.75</v>
      </c>
      <c r="F167" s="27">
        <v>9.75</v>
      </c>
      <c r="G167" s="27">
        <v>9.75</v>
      </c>
      <c r="H167" s="27">
        <v>9.75</v>
      </c>
      <c r="I167" s="27">
        <v>9.75</v>
      </c>
      <c r="J167" s="27">
        <v>9.75</v>
      </c>
      <c r="K167" s="27">
        <v>8.5</v>
      </c>
      <c r="L167" s="27">
        <v>8.25</v>
      </c>
      <c r="M167" s="27">
        <v>8.25</v>
      </c>
      <c r="N167" s="27">
        <v>8</v>
      </c>
      <c r="O167" s="27">
        <v>7.75</v>
      </c>
      <c r="P167" s="27">
        <v>7.75</v>
      </c>
      <c r="Q167" s="27">
        <v>7.75</v>
      </c>
      <c r="R167" s="27">
        <v>7.75</v>
      </c>
      <c r="S167" s="27">
        <v>7.75</v>
      </c>
      <c r="T167" s="27">
        <v>7.5</v>
      </c>
      <c r="U167" s="27">
        <v>7.5</v>
      </c>
      <c r="V167" s="27">
        <v>7.5</v>
      </c>
      <c r="W167" s="27">
        <v>7.25</v>
      </c>
      <c r="X167" s="27">
        <v>7.25</v>
      </c>
      <c r="Y167" s="27">
        <v>7.25</v>
      </c>
      <c r="Z167" s="27">
        <v>7.25</v>
      </c>
      <c r="AA167" s="27">
        <v>8.39</v>
      </c>
    </row>
    <row r="168" spans="1:27">
      <c r="A168" t="s">
        <v>1004</v>
      </c>
      <c r="B168">
        <v>710595</v>
      </c>
      <c r="C168" s="27">
        <v>2.1800000000000002</v>
      </c>
      <c r="D168" s="27">
        <v>2.1800000000000002</v>
      </c>
      <c r="E168" s="27">
        <v>2.1800000000000002</v>
      </c>
      <c r="F168" s="27">
        <v>2.1800000000000002</v>
      </c>
      <c r="G168" s="27">
        <v>2.1800000000000002</v>
      </c>
      <c r="H168" s="27">
        <v>2.1800000000000002</v>
      </c>
      <c r="I168" s="27">
        <v>2.1800000000000002</v>
      </c>
      <c r="J168" s="27">
        <v>2.1800000000000002</v>
      </c>
      <c r="K168" s="27">
        <v>2.1800000000000002</v>
      </c>
      <c r="L168" s="27">
        <v>2.1800000000000002</v>
      </c>
      <c r="M168" s="27">
        <v>2.1800000000000002</v>
      </c>
      <c r="N168" s="27">
        <v>2.1800000000000002</v>
      </c>
      <c r="O168" s="27">
        <v>2.1800000000000002</v>
      </c>
      <c r="P168" s="27">
        <v>2.1800000000000002</v>
      </c>
      <c r="Q168" s="27">
        <v>2.1800000000000002</v>
      </c>
      <c r="R168" s="27">
        <v>2.1800000000000002</v>
      </c>
      <c r="S168" s="27">
        <v>2.1800000000000002</v>
      </c>
      <c r="T168" s="27">
        <v>2.1800000000000002</v>
      </c>
      <c r="U168" s="27">
        <v>2.1800000000000002</v>
      </c>
      <c r="V168" s="27">
        <v>2.1800000000000002</v>
      </c>
      <c r="W168" s="27">
        <v>2.1800000000000002</v>
      </c>
      <c r="X168" s="27">
        <v>2.1800000000000002</v>
      </c>
      <c r="Y168" s="27">
        <v>2.1800000000000002</v>
      </c>
      <c r="Z168" s="27">
        <v>2.1800000000000002</v>
      </c>
      <c r="AA168" s="27">
        <v>2.1800000000000002</v>
      </c>
    </row>
    <row r="169" spans="1:27">
      <c r="A169" t="s">
        <v>12</v>
      </c>
      <c r="B169" t="s">
        <v>12</v>
      </c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spans="1:27">
      <c r="A170" t="s">
        <v>229</v>
      </c>
      <c r="C170" s="27">
        <v>6.73</v>
      </c>
      <c r="D170" s="27">
        <v>6.7</v>
      </c>
      <c r="E170" s="27">
        <v>6.74</v>
      </c>
      <c r="F170" s="27">
        <v>6.77</v>
      </c>
      <c r="G170" s="27">
        <v>6.77</v>
      </c>
      <c r="H170" s="27">
        <v>6.74</v>
      </c>
      <c r="I170" s="27">
        <v>6.72</v>
      </c>
      <c r="J170" s="27">
        <v>6.72</v>
      </c>
      <c r="K170" s="27">
        <v>6.01</v>
      </c>
      <c r="L170" s="27">
        <v>5.67</v>
      </c>
      <c r="M170" s="27">
        <v>5.69</v>
      </c>
      <c r="N170" s="27">
        <v>5.69</v>
      </c>
      <c r="O170" s="27">
        <v>5.72</v>
      </c>
      <c r="P170" s="27">
        <v>5.73</v>
      </c>
      <c r="Q170" s="27">
        <v>5.74</v>
      </c>
      <c r="R170" s="27">
        <v>5.75</v>
      </c>
      <c r="S170" s="27">
        <v>5.75</v>
      </c>
      <c r="T170" s="27">
        <v>5.75</v>
      </c>
      <c r="U170" s="27">
        <v>5.77</v>
      </c>
      <c r="V170" s="27">
        <v>5.78</v>
      </c>
      <c r="W170" s="27">
        <v>5.78</v>
      </c>
      <c r="X170" s="27">
        <v>5.79</v>
      </c>
      <c r="Y170" s="27">
        <v>5.8</v>
      </c>
      <c r="Z170" s="27">
        <v>5.81</v>
      </c>
      <c r="AA170" s="27">
        <v>6.09</v>
      </c>
    </row>
    <row r="171" spans="1:27"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spans="1:27">
      <c r="A172" t="s">
        <v>1005</v>
      </c>
      <c r="B172">
        <v>710585</v>
      </c>
      <c r="C172" s="27">
        <v>0.01</v>
      </c>
      <c r="D172" s="27">
        <v>0.01</v>
      </c>
      <c r="E172" s="27">
        <v>0.01</v>
      </c>
      <c r="F172" s="27">
        <v>0.01</v>
      </c>
      <c r="G172" s="27">
        <v>0.01</v>
      </c>
      <c r="H172" s="27">
        <v>0.01</v>
      </c>
      <c r="I172" s="27">
        <v>0.01</v>
      </c>
      <c r="J172" s="27">
        <v>0.01</v>
      </c>
      <c r="K172" s="27">
        <v>0.01</v>
      </c>
      <c r="L172" s="27">
        <v>0.01</v>
      </c>
      <c r="M172" s="27">
        <v>0.01</v>
      </c>
      <c r="N172" s="27">
        <v>0.01</v>
      </c>
      <c r="O172" s="27">
        <v>0.01</v>
      </c>
      <c r="P172" s="27">
        <v>0.01</v>
      </c>
      <c r="Q172" s="27">
        <v>0.01</v>
      </c>
      <c r="R172" s="27">
        <v>0.01</v>
      </c>
      <c r="S172" s="27">
        <v>0.01</v>
      </c>
      <c r="T172" s="27">
        <v>0.01</v>
      </c>
      <c r="U172" s="27">
        <v>0.01</v>
      </c>
      <c r="V172" s="27">
        <v>0.01</v>
      </c>
      <c r="W172" s="27">
        <v>0.01</v>
      </c>
      <c r="X172" s="27">
        <v>0.01</v>
      </c>
      <c r="Y172" s="27">
        <v>0.01</v>
      </c>
      <c r="Z172" s="27">
        <v>0.01</v>
      </c>
      <c r="AA172" s="27">
        <v>0.01</v>
      </c>
    </row>
    <row r="173" spans="1:27">
      <c r="A173" t="s">
        <v>12</v>
      </c>
      <c r="B173" t="s">
        <v>12</v>
      </c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spans="1:27">
      <c r="A174" t="s">
        <v>232</v>
      </c>
      <c r="C174" s="27">
        <v>6.63</v>
      </c>
      <c r="D174" s="27">
        <v>6.6</v>
      </c>
      <c r="E174" s="27">
        <v>6.63</v>
      </c>
      <c r="F174" s="27">
        <v>6.65</v>
      </c>
      <c r="G174" s="27">
        <v>6.65</v>
      </c>
      <c r="H174" s="27">
        <v>6.63</v>
      </c>
      <c r="I174" s="27">
        <v>6.61</v>
      </c>
      <c r="J174" s="27">
        <v>6.61</v>
      </c>
      <c r="K174" s="27">
        <v>5.96</v>
      </c>
      <c r="L174" s="27">
        <v>5.59</v>
      </c>
      <c r="M174" s="27">
        <v>5.61</v>
      </c>
      <c r="N174" s="27">
        <v>5.62</v>
      </c>
      <c r="O174" s="27">
        <v>5.66</v>
      </c>
      <c r="P174" s="27">
        <v>5.67</v>
      </c>
      <c r="Q174" s="27">
        <v>5.67</v>
      </c>
      <c r="R174" s="27">
        <v>5.69</v>
      </c>
      <c r="S174" s="27">
        <v>5.69</v>
      </c>
      <c r="T174" s="27">
        <v>5.69</v>
      </c>
      <c r="U174" s="27">
        <v>5.71</v>
      </c>
      <c r="V174" s="27">
        <v>5.72</v>
      </c>
      <c r="W174" s="27">
        <v>5.73</v>
      </c>
      <c r="X174" s="27">
        <v>5.74</v>
      </c>
      <c r="Y174" s="27">
        <v>5.76</v>
      </c>
      <c r="Z174" s="27">
        <v>5.77</v>
      </c>
      <c r="AA174" s="27">
        <v>6.01</v>
      </c>
    </row>
    <row r="175" spans="1:27"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spans="1:27">
      <c r="A176" t="s">
        <v>1006</v>
      </c>
      <c r="B176">
        <v>710605</v>
      </c>
      <c r="C176" s="27">
        <v>0</v>
      </c>
      <c r="D176" s="27">
        <v>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8</v>
      </c>
      <c r="L176" s="27">
        <v>8</v>
      </c>
      <c r="M176" s="27">
        <v>8</v>
      </c>
      <c r="N176" s="27">
        <v>8</v>
      </c>
      <c r="O176" s="27">
        <v>8</v>
      </c>
      <c r="P176" s="27">
        <v>8</v>
      </c>
      <c r="Q176" s="27">
        <v>8</v>
      </c>
      <c r="R176" s="27">
        <v>8</v>
      </c>
      <c r="S176" s="27">
        <v>8</v>
      </c>
      <c r="T176" s="27">
        <v>8</v>
      </c>
      <c r="U176" s="27">
        <v>8</v>
      </c>
      <c r="V176" s="27">
        <v>8</v>
      </c>
      <c r="W176" s="27">
        <v>8</v>
      </c>
      <c r="X176" s="27">
        <v>8</v>
      </c>
      <c r="Y176" s="27">
        <v>8</v>
      </c>
      <c r="Z176" s="27">
        <v>8</v>
      </c>
      <c r="AA176" s="27">
        <v>5.33</v>
      </c>
    </row>
    <row r="177" spans="1:27">
      <c r="A177" t="s">
        <v>1007</v>
      </c>
      <c r="B177">
        <v>710610</v>
      </c>
      <c r="C177" s="27">
        <v>0</v>
      </c>
      <c r="D177" s="27">
        <v>0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8</v>
      </c>
      <c r="L177" s="27">
        <v>8</v>
      </c>
      <c r="M177" s="27">
        <v>8</v>
      </c>
      <c r="N177" s="27">
        <v>8</v>
      </c>
      <c r="O177" s="27">
        <v>8</v>
      </c>
      <c r="P177" s="27">
        <v>8</v>
      </c>
      <c r="Q177" s="27">
        <v>8</v>
      </c>
      <c r="R177" s="27">
        <v>8</v>
      </c>
      <c r="S177" s="27">
        <v>8</v>
      </c>
      <c r="T177" s="27">
        <v>8</v>
      </c>
      <c r="U177" s="27">
        <v>8</v>
      </c>
      <c r="V177" s="27">
        <v>8</v>
      </c>
      <c r="W177" s="27">
        <v>8</v>
      </c>
      <c r="X177" s="27">
        <v>8</v>
      </c>
      <c r="Y177" s="27">
        <v>8</v>
      </c>
      <c r="Z177" s="27">
        <v>8</v>
      </c>
      <c r="AA177" s="27">
        <v>5.33</v>
      </c>
    </row>
    <row r="178" spans="1:27">
      <c r="A178" t="s">
        <v>235</v>
      </c>
      <c r="B178">
        <v>710615</v>
      </c>
      <c r="C178" s="27">
        <v>12.9</v>
      </c>
      <c r="D178" s="27">
        <v>12.9</v>
      </c>
      <c r="E178" s="27">
        <v>12.9</v>
      </c>
      <c r="F178" s="27">
        <v>12.9</v>
      </c>
      <c r="G178" s="27">
        <v>12.9</v>
      </c>
      <c r="H178" s="27">
        <v>12.9</v>
      </c>
      <c r="I178" s="27">
        <v>12.9</v>
      </c>
      <c r="J178" s="27">
        <v>12.9</v>
      </c>
      <c r="K178" s="27">
        <v>11.65</v>
      </c>
      <c r="L178" s="27">
        <v>11.4</v>
      </c>
      <c r="M178" s="27">
        <v>11.4</v>
      </c>
      <c r="N178" s="27">
        <v>11.15</v>
      </c>
      <c r="O178" s="27">
        <v>10.9</v>
      </c>
      <c r="P178" s="27">
        <v>10.9</v>
      </c>
      <c r="Q178" s="27">
        <v>10.9</v>
      </c>
      <c r="R178" s="27">
        <v>10.9</v>
      </c>
      <c r="S178" s="27">
        <v>10.9</v>
      </c>
      <c r="T178" s="27">
        <v>10.65</v>
      </c>
      <c r="U178" s="27">
        <v>10.65</v>
      </c>
      <c r="V178" s="27">
        <v>10.65</v>
      </c>
      <c r="W178" s="27">
        <v>10.4</v>
      </c>
      <c r="X178" s="27">
        <v>10.4</v>
      </c>
      <c r="Y178" s="27">
        <v>10.4</v>
      </c>
      <c r="Z178" s="27">
        <v>10.4</v>
      </c>
      <c r="AA178" s="27">
        <v>11.54</v>
      </c>
    </row>
    <row r="179" spans="1:27">
      <c r="A179" t="s">
        <v>236</v>
      </c>
      <c r="B179">
        <v>710620</v>
      </c>
      <c r="C179" s="27">
        <v>14.9</v>
      </c>
      <c r="D179" s="27">
        <v>14.9</v>
      </c>
      <c r="E179" s="27">
        <v>14.9</v>
      </c>
      <c r="F179" s="27">
        <v>14.9</v>
      </c>
      <c r="G179" s="27">
        <v>14.9</v>
      </c>
      <c r="H179" s="27">
        <v>14.9</v>
      </c>
      <c r="I179" s="27">
        <v>14.9</v>
      </c>
      <c r="J179" s="27">
        <v>14.9</v>
      </c>
      <c r="K179" s="27">
        <v>13.65</v>
      </c>
      <c r="L179" s="27">
        <v>13.4</v>
      </c>
      <c r="M179" s="27">
        <v>13.4</v>
      </c>
      <c r="N179" s="27">
        <v>13.15</v>
      </c>
      <c r="O179" s="27">
        <v>12.9</v>
      </c>
      <c r="P179" s="27">
        <v>12.9</v>
      </c>
      <c r="Q179" s="27">
        <v>12.9</v>
      </c>
      <c r="R179" s="27">
        <v>12.9</v>
      </c>
      <c r="S179" s="27">
        <v>12.9</v>
      </c>
      <c r="T179" s="27">
        <v>12.65</v>
      </c>
      <c r="U179" s="27">
        <v>12.65</v>
      </c>
      <c r="V179" s="27">
        <v>12.65</v>
      </c>
      <c r="W179" s="27">
        <v>12.4</v>
      </c>
      <c r="X179" s="27">
        <v>12.4</v>
      </c>
      <c r="Y179" s="27">
        <v>12.4</v>
      </c>
      <c r="Z179" s="27">
        <v>12.4</v>
      </c>
      <c r="AA179" s="27">
        <v>13.54</v>
      </c>
    </row>
    <row r="180" spans="1:27">
      <c r="A180" t="s">
        <v>1008</v>
      </c>
      <c r="B180">
        <v>710623</v>
      </c>
      <c r="C180" s="27">
        <v>14.9</v>
      </c>
      <c r="D180" s="27">
        <v>14.9</v>
      </c>
      <c r="E180" s="27">
        <v>14.9</v>
      </c>
      <c r="F180" s="27">
        <v>14.9</v>
      </c>
      <c r="G180" s="27">
        <v>14.9</v>
      </c>
      <c r="H180" s="27">
        <v>14.9</v>
      </c>
      <c r="I180" s="27">
        <v>14.9</v>
      </c>
      <c r="J180" s="27">
        <v>14.9</v>
      </c>
      <c r="K180" s="27">
        <v>15.65</v>
      </c>
      <c r="L180" s="27">
        <v>15.4</v>
      </c>
      <c r="M180" s="27">
        <v>15.4</v>
      </c>
      <c r="N180" s="27">
        <v>15.15</v>
      </c>
      <c r="O180" s="27">
        <v>14.9</v>
      </c>
      <c r="P180" s="27">
        <v>14.9</v>
      </c>
      <c r="Q180" s="27">
        <v>14.9</v>
      </c>
      <c r="R180" s="27">
        <v>14.9</v>
      </c>
      <c r="S180" s="27">
        <v>14.9</v>
      </c>
      <c r="T180" s="27">
        <v>14.65</v>
      </c>
      <c r="U180" s="27">
        <v>14.65</v>
      </c>
      <c r="V180" s="27">
        <v>14.65</v>
      </c>
      <c r="W180" s="27">
        <v>14.4</v>
      </c>
      <c r="X180" s="27">
        <v>14.4</v>
      </c>
      <c r="Y180" s="27">
        <v>14.4</v>
      </c>
      <c r="Z180" s="27">
        <v>14.4</v>
      </c>
      <c r="AA180" s="27">
        <v>14.87</v>
      </c>
    </row>
    <row r="181" spans="1:27">
      <c r="A181" t="s">
        <v>239</v>
      </c>
      <c r="B181">
        <v>710625</v>
      </c>
      <c r="C181" s="27">
        <v>15.9</v>
      </c>
      <c r="D181" s="27">
        <v>15.9</v>
      </c>
      <c r="E181" s="27">
        <v>15.9</v>
      </c>
      <c r="F181" s="27">
        <v>15.9</v>
      </c>
      <c r="G181" s="27">
        <v>15.9</v>
      </c>
      <c r="H181" s="27">
        <v>15.9</v>
      </c>
      <c r="I181" s="27">
        <v>15.9</v>
      </c>
      <c r="J181" s="27">
        <v>15.9</v>
      </c>
      <c r="K181" s="27">
        <v>13.65</v>
      </c>
      <c r="L181" s="27">
        <v>13.4</v>
      </c>
      <c r="M181" s="27">
        <v>13.4</v>
      </c>
      <c r="N181" s="27">
        <v>13.15</v>
      </c>
      <c r="O181" s="27">
        <v>12.9</v>
      </c>
      <c r="P181" s="27">
        <v>12.9</v>
      </c>
      <c r="Q181" s="27">
        <v>12.9</v>
      </c>
      <c r="R181" s="27">
        <v>12.9</v>
      </c>
      <c r="S181" s="27">
        <v>12.9</v>
      </c>
      <c r="T181" s="27">
        <v>12.65</v>
      </c>
      <c r="U181" s="27">
        <v>12.65</v>
      </c>
      <c r="V181" s="27">
        <v>12.65</v>
      </c>
      <c r="W181" s="27">
        <v>12.4</v>
      </c>
      <c r="X181" s="27">
        <v>12.4</v>
      </c>
      <c r="Y181" s="27">
        <v>12.4</v>
      </c>
      <c r="Z181" s="27">
        <v>12.4</v>
      </c>
      <c r="AA181" s="27">
        <v>13.87</v>
      </c>
    </row>
    <row r="182" spans="1:27">
      <c r="A182" t="s">
        <v>12</v>
      </c>
      <c r="B182" t="s">
        <v>12</v>
      </c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spans="1:27">
      <c r="A183" t="s">
        <v>235</v>
      </c>
      <c r="C183" s="27">
        <v>13.25</v>
      </c>
      <c r="D183" s="27">
        <v>13.25</v>
      </c>
      <c r="E183" s="27">
        <v>13.24</v>
      </c>
      <c r="F183" s="27">
        <v>13.24</v>
      </c>
      <c r="G183" s="27">
        <v>13.25</v>
      </c>
      <c r="H183" s="27">
        <v>13.25</v>
      </c>
      <c r="I183" s="27">
        <v>13.25</v>
      </c>
      <c r="J183" s="27">
        <v>13.26</v>
      </c>
      <c r="K183" s="27">
        <v>12.2</v>
      </c>
      <c r="L183" s="27">
        <v>11.93</v>
      </c>
      <c r="M183" s="27">
        <v>11.93</v>
      </c>
      <c r="N183" s="27">
        <v>11.69</v>
      </c>
      <c r="O183" s="27">
        <v>11.45</v>
      </c>
      <c r="P183" s="27">
        <v>11.45</v>
      </c>
      <c r="Q183" s="27">
        <v>11.45</v>
      </c>
      <c r="R183" s="27">
        <v>11.45</v>
      </c>
      <c r="S183" s="27">
        <v>11.45</v>
      </c>
      <c r="T183" s="27">
        <v>11.2</v>
      </c>
      <c r="U183" s="27">
        <v>11.2</v>
      </c>
      <c r="V183" s="27">
        <v>11.2</v>
      </c>
      <c r="W183" s="27">
        <v>10.95</v>
      </c>
      <c r="X183" s="27">
        <v>10.95</v>
      </c>
      <c r="Y183" s="27">
        <v>10.95</v>
      </c>
      <c r="Z183" s="27">
        <v>10.95</v>
      </c>
      <c r="AA183" s="27">
        <v>12.02</v>
      </c>
    </row>
    <row r="184" spans="1:27"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spans="1:27">
      <c r="A185" t="s">
        <v>1009</v>
      </c>
      <c r="B185">
        <v>710650</v>
      </c>
      <c r="C185" s="27">
        <v>10.039999999999999</v>
      </c>
      <c r="D185" s="27">
        <v>10.039999999999999</v>
      </c>
      <c r="E185" s="27">
        <v>10.039999999999999</v>
      </c>
      <c r="F185" s="27">
        <v>10.039999999999999</v>
      </c>
      <c r="G185" s="27">
        <v>10.039999999999999</v>
      </c>
      <c r="H185" s="27">
        <v>10.039999999999999</v>
      </c>
      <c r="I185" s="27">
        <v>10.039999999999999</v>
      </c>
      <c r="J185" s="27">
        <v>10.039999999999999</v>
      </c>
      <c r="K185" s="27">
        <v>8.23</v>
      </c>
      <c r="L185" s="27">
        <v>8.23</v>
      </c>
      <c r="M185" s="27">
        <v>8.2200000000000006</v>
      </c>
      <c r="N185" s="27">
        <v>8.2100000000000009</v>
      </c>
      <c r="O185" s="27">
        <v>8.19</v>
      </c>
      <c r="P185" s="27">
        <v>8.19</v>
      </c>
      <c r="Q185" s="27">
        <v>8.18</v>
      </c>
      <c r="R185" s="27">
        <v>8.18</v>
      </c>
      <c r="S185" s="27">
        <v>8.17</v>
      </c>
      <c r="T185" s="27">
        <v>8.17</v>
      </c>
      <c r="U185" s="27">
        <v>8.17</v>
      </c>
      <c r="V185" s="27">
        <v>8.17</v>
      </c>
      <c r="W185" s="27">
        <v>8.16</v>
      </c>
      <c r="X185" s="27">
        <v>8.16</v>
      </c>
      <c r="Y185" s="27">
        <v>8.15</v>
      </c>
      <c r="Z185" s="27">
        <v>8.14</v>
      </c>
      <c r="AA185" s="27">
        <v>8.8000000000000007</v>
      </c>
    </row>
    <row r="186" spans="1:27">
      <c r="A186" t="s">
        <v>1010</v>
      </c>
      <c r="B186">
        <v>710655</v>
      </c>
      <c r="C186" s="27">
        <v>10.54</v>
      </c>
      <c r="D186" s="27">
        <v>10.54</v>
      </c>
      <c r="E186" s="27">
        <v>10.54</v>
      </c>
      <c r="F186" s="27">
        <v>10.54</v>
      </c>
      <c r="G186" s="27">
        <v>10.54</v>
      </c>
      <c r="H186" s="27">
        <v>10.54</v>
      </c>
      <c r="I186" s="27">
        <v>10.54</v>
      </c>
      <c r="J186" s="27">
        <v>10.54</v>
      </c>
      <c r="K186" s="27">
        <v>8.6199999999999992</v>
      </c>
      <c r="L186" s="27">
        <v>8.6199999999999992</v>
      </c>
      <c r="M186" s="27">
        <v>8.6</v>
      </c>
      <c r="N186" s="27">
        <v>8.59</v>
      </c>
      <c r="O186" s="27">
        <v>8.58</v>
      </c>
      <c r="P186" s="27">
        <v>8.57</v>
      </c>
      <c r="Q186" s="27">
        <v>8.57</v>
      </c>
      <c r="R186" s="27">
        <v>8.56</v>
      </c>
      <c r="S186" s="27">
        <v>8.56</v>
      </c>
      <c r="T186" s="27">
        <v>8.56</v>
      </c>
      <c r="U186" s="27">
        <v>8.5500000000000007</v>
      </c>
      <c r="V186" s="27">
        <v>8.5500000000000007</v>
      </c>
      <c r="W186" s="27">
        <v>8.5500000000000007</v>
      </c>
      <c r="X186" s="27">
        <v>8.5500000000000007</v>
      </c>
      <c r="Y186" s="27">
        <v>8.5399999999999991</v>
      </c>
      <c r="Z186" s="27">
        <v>8.5299999999999994</v>
      </c>
      <c r="AA186" s="27">
        <v>9.23</v>
      </c>
    </row>
    <row r="187" spans="1:27">
      <c r="A187" t="s">
        <v>12</v>
      </c>
      <c r="B187" t="s">
        <v>12</v>
      </c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spans="1:27">
      <c r="A188" t="s">
        <v>1011</v>
      </c>
      <c r="C188" s="27">
        <v>10.44</v>
      </c>
      <c r="D188" s="27">
        <v>10.45</v>
      </c>
      <c r="E188" s="27">
        <v>10.45</v>
      </c>
      <c r="F188" s="27">
        <v>10.46</v>
      </c>
      <c r="G188" s="27">
        <v>10.46</v>
      </c>
      <c r="H188" s="27">
        <v>10.46</v>
      </c>
      <c r="I188" s="27">
        <v>10.46</v>
      </c>
      <c r="J188" s="27">
        <v>10.47</v>
      </c>
      <c r="K188" s="27">
        <v>8.57</v>
      </c>
      <c r="L188" s="27">
        <v>8.57</v>
      </c>
      <c r="M188" s="27">
        <v>8.56</v>
      </c>
      <c r="N188" s="27">
        <v>8.5500000000000007</v>
      </c>
      <c r="O188" s="27">
        <v>8.5299999999999994</v>
      </c>
      <c r="P188" s="27">
        <v>8.5299999999999994</v>
      </c>
      <c r="Q188" s="27">
        <v>8.52</v>
      </c>
      <c r="R188" s="27">
        <v>8.52</v>
      </c>
      <c r="S188" s="27">
        <v>8.51</v>
      </c>
      <c r="T188" s="27">
        <v>8.51</v>
      </c>
      <c r="U188" s="27">
        <v>8.51</v>
      </c>
      <c r="V188" s="27">
        <v>8.51</v>
      </c>
      <c r="W188" s="27">
        <v>8.5</v>
      </c>
      <c r="X188" s="27">
        <v>8.5</v>
      </c>
      <c r="Y188" s="27">
        <v>8.49</v>
      </c>
      <c r="Z188" s="27">
        <v>8.48</v>
      </c>
      <c r="AA188" s="27">
        <v>9.17</v>
      </c>
    </row>
    <row r="189" spans="1:27"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spans="1:27">
      <c r="A190" t="s">
        <v>244</v>
      </c>
      <c r="B190">
        <v>710705</v>
      </c>
      <c r="C190" s="27">
        <v>11.49</v>
      </c>
      <c r="D190" s="27">
        <v>11.49</v>
      </c>
      <c r="E190" s="27">
        <v>11.49</v>
      </c>
      <c r="F190" s="27">
        <v>11.49</v>
      </c>
      <c r="G190" s="27">
        <v>11.49</v>
      </c>
      <c r="H190" s="27">
        <v>11.49</v>
      </c>
      <c r="I190" s="27">
        <v>11.49</v>
      </c>
      <c r="J190" s="27">
        <v>11.49</v>
      </c>
      <c r="K190" s="27">
        <v>11.49</v>
      </c>
      <c r="L190" s="27">
        <v>11.49</v>
      </c>
      <c r="M190" s="27">
        <v>11.49</v>
      </c>
      <c r="N190" s="27">
        <v>11.49</v>
      </c>
      <c r="O190" s="27">
        <v>11.49</v>
      </c>
      <c r="P190" s="27">
        <v>11.49</v>
      </c>
      <c r="Q190" s="27">
        <v>11.49</v>
      </c>
      <c r="R190" s="27">
        <v>11.49</v>
      </c>
      <c r="S190" s="27">
        <v>11.49</v>
      </c>
      <c r="T190" s="27">
        <v>11.49</v>
      </c>
      <c r="U190" s="27">
        <v>11.49</v>
      </c>
      <c r="V190" s="27">
        <v>11.49</v>
      </c>
      <c r="W190" s="27">
        <v>11.49</v>
      </c>
      <c r="X190" s="27">
        <v>11.49</v>
      </c>
      <c r="Y190" s="27">
        <v>11.49</v>
      </c>
      <c r="Z190" s="27">
        <v>11.49</v>
      </c>
      <c r="AA190" s="27">
        <v>11.49</v>
      </c>
    </row>
    <row r="191" spans="1:27">
      <c r="A191" t="s">
        <v>245</v>
      </c>
      <c r="B191">
        <v>710710</v>
      </c>
      <c r="C191" s="27">
        <v>14.5</v>
      </c>
      <c r="D191" s="27">
        <v>14.5</v>
      </c>
      <c r="E191" s="27">
        <v>14.5</v>
      </c>
      <c r="F191" s="27">
        <v>14.5</v>
      </c>
      <c r="G191" s="27">
        <v>14.5</v>
      </c>
      <c r="H191" s="27">
        <v>14.5</v>
      </c>
      <c r="I191" s="27">
        <v>14.5</v>
      </c>
      <c r="J191" s="27">
        <v>14.5</v>
      </c>
      <c r="K191" s="27">
        <v>14.19</v>
      </c>
      <c r="L191" s="27">
        <v>13.72</v>
      </c>
      <c r="M191" s="27">
        <v>13.75</v>
      </c>
      <c r="N191" s="27">
        <v>13.79</v>
      </c>
      <c r="O191" s="27">
        <v>13.86</v>
      </c>
      <c r="P191" s="27">
        <v>13.87</v>
      </c>
      <c r="Q191" s="27">
        <v>13.88</v>
      </c>
      <c r="R191" s="27">
        <v>13.9</v>
      </c>
      <c r="S191" s="27">
        <v>13.91</v>
      </c>
      <c r="T191" s="27">
        <v>13.92</v>
      </c>
      <c r="U191" s="27">
        <v>13.95</v>
      </c>
      <c r="V191" s="27">
        <v>13.97</v>
      </c>
      <c r="W191" s="27">
        <v>13.99</v>
      </c>
      <c r="X191" s="27">
        <v>14.02</v>
      </c>
      <c r="Y191" s="27">
        <v>14.04</v>
      </c>
      <c r="Z191" s="27">
        <v>14.06</v>
      </c>
      <c r="AA191" s="27">
        <v>14.12</v>
      </c>
    </row>
    <row r="192" spans="1:27">
      <c r="A192" t="s">
        <v>246</v>
      </c>
      <c r="B192">
        <v>710715</v>
      </c>
      <c r="C192" s="27">
        <v>11.5</v>
      </c>
      <c r="D192" s="27">
        <v>11.5</v>
      </c>
      <c r="E192" s="27">
        <v>11.5</v>
      </c>
      <c r="F192" s="27">
        <v>11.5</v>
      </c>
      <c r="G192" s="27">
        <v>11.5</v>
      </c>
      <c r="H192" s="27">
        <v>11.5</v>
      </c>
      <c r="I192" s="27">
        <v>11.5</v>
      </c>
      <c r="J192" s="27">
        <v>11.5</v>
      </c>
      <c r="K192" s="27">
        <v>12</v>
      </c>
      <c r="L192" s="27">
        <v>11.75</v>
      </c>
      <c r="M192" s="27">
        <v>11.75</v>
      </c>
      <c r="N192" s="27">
        <v>11.5</v>
      </c>
      <c r="O192" s="27">
        <v>11.25</v>
      </c>
      <c r="P192" s="27">
        <v>11.25</v>
      </c>
      <c r="Q192" s="27">
        <v>11.25</v>
      </c>
      <c r="R192" s="27">
        <v>11.25</v>
      </c>
      <c r="S192" s="27">
        <v>11.25</v>
      </c>
      <c r="T192" s="27">
        <v>11</v>
      </c>
      <c r="U192" s="27">
        <v>11</v>
      </c>
      <c r="V192" s="27">
        <v>11</v>
      </c>
      <c r="W192" s="27">
        <v>10.75</v>
      </c>
      <c r="X192" s="27">
        <v>10.75</v>
      </c>
      <c r="Y192" s="27">
        <v>10.75</v>
      </c>
      <c r="Z192" s="27">
        <v>10.75</v>
      </c>
      <c r="AA192" s="27">
        <v>11.3</v>
      </c>
    </row>
    <row r="193" spans="1:27">
      <c r="A193" t="s">
        <v>12</v>
      </c>
      <c r="B193" t="s">
        <v>12</v>
      </c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spans="1:27">
      <c r="A194" t="s">
        <v>247</v>
      </c>
      <c r="C194" s="27">
        <v>11.51</v>
      </c>
      <c r="D194" s="27">
        <v>11.51</v>
      </c>
      <c r="E194" s="27">
        <v>11.51</v>
      </c>
      <c r="F194" s="27">
        <v>11.51</v>
      </c>
      <c r="G194" s="27">
        <v>11.51</v>
      </c>
      <c r="H194" s="27">
        <v>11.51</v>
      </c>
      <c r="I194" s="27">
        <v>11.51</v>
      </c>
      <c r="J194" s="27">
        <v>11.51</v>
      </c>
      <c r="K194" s="27">
        <v>11.54</v>
      </c>
      <c r="L194" s="27">
        <v>11.52</v>
      </c>
      <c r="M194" s="27">
        <v>11.52</v>
      </c>
      <c r="N194" s="27">
        <v>11.5</v>
      </c>
      <c r="O194" s="27">
        <v>11.49</v>
      </c>
      <c r="P194" s="27">
        <v>11.49</v>
      </c>
      <c r="Q194" s="27">
        <v>11.49</v>
      </c>
      <c r="R194" s="27">
        <v>11.49</v>
      </c>
      <c r="S194" s="27">
        <v>11.49</v>
      </c>
      <c r="T194" s="27">
        <v>11.47</v>
      </c>
      <c r="U194" s="27">
        <v>11.47</v>
      </c>
      <c r="V194" s="27">
        <v>11.47</v>
      </c>
      <c r="W194" s="27">
        <v>11.45</v>
      </c>
      <c r="X194" s="27">
        <v>11.45</v>
      </c>
      <c r="Y194" s="27">
        <v>11.45</v>
      </c>
      <c r="Z194" s="27">
        <v>11.45</v>
      </c>
      <c r="AA194" s="27">
        <v>11.49</v>
      </c>
    </row>
    <row r="195" spans="1:27"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spans="1:27">
      <c r="A196" t="s">
        <v>248</v>
      </c>
      <c r="B196">
        <v>710805</v>
      </c>
      <c r="C196" s="27">
        <v>2.2000000000000002</v>
      </c>
      <c r="D196" s="27">
        <v>2.2000000000000002</v>
      </c>
      <c r="E196" s="27">
        <v>2.2000000000000002</v>
      </c>
      <c r="F196" s="27">
        <v>2.2000000000000002</v>
      </c>
      <c r="G196" s="27">
        <v>2.2000000000000002</v>
      </c>
      <c r="H196" s="27">
        <v>2.2000000000000002</v>
      </c>
      <c r="I196" s="27">
        <v>2.2000000000000002</v>
      </c>
      <c r="J196" s="27">
        <v>2.2000000000000002</v>
      </c>
      <c r="K196" s="27">
        <v>2.2000000000000002</v>
      </c>
      <c r="L196" s="27">
        <v>2.2000000000000002</v>
      </c>
      <c r="M196" s="27">
        <v>2.2000000000000002</v>
      </c>
      <c r="N196" s="27">
        <v>2.2000000000000002</v>
      </c>
      <c r="O196" s="27">
        <v>2.2000000000000002</v>
      </c>
      <c r="P196" s="27">
        <v>2.2000000000000002</v>
      </c>
      <c r="Q196" s="27">
        <v>2.2000000000000002</v>
      </c>
      <c r="R196" s="27">
        <v>2.2000000000000002</v>
      </c>
      <c r="S196" s="27">
        <v>2.2000000000000002</v>
      </c>
      <c r="T196" s="27">
        <v>2.2000000000000002</v>
      </c>
      <c r="U196" s="27">
        <v>2.2000000000000002</v>
      </c>
      <c r="V196" s="27">
        <v>2.2000000000000002</v>
      </c>
      <c r="W196" s="27">
        <v>2.2000000000000002</v>
      </c>
      <c r="X196" s="27">
        <v>2.2000000000000002</v>
      </c>
      <c r="Y196" s="27">
        <v>2.2000000000000002</v>
      </c>
      <c r="Z196" s="27">
        <v>2.2000000000000002</v>
      </c>
      <c r="AA196" s="27">
        <v>2.2000000000000002</v>
      </c>
    </row>
    <row r="197" spans="1:27">
      <c r="A197" t="s">
        <v>249</v>
      </c>
      <c r="B197">
        <v>710807</v>
      </c>
      <c r="C197" s="27">
        <v>3.25</v>
      </c>
      <c r="D197" s="27">
        <v>3.25</v>
      </c>
      <c r="E197" s="27">
        <v>3.25</v>
      </c>
      <c r="F197" s="27">
        <v>3.25</v>
      </c>
      <c r="G197" s="27">
        <v>3.25</v>
      </c>
      <c r="H197" s="27">
        <v>3.25</v>
      </c>
      <c r="I197" s="27">
        <v>3.25</v>
      </c>
      <c r="J197" s="27">
        <v>3.25</v>
      </c>
      <c r="K197" s="27">
        <v>3.25</v>
      </c>
      <c r="L197" s="27">
        <v>3.25</v>
      </c>
      <c r="M197" s="27">
        <v>3.25</v>
      </c>
      <c r="N197" s="27">
        <v>3.25</v>
      </c>
      <c r="O197" s="27">
        <v>3.25</v>
      </c>
      <c r="P197" s="27">
        <v>3.25</v>
      </c>
      <c r="Q197" s="27">
        <v>3.25</v>
      </c>
      <c r="R197" s="27">
        <v>3.25</v>
      </c>
      <c r="S197" s="27">
        <v>3.25</v>
      </c>
      <c r="T197" s="27">
        <v>3.25</v>
      </c>
      <c r="U197" s="27">
        <v>3.25</v>
      </c>
      <c r="V197" s="27">
        <v>3.25</v>
      </c>
      <c r="W197" s="27">
        <v>3.25</v>
      </c>
      <c r="X197" s="27">
        <v>3.25</v>
      </c>
      <c r="Y197" s="27">
        <v>3.25</v>
      </c>
      <c r="Z197" s="27">
        <v>3.25</v>
      </c>
      <c r="AA197" s="27">
        <v>3.25</v>
      </c>
    </row>
    <row r="198" spans="1:27">
      <c r="A198" t="s">
        <v>1012</v>
      </c>
      <c r="B198">
        <v>710810</v>
      </c>
      <c r="C198" s="27">
        <v>2.2000000000000002</v>
      </c>
      <c r="D198" s="27">
        <v>2.2000000000000002</v>
      </c>
      <c r="E198" s="27">
        <v>2.2000000000000002</v>
      </c>
      <c r="F198" s="27">
        <v>2.2000000000000002</v>
      </c>
      <c r="G198" s="27">
        <v>2.2000000000000002</v>
      </c>
      <c r="H198" s="27">
        <v>2.2000000000000002</v>
      </c>
      <c r="I198" s="27">
        <v>2.2000000000000002</v>
      </c>
      <c r="J198" s="27">
        <v>2.2000000000000002</v>
      </c>
      <c r="K198" s="27">
        <v>2.2000000000000002</v>
      </c>
      <c r="L198" s="27">
        <v>2.2000000000000002</v>
      </c>
      <c r="M198" s="27">
        <v>2.2000000000000002</v>
      </c>
      <c r="N198" s="27">
        <v>2.2000000000000002</v>
      </c>
      <c r="O198" s="27">
        <v>2.2000000000000002</v>
      </c>
      <c r="P198" s="27">
        <v>2.2000000000000002</v>
      </c>
      <c r="Q198" s="27">
        <v>2.2000000000000002</v>
      </c>
      <c r="R198" s="27">
        <v>2.2000000000000002</v>
      </c>
      <c r="S198" s="27">
        <v>2.2000000000000002</v>
      </c>
      <c r="T198" s="27">
        <v>2.2000000000000002</v>
      </c>
      <c r="U198" s="27">
        <v>2.2000000000000002</v>
      </c>
      <c r="V198" s="27">
        <v>2.2000000000000002</v>
      </c>
      <c r="W198" s="27">
        <v>2.2000000000000002</v>
      </c>
      <c r="X198" s="27">
        <v>2.2000000000000002</v>
      </c>
      <c r="Y198" s="27">
        <v>2.2000000000000002</v>
      </c>
      <c r="Z198" s="27">
        <v>2.2000000000000002</v>
      </c>
      <c r="AA198" s="27">
        <v>2.2000000000000002</v>
      </c>
    </row>
    <row r="199" spans="1:27"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spans="1:27">
      <c r="A200" t="s">
        <v>12</v>
      </c>
      <c r="B200" t="s">
        <v>12</v>
      </c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spans="1:27">
      <c r="A201" t="s">
        <v>248</v>
      </c>
      <c r="C201" s="27">
        <v>2.2000000000000002</v>
      </c>
      <c r="D201" s="27">
        <v>2.2000000000000002</v>
      </c>
      <c r="E201" s="27">
        <v>2.2000000000000002</v>
      </c>
      <c r="F201" s="27">
        <v>2.2000000000000002</v>
      </c>
      <c r="G201" s="27">
        <v>2.2000000000000002</v>
      </c>
      <c r="H201" s="27">
        <v>2.2000000000000002</v>
      </c>
      <c r="I201" s="27">
        <v>2.2000000000000002</v>
      </c>
      <c r="J201" s="27">
        <v>2.2000000000000002</v>
      </c>
      <c r="K201" s="27">
        <v>2.2000000000000002</v>
      </c>
      <c r="L201" s="27">
        <v>2.2000000000000002</v>
      </c>
      <c r="M201" s="27">
        <v>2.2000000000000002</v>
      </c>
      <c r="N201" s="27">
        <v>2.2000000000000002</v>
      </c>
      <c r="O201" s="27">
        <v>2.2000000000000002</v>
      </c>
      <c r="P201" s="27">
        <v>2.2000000000000002</v>
      </c>
      <c r="Q201" s="27">
        <v>2.2000000000000002</v>
      </c>
      <c r="R201" s="27">
        <v>2.2000000000000002</v>
      </c>
      <c r="S201" s="27">
        <v>2.2000000000000002</v>
      </c>
      <c r="T201" s="27">
        <v>2.2000000000000002</v>
      </c>
      <c r="U201" s="27">
        <v>2.2000000000000002</v>
      </c>
      <c r="V201" s="27">
        <v>2.2000000000000002</v>
      </c>
      <c r="W201" s="27">
        <v>2.2000000000000002</v>
      </c>
      <c r="X201" s="27">
        <v>2.2000000000000002</v>
      </c>
      <c r="Y201" s="27">
        <v>2.2000000000000002</v>
      </c>
      <c r="Z201" s="27">
        <v>2.2000000000000002</v>
      </c>
      <c r="AA201" s="27">
        <v>2.2000000000000002</v>
      </c>
    </row>
    <row r="202" spans="1:27"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spans="1:27">
      <c r="A203" t="s">
        <v>260</v>
      </c>
      <c r="C203" s="27">
        <v>7.69</v>
      </c>
      <c r="D203" s="27">
        <v>7.71</v>
      </c>
      <c r="E203" s="27">
        <v>7.74</v>
      </c>
      <c r="F203" s="27">
        <v>7.77</v>
      </c>
      <c r="G203" s="27">
        <v>7.79</v>
      </c>
      <c r="H203" s="27">
        <v>7.81</v>
      </c>
      <c r="I203" s="27">
        <v>7.83</v>
      </c>
      <c r="J203" s="27">
        <v>7.84</v>
      </c>
      <c r="K203" s="27">
        <v>7.16</v>
      </c>
      <c r="L203" s="27">
        <v>6.9</v>
      </c>
      <c r="M203" s="27">
        <v>6.92</v>
      </c>
      <c r="N203" s="27">
        <v>6.93</v>
      </c>
      <c r="O203" s="27">
        <v>6.7</v>
      </c>
      <c r="P203" s="27">
        <v>6.7</v>
      </c>
      <c r="Q203" s="27">
        <v>6.71</v>
      </c>
      <c r="R203" s="27">
        <v>6.72</v>
      </c>
      <c r="S203" s="27">
        <v>6.72</v>
      </c>
      <c r="T203" s="27">
        <v>6.71</v>
      </c>
      <c r="U203" s="27">
        <v>6.72</v>
      </c>
      <c r="V203" s="27">
        <v>6.73</v>
      </c>
      <c r="W203" s="27">
        <v>6.73</v>
      </c>
      <c r="X203" s="27">
        <v>6.74</v>
      </c>
      <c r="Y203" s="27">
        <v>6.74</v>
      </c>
      <c r="Z203" s="27">
        <v>6.74</v>
      </c>
      <c r="AA203" s="27">
        <v>7.11</v>
      </c>
    </row>
    <row r="204" spans="1:27"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spans="1:27">
      <c r="A205" t="s">
        <v>271</v>
      </c>
      <c r="B205">
        <v>710399</v>
      </c>
      <c r="C205" s="27">
        <v>5.5</v>
      </c>
      <c r="D205" s="27">
        <v>5.5</v>
      </c>
      <c r="E205" s="27">
        <v>5.5</v>
      </c>
      <c r="F205" s="27">
        <v>5.5</v>
      </c>
      <c r="G205" s="27">
        <v>5.5</v>
      </c>
      <c r="H205" s="27">
        <v>5.5</v>
      </c>
      <c r="I205" s="27">
        <v>5.5</v>
      </c>
      <c r="J205" s="27">
        <v>5.5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  <c r="V205" s="27">
        <v>0</v>
      </c>
      <c r="W205" s="27">
        <v>0</v>
      </c>
      <c r="X205" s="27">
        <v>0</v>
      </c>
      <c r="Y205" s="27">
        <v>0</v>
      </c>
      <c r="Z205" s="27">
        <v>0</v>
      </c>
      <c r="AA205" s="27">
        <v>1.83</v>
      </c>
    </row>
    <row r="206" spans="1:27">
      <c r="A206" t="s">
        <v>281</v>
      </c>
      <c r="C206" s="27">
        <v>7.84</v>
      </c>
      <c r="D206" s="27">
        <v>7.86</v>
      </c>
      <c r="E206" s="27">
        <v>7.89</v>
      </c>
      <c r="F206" s="27">
        <v>7.92</v>
      </c>
      <c r="G206" s="27">
        <v>7.95</v>
      </c>
      <c r="H206" s="27">
        <v>7.97</v>
      </c>
      <c r="I206" s="27">
        <v>7.99</v>
      </c>
      <c r="J206" s="27">
        <v>8</v>
      </c>
      <c r="K206" s="27">
        <v>7.31</v>
      </c>
      <c r="L206" s="27">
        <v>7.04</v>
      </c>
      <c r="M206" s="27">
        <v>7.07</v>
      </c>
      <c r="N206" s="27">
        <v>7.08</v>
      </c>
      <c r="O206" s="27">
        <v>6.84</v>
      </c>
      <c r="P206" s="27">
        <v>6.85</v>
      </c>
      <c r="Q206" s="27">
        <v>6.85</v>
      </c>
      <c r="R206" s="27">
        <v>6.86</v>
      </c>
      <c r="S206" s="27">
        <v>6.86</v>
      </c>
      <c r="T206" s="27">
        <v>6.85</v>
      </c>
      <c r="U206" s="27">
        <v>6.86</v>
      </c>
      <c r="V206" s="27">
        <v>6.87</v>
      </c>
      <c r="W206" s="27">
        <v>6.87</v>
      </c>
      <c r="X206" s="27">
        <v>6.88</v>
      </c>
      <c r="Y206" s="27">
        <v>6.88</v>
      </c>
      <c r="Z206" s="27">
        <v>6.89</v>
      </c>
      <c r="AA206" s="27">
        <v>7.26</v>
      </c>
    </row>
    <row r="207" spans="1:27"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spans="1:27"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spans="1:27">
      <c r="A209" t="s">
        <v>332</v>
      </c>
      <c r="C209" s="27">
        <v>6.23</v>
      </c>
      <c r="D209" s="27">
        <v>6.24</v>
      </c>
      <c r="E209" s="27">
        <v>6.26</v>
      </c>
      <c r="F209" s="27">
        <v>6.29</v>
      </c>
      <c r="G209" s="27">
        <v>6.33</v>
      </c>
      <c r="H209" s="27">
        <v>6.36</v>
      </c>
      <c r="I209" s="27">
        <v>6.32</v>
      </c>
      <c r="J209" s="27">
        <v>6.32</v>
      </c>
      <c r="K209" s="27">
        <v>6.16</v>
      </c>
      <c r="L209" s="27">
        <v>6</v>
      </c>
      <c r="M209" s="27">
        <v>5.7</v>
      </c>
      <c r="N209" s="27">
        <v>5.68</v>
      </c>
      <c r="O209" s="27">
        <v>5.53</v>
      </c>
      <c r="P209" s="27">
        <v>5.51</v>
      </c>
      <c r="Q209" s="27">
        <v>5.54</v>
      </c>
      <c r="R209" s="27">
        <v>5.54</v>
      </c>
      <c r="S209" s="27">
        <v>5.58</v>
      </c>
      <c r="T209" s="27">
        <v>5.56</v>
      </c>
      <c r="U209" s="27">
        <v>5.6</v>
      </c>
      <c r="V209" s="27">
        <v>5.61</v>
      </c>
      <c r="W209" s="27">
        <v>5.62</v>
      </c>
      <c r="X209" s="27">
        <v>5.61</v>
      </c>
      <c r="Y209" s="27">
        <v>5.63</v>
      </c>
      <c r="Z209" s="27">
        <v>5.61</v>
      </c>
      <c r="AA209" s="27">
        <v>5.87</v>
      </c>
    </row>
    <row r="210" spans="1:27">
      <c r="A210" t="s">
        <v>1013</v>
      </c>
      <c r="B210" t="s">
        <v>334</v>
      </c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spans="1:27"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spans="1:27">
      <c r="A212" t="s">
        <v>335</v>
      </c>
      <c r="B212">
        <v>820005</v>
      </c>
      <c r="C212" s="27">
        <v>0.03</v>
      </c>
      <c r="D212" s="27">
        <v>0.03</v>
      </c>
      <c r="E212" s="27">
        <v>0.03</v>
      </c>
      <c r="F212" s="27">
        <v>0.03</v>
      </c>
      <c r="G212" s="27">
        <v>0.03</v>
      </c>
      <c r="H212" s="27">
        <v>0.03</v>
      </c>
      <c r="I212" s="27">
        <v>0.03</v>
      </c>
      <c r="J212" s="27">
        <v>0.03</v>
      </c>
      <c r="K212" s="27">
        <v>0.03</v>
      </c>
      <c r="L212" s="27">
        <v>0.03</v>
      </c>
      <c r="M212" s="27">
        <v>0.03</v>
      </c>
      <c r="N212" s="27">
        <v>0.03</v>
      </c>
      <c r="O212" s="27">
        <v>0.03</v>
      </c>
      <c r="P212" s="27">
        <v>0.03</v>
      </c>
      <c r="Q212" s="27">
        <v>0.03</v>
      </c>
      <c r="R212" s="27">
        <v>0.03</v>
      </c>
      <c r="S212" s="27">
        <v>0.03</v>
      </c>
      <c r="T212" s="27">
        <v>0.03</v>
      </c>
      <c r="U212" s="27">
        <v>0.03</v>
      </c>
      <c r="V212" s="27">
        <v>0.03</v>
      </c>
      <c r="W212" s="27">
        <v>0.03</v>
      </c>
      <c r="X212" s="27">
        <v>0.03</v>
      </c>
      <c r="Y212" s="27">
        <v>0.03</v>
      </c>
      <c r="Z212" s="27">
        <v>0.03</v>
      </c>
      <c r="AA212" s="27">
        <v>0.03</v>
      </c>
    </row>
    <row r="213" spans="1:27">
      <c r="A213" t="s">
        <v>336</v>
      </c>
      <c r="B213">
        <v>820010</v>
      </c>
      <c r="C213" s="27">
        <v>0.03</v>
      </c>
      <c r="D213" s="27">
        <v>0.03</v>
      </c>
      <c r="E213" s="27">
        <v>0.03</v>
      </c>
      <c r="F213" s="27">
        <v>0.03</v>
      </c>
      <c r="G213" s="27">
        <v>0.03</v>
      </c>
      <c r="H213" s="27">
        <v>0.03</v>
      </c>
      <c r="I213" s="27">
        <v>0.03</v>
      </c>
      <c r="J213" s="27">
        <v>0.03</v>
      </c>
      <c r="K213" s="27">
        <v>0.03</v>
      </c>
      <c r="L213" s="27">
        <v>0.03</v>
      </c>
      <c r="M213" s="27">
        <v>0.03</v>
      </c>
      <c r="N213" s="27">
        <v>0.03</v>
      </c>
      <c r="O213" s="27">
        <v>0.03</v>
      </c>
      <c r="P213" s="27">
        <v>0.03</v>
      </c>
      <c r="Q213" s="27">
        <v>0.03</v>
      </c>
      <c r="R213" s="27">
        <v>0.03</v>
      </c>
      <c r="S213" s="27">
        <v>0.03</v>
      </c>
      <c r="T213" s="27">
        <v>0.03</v>
      </c>
      <c r="U213" s="27">
        <v>0.03</v>
      </c>
      <c r="V213" s="27">
        <v>0.03</v>
      </c>
      <c r="W213" s="27">
        <v>0.03</v>
      </c>
      <c r="X213" s="27">
        <v>0.03</v>
      </c>
      <c r="Y213" s="27">
        <v>0.03</v>
      </c>
      <c r="Z213" s="27">
        <v>0.03</v>
      </c>
      <c r="AA213" s="27">
        <v>0.03</v>
      </c>
    </row>
    <row r="214" spans="1:27">
      <c r="A214" t="s">
        <v>12</v>
      </c>
      <c r="B214" t="s">
        <v>12</v>
      </c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spans="1:27">
      <c r="A215" t="s">
        <v>1014</v>
      </c>
      <c r="C215" s="27">
        <v>0.03</v>
      </c>
      <c r="D215" s="27">
        <v>0.03</v>
      </c>
      <c r="E215" s="27">
        <v>0.03</v>
      </c>
      <c r="F215" s="27">
        <v>0.03</v>
      </c>
      <c r="G215" s="27">
        <v>0.03</v>
      </c>
      <c r="H215" s="27">
        <v>0.03</v>
      </c>
      <c r="I215" s="27">
        <v>0.03</v>
      </c>
      <c r="J215" s="27">
        <v>0.03</v>
      </c>
      <c r="K215" s="27">
        <v>0.03</v>
      </c>
      <c r="L215" s="27">
        <v>0.03</v>
      </c>
      <c r="M215" s="27">
        <v>0.03</v>
      </c>
      <c r="N215" s="27">
        <v>0.03</v>
      </c>
      <c r="O215" s="27">
        <v>0.03</v>
      </c>
      <c r="P215" s="27">
        <v>0.03</v>
      </c>
      <c r="Q215" s="27">
        <v>0.03</v>
      </c>
      <c r="R215" s="27">
        <v>0.03</v>
      </c>
      <c r="S215" s="27">
        <v>0.03</v>
      </c>
      <c r="T215" s="27">
        <v>0.03</v>
      </c>
      <c r="U215" s="27">
        <v>0.03</v>
      </c>
      <c r="V215" s="27">
        <v>0.03</v>
      </c>
      <c r="W215" s="27">
        <v>0.03</v>
      </c>
      <c r="X215" s="27">
        <v>0.03</v>
      </c>
      <c r="Y215" s="27">
        <v>0.03</v>
      </c>
      <c r="Z215" s="27">
        <v>0.03</v>
      </c>
      <c r="AA215" s="27">
        <v>0.03</v>
      </c>
    </row>
    <row r="216" spans="1:27"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spans="1:27">
      <c r="A217" t="s">
        <v>1015</v>
      </c>
      <c r="B217">
        <v>820110</v>
      </c>
      <c r="C217" s="27">
        <v>1.1000000000000001</v>
      </c>
      <c r="D217" s="27">
        <v>1.1000000000000001</v>
      </c>
      <c r="E217" s="27">
        <v>1.1000000000000001</v>
      </c>
      <c r="F217" s="27">
        <v>1.1000000000000001</v>
      </c>
      <c r="G217" s="27">
        <v>1.1000000000000001</v>
      </c>
      <c r="H217" s="27">
        <v>1.1000000000000001</v>
      </c>
      <c r="I217" s="27">
        <v>1.1000000000000001</v>
      </c>
      <c r="J217" s="27">
        <v>1.1000000000000001</v>
      </c>
      <c r="K217" s="27">
        <v>2.65</v>
      </c>
      <c r="L217" s="27">
        <v>2.65</v>
      </c>
      <c r="M217" s="27">
        <v>2.65</v>
      </c>
      <c r="N217" s="27">
        <v>2.65</v>
      </c>
      <c r="O217" s="27">
        <v>2.65</v>
      </c>
      <c r="P217" s="27">
        <v>2.65</v>
      </c>
      <c r="Q217" s="27">
        <v>2.65</v>
      </c>
      <c r="R217" s="27">
        <v>2.65</v>
      </c>
      <c r="S217" s="27">
        <v>2.65</v>
      </c>
      <c r="T217" s="27">
        <v>2.65</v>
      </c>
      <c r="U217" s="27">
        <v>2.65</v>
      </c>
      <c r="V217" s="27">
        <v>2.65</v>
      </c>
      <c r="W217" s="27">
        <v>2.65</v>
      </c>
      <c r="X217" s="27">
        <v>2.65</v>
      </c>
      <c r="Y217" s="27">
        <v>2.65</v>
      </c>
      <c r="Z217" s="27">
        <v>2.65</v>
      </c>
      <c r="AA217" s="27">
        <v>2.13</v>
      </c>
    </row>
    <row r="218" spans="1:27">
      <c r="A218" t="s">
        <v>1016</v>
      </c>
      <c r="C218" s="27">
        <v>0.2</v>
      </c>
      <c r="D218" s="27">
        <v>0.2</v>
      </c>
      <c r="E218" s="27">
        <v>0.2</v>
      </c>
      <c r="F218" s="27">
        <v>0.2</v>
      </c>
      <c r="G218" s="27">
        <v>0.2</v>
      </c>
      <c r="H218" s="27">
        <v>0.2</v>
      </c>
      <c r="I218" s="27">
        <v>0.2</v>
      </c>
      <c r="J218" s="27">
        <v>0.2</v>
      </c>
      <c r="K218" s="27">
        <v>0.2</v>
      </c>
      <c r="L218" s="27">
        <v>0.2</v>
      </c>
      <c r="M218" s="27">
        <v>0.2</v>
      </c>
      <c r="N218" s="27">
        <v>0.2</v>
      </c>
      <c r="O218" s="27">
        <v>0.2</v>
      </c>
      <c r="P218" s="27">
        <v>0.2</v>
      </c>
      <c r="Q218" s="27">
        <v>0.2</v>
      </c>
      <c r="R218" s="27">
        <v>0.2</v>
      </c>
      <c r="S218" s="27">
        <v>0.2</v>
      </c>
      <c r="T218" s="27">
        <v>0.2</v>
      </c>
      <c r="U218" s="27">
        <v>0.2</v>
      </c>
      <c r="V218" s="27">
        <v>0.2</v>
      </c>
      <c r="W218" s="27">
        <v>0.2</v>
      </c>
      <c r="X218" s="27">
        <v>0.2</v>
      </c>
      <c r="Y218" s="27">
        <v>0.2</v>
      </c>
      <c r="Z218" s="27">
        <v>0.2</v>
      </c>
      <c r="AA218" s="27">
        <v>0.2</v>
      </c>
    </row>
    <row r="219" spans="1:27">
      <c r="A219" t="s">
        <v>12</v>
      </c>
      <c r="B219" t="s">
        <v>12</v>
      </c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spans="1:27">
      <c r="A220" t="s">
        <v>1017</v>
      </c>
      <c r="C220" s="27">
        <v>0.53</v>
      </c>
      <c r="D220" s="27">
        <v>0.53</v>
      </c>
      <c r="E220" s="27">
        <v>0.52</v>
      </c>
      <c r="F220" s="27">
        <v>0.52</v>
      </c>
      <c r="G220" s="27">
        <v>0.52</v>
      </c>
      <c r="H220" s="27">
        <v>0.52</v>
      </c>
      <c r="I220" s="27">
        <v>0.53</v>
      </c>
      <c r="J220" s="27">
        <v>0.53</v>
      </c>
      <c r="K220" s="27">
        <v>1.0900000000000001</v>
      </c>
      <c r="L220" s="27">
        <v>1.1100000000000001</v>
      </c>
      <c r="M220" s="27">
        <v>1.1200000000000001</v>
      </c>
      <c r="N220" s="27">
        <v>1.1399999999999999</v>
      </c>
      <c r="O220" s="27">
        <v>1.1599999999999999</v>
      </c>
      <c r="P220" s="27">
        <v>1.18</v>
      </c>
      <c r="Q220" s="27">
        <v>1.2</v>
      </c>
      <c r="R220" s="27">
        <v>1.22</v>
      </c>
      <c r="S220" s="27">
        <v>1.24</v>
      </c>
      <c r="T220" s="27">
        <v>1.26</v>
      </c>
      <c r="U220" s="27">
        <v>1.29</v>
      </c>
      <c r="V220" s="27">
        <v>1.31</v>
      </c>
      <c r="W220" s="27">
        <v>1.34</v>
      </c>
      <c r="X220" s="27">
        <v>1.36</v>
      </c>
      <c r="Y220" s="27">
        <v>1.39</v>
      </c>
      <c r="Z220" s="27">
        <v>1.42</v>
      </c>
      <c r="AA220" s="27">
        <v>1</v>
      </c>
    </row>
    <row r="221" spans="1:27"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 spans="1:27"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 spans="1:27">
      <c r="A223" t="s">
        <v>1018</v>
      </c>
      <c r="B223">
        <v>820116</v>
      </c>
      <c r="C223" s="27">
        <v>0.25</v>
      </c>
      <c r="D223" s="27">
        <v>0.25</v>
      </c>
      <c r="E223" s="27">
        <v>0.25</v>
      </c>
      <c r="F223" s="27">
        <v>0.25</v>
      </c>
      <c r="G223" s="27">
        <v>0.25</v>
      </c>
      <c r="H223" s="27">
        <v>0.25</v>
      </c>
      <c r="I223" s="27">
        <v>0.25</v>
      </c>
      <c r="J223" s="27">
        <v>0.25</v>
      </c>
      <c r="K223" s="27">
        <v>0.25</v>
      </c>
      <c r="L223" s="27">
        <v>0.25</v>
      </c>
      <c r="M223" s="27">
        <v>0.25</v>
      </c>
      <c r="N223" s="27">
        <v>0.25</v>
      </c>
      <c r="O223" s="27">
        <v>0.25</v>
      </c>
      <c r="P223" s="27">
        <v>0.25</v>
      </c>
      <c r="Q223" s="27">
        <v>0.25</v>
      </c>
      <c r="R223" s="27">
        <v>0.25</v>
      </c>
      <c r="S223" s="27">
        <v>0.25</v>
      </c>
      <c r="T223" s="27">
        <v>0.25</v>
      </c>
      <c r="U223" s="27">
        <v>0.25</v>
      </c>
      <c r="V223" s="27">
        <v>0.25</v>
      </c>
      <c r="W223" s="27">
        <v>0.25</v>
      </c>
      <c r="X223" s="27">
        <v>0.25</v>
      </c>
      <c r="Y223" s="27">
        <v>0.25</v>
      </c>
      <c r="Z223" s="27">
        <v>0.25</v>
      </c>
      <c r="AA223" s="27">
        <v>0.25</v>
      </c>
    </row>
    <row r="224" spans="1:27">
      <c r="A224" t="s">
        <v>1019</v>
      </c>
      <c r="C224" s="27">
        <v>0.14000000000000001</v>
      </c>
      <c r="D224" s="27">
        <v>0.14000000000000001</v>
      </c>
      <c r="E224" s="27">
        <v>0.14000000000000001</v>
      </c>
      <c r="F224" s="27">
        <v>0.14000000000000001</v>
      </c>
      <c r="G224" s="27">
        <v>0.14000000000000001</v>
      </c>
      <c r="H224" s="27">
        <v>0.14000000000000001</v>
      </c>
      <c r="I224" s="27">
        <v>0.14000000000000001</v>
      </c>
      <c r="J224" s="27">
        <v>0.14000000000000001</v>
      </c>
      <c r="K224" s="27">
        <v>0.14000000000000001</v>
      </c>
      <c r="L224" s="27">
        <v>0.14000000000000001</v>
      </c>
      <c r="M224" s="27">
        <v>0.14000000000000001</v>
      </c>
      <c r="N224" s="27">
        <v>0.14000000000000001</v>
      </c>
      <c r="O224" s="27">
        <v>0.14000000000000001</v>
      </c>
      <c r="P224" s="27">
        <v>0.14000000000000001</v>
      </c>
      <c r="Q224" s="27">
        <v>0.14000000000000001</v>
      </c>
      <c r="R224" s="27">
        <v>0.14000000000000001</v>
      </c>
      <c r="S224" s="27">
        <v>0.14000000000000001</v>
      </c>
      <c r="T224" s="27">
        <v>0.14000000000000001</v>
      </c>
      <c r="U224" s="27">
        <v>0.14000000000000001</v>
      </c>
      <c r="V224" s="27">
        <v>0.14000000000000001</v>
      </c>
      <c r="W224" s="27">
        <v>0.14000000000000001</v>
      </c>
      <c r="X224" s="27">
        <v>0.14000000000000001</v>
      </c>
      <c r="Y224" s="27">
        <v>0.14000000000000001</v>
      </c>
      <c r="Z224" s="27">
        <v>0.14000000000000001</v>
      </c>
      <c r="AA224" s="27">
        <v>0.14000000000000001</v>
      </c>
    </row>
    <row r="225" spans="1:27">
      <c r="A225" t="s">
        <v>1020</v>
      </c>
      <c r="C225" s="27">
        <v>0.3</v>
      </c>
      <c r="D225" s="27">
        <v>0.3</v>
      </c>
      <c r="E225" s="27">
        <v>0.3</v>
      </c>
      <c r="F225" s="27">
        <v>0.3</v>
      </c>
      <c r="G225" s="27">
        <v>0.3</v>
      </c>
      <c r="H225" s="27">
        <v>0.3</v>
      </c>
      <c r="I225" s="27">
        <v>0.3</v>
      </c>
      <c r="J225" s="27">
        <v>0.3</v>
      </c>
      <c r="K225" s="27">
        <v>0.3</v>
      </c>
      <c r="L225" s="27">
        <v>0.3</v>
      </c>
      <c r="M225" s="27">
        <v>0.3</v>
      </c>
      <c r="N225" s="27">
        <v>0.3</v>
      </c>
      <c r="O225" s="27">
        <v>0.3</v>
      </c>
      <c r="P225" s="27">
        <v>0.3</v>
      </c>
      <c r="Q225" s="27">
        <v>0.3</v>
      </c>
      <c r="R225" s="27">
        <v>0.3</v>
      </c>
      <c r="S225" s="27">
        <v>0.3</v>
      </c>
      <c r="T225" s="27">
        <v>0.3</v>
      </c>
      <c r="U225" s="27">
        <v>0.3</v>
      </c>
      <c r="V225" s="27">
        <v>0.3</v>
      </c>
      <c r="W225" s="27">
        <v>0.3</v>
      </c>
      <c r="X225" s="27">
        <v>0.3</v>
      </c>
      <c r="Y225" s="27">
        <v>0.3</v>
      </c>
      <c r="Z225" s="27">
        <v>0.3</v>
      </c>
      <c r="AA225" s="27">
        <v>0.3</v>
      </c>
    </row>
    <row r="226" spans="1:27">
      <c r="A226" t="s">
        <v>1021</v>
      </c>
      <c r="C226" s="27">
        <v>0.39</v>
      </c>
      <c r="D226" s="27">
        <v>0.39</v>
      </c>
      <c r="E226" s="27">
        <v>0.39</v>
      </c>
      <c r="F226" s="27">
        <v>0.39</v>
      </c>
      <c r="G226" s="27">
        <v>0.39</v>
      </c>
      <c r="H226" s="27">
        <v>0.39</v>
      </c>
      <c r="I226" s="27">
        <v>0.39</v>
      </c>
      <c r="J226" s="27">
        <v>0.39</v>
      </c>
      <c r="K226" s="27">
        <v>0.39</v>
      </c>
      <c r="L226" s="27">
        <v>0.39</v>
      </c>
      <c r="M226" s="27">
        <v>0.39</v>
      </c>
      <c r="N226" s="27">
        <v>0.39</v>
      </c>
      <c r="O226" s="27">
        <v>0.39</v>
      </c>
      <c r="P226" s="27">
        <v>0.39</v>
      </c>
      <c r="Q226" s="27">
        <v>0.39</v>
      </c>
      <c r="R226" s="27">
        <v>0.39</v>
      </c>
      <c r="S226" s="27">
        <v>0.39</v>
      </c>
      <c r="T226" s="27">
        <v>0.39</v>
      </c>
      <c r="U226" s="27">
        <v>0.39</v>
      </c>
      <c r="V226" s="27">
        <v>0.39</v>
      </c>
      <c r="W226" s="27">
        <v>0.39</v>
      </c>
      <c r="X226" s="27">
        <v>0.39</v>
      </c>
      <c r="Y226" s="27">
        <v>0.39</v>
      </c>
      <c r="Z226" s="27">
        <v>0.39</v>
      </c>
      <c r="AA226" s="27">
        <v>0.39</v>
      </c>
    </row>
    <row r="227" spans="1:27">
      <c r="A227" t="s">
        <v>1022</v>
      </c>
      <c r="C227" s="27">
        <v>0.17</v>
      </c>
      <c r="D227" s="27">
        <v>0.17</v>
      </c>
      <c r="E227" s="27">
        <v>0.17</v>
      </c>
      <c r="F227" s="27">
        <v>0.17</v>
      </c>
      <c r="G227" s="27">
        <v>0.17</v>
      </c>
      <c r="H227" s="27">
        <v>0.17</v>
      </c>
      <c r="I227" s="27">
        <v>0.17</v>
      </c>
      <c r="J227" s="27">
        <v>0.17</v>
      </c>
      <c r="K227" s="27">
        <v>0.17</v>
      </c>
      <c r="L227" s="27">
        <v>0.17</v>
      </c>
      <c r="M227" s="27">
        <v>0.17</v>
      </c>
      <c r="N227" s="27">
        <v>0.17</v>
      </c>
      <c r="O227" s="27">
        <v>0.17</v>
      </c>
      <c r="P227" s="27">
        <v>0.17</v>
      </c>
      <c r="Q227" s="27">
        <v>0.17</v>
      </c>
      <c r="R227" s="27">
        <v>0.17</v>
      </c>
      <c r="S227" s="27">
        <v>0.17</v>
      </c>
      <c r="T227" s="27">
        <v>0.17</v>
      </c>
      <c r="U227" s="27">
        <v>0.17</v>
      </c>
      <c r="V227" s="27">
        <v>0.17</v>
      </c>
      <c r="W227" s="27">
        <v>0.17</v>
      </c>
      <c r="X227" s="27">
        <v>0.17</v>
      </c>
      <c r="Y227" s="27">
        <v>0.17</v>
      </c>
      <c r="Z227" s="27">
        <v>0.17</v>
      </c>
      <c r="AA227" s="27">
        <v>0.17</v>
      </c>
    </row>
    <row r="228" spans="1:27">
      <c r="A228" t="s">
        <v>12</v>
      </c>
      <c r="B228" t="s">
        <v>12</v>
      </c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 spans="1:27">
      <c r="A229" t="s">
        <v>1023</v>
      </c>
      <c r="C229" s="27">
        <v>0.26</v>
      </c>
      <c r="D229" s="27">
        <v>0.26</v>
      </c>
      <c r="E229" s="27">
        <v>0.25</v>
      </c>
      <c r="F229" s="27">
        <v>0.25</v>
      </c>
      <c r="G229" s="27">
        <v>0.25</v>
      </c>
      <c r="H229" s="27">
        <v>0.25</v>
      </c>
      <c r="I229" s="27">
        <v>0.25</v>
      </c>
      <c r="J229" s="27">
        <v>0.25</v>
      </c>
      <c r="K229" s="27">
        <v>0.25</v>
      </c>
      <c r="L229" s="27">
        <v>0.25</v>
      </c>
      <c r="M229" s="27">
        <v>0.25</v>
      </c>
      <c r="N229" s="27">
        <v>0.25</v>
      </c>
      <c r="O229" s="27">
        <v>0.25</v>
      </c>
      <c r="P229" s="27">
        <v>0.25</v>
      </c>
      <c r="Q229" s="27">
        <v>0.25</v>
      </c>
      <c r="R229" s="27">
        <v>0.25</v>
      </c>
      <c r="S229" s="27">
        <v>0.25</v>
      </c>
      <c r="T229" s="27">
        <v>0.25</v>
      </c>
      <c r="U229" s="27">
        <v>0.25</v>
      </c>
      <c r="V229" s="27">
        <v>0.25</v>
      </c>
      <c r="W229" s="27">
        <v>0.25</v>
      </c>
      <c r="X229" s="27">
        <v>0.25</v>
      </c>
      <c r="Y229" s="27">
        <v>0.25</v>
      </c>
      <c r="Z229" s="27">
        <v>0.25</v>
      </c>
      <c r="AA229" s="27">
        <v>0.25</v>
      </c>
    </row>
    <row r="230" spans="1:27">
      <c r="A230" t="s">
        <v>12</v>
      </c>
      <c r="B230" t="s">
        <v>12</v>
      </c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 spans="1:27">
      <c r="A231" t="s">
        <v>361</v>
      </c>
      <c r="C231" s="27">
        <v>0.37</v>
      </c>
      <c r="D231" s="27">
        <v>0.38</v>
      </c>
      <c r="E231" s="27">
        <v>0.38</v>
      </c>
      <c r="F231" s="27">
        <v>0.37</v>
      </c>
      <c r="G231" s="27">
        <v>0.37</v>
      </c>
      <c r="H231" s="27">
        <v>0.37</v>
      </c>
      <c r="I231" s="27">
        <v>0.38</v>
      </c>
      <c r="J231" s="27">
        <v>0.38</v>
      </c>
      <c r="K231" s="27">
        <v>0.77</v>
      </c>
      <c r="L231" s="27">
        <v>0.78</v>
      </c>
      <c r="M231" s="27">
        <v>0.79</v>
      </c>
      <c r="N231" s="27">
        <v>0.8</v>
      </c>
      <c r="O231" s="27">
        <v>0.81</v>
      </c>
      <c r="P231" s="27">
        <v>0.82</v>
      </c>
      <c r="Q231" s="27">
        <v>0.83</v>
      </c>
      <c r="R231" s="27">
        <v>0.84</v>
      </c>
      <c r="S231" s="27">
        <v>0.85</v>
      </c>
      <c r="T231" s="27">
        <v>0.86</v>
      </c>
      <c r="U231" s="27">
        <v>0.87</v>
      </c>
      <c r="V231" s="27">
        <v>0.88</v>
      </c>
      <c r="W231" s="27">
        <v>0.89</v>
      </c>
      <c r="X231" s="27">
        <v>0.9</v>
      </c>
      <c r="Y231" s="27">
        <v>0.91</v>
      </c>
      <c r="Z231" s="27">
        <v>0.93</v>
      </c>
      <c r="AA231" s="27">
        <v>0.69</v>
      </c>
    </row>
    <row r="232" spans="1:27"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 spans="1:27"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 spans="1:27">
      <c r="A234" t="s">
        <v>365</v>
      </c>
      <c r="B234">
        <v>820305</v>
      </c>
      <c r="C234" s="27">
        <v>0.01</v>
      </c>
      <c r="D234" s="27">
        <v>0.01</v>
      </c>
      <c r="E234" s="27">
        <v>0.01</v>
      </c>
      <c r="F234" s="27">
        <v>0.01</v>
      </c>
      <c r="G234" s="27">
        <v>0.01</v>
      </c>
      <c r="H234" s="27">
        <v>0.01</v>
      </c>
      <c r="I234" s="27">
        <v>0.01</v>
      </c>
      <c r="J234" s="27">
        <v>0.01</v>
      </c>
      <c r="K234" s="27">
        <v>0.01</v>
      </c>
      <c r="L234" s="27">
        <v>0.01</v>
      </c>
      <c r="M234" s="27">
        <v>0.01</v>
      </c>
      <c r="N234" s="27">
        <v>0.01</v>
      </c>
      <c r="O234" s="27">
        <v>0.01</v>
      </c>
      <c r="P234" s="27">
        <v>0.01</v>
      </c>
      <c r="Q234" s="27">
        <v>0.01</v>
      </c>
      <c r="R234" s="27">
        <v>0.01</v>
      </c>
      <c r="S234" s="27">
        <v>0.01</v>
      </c>
      <c r="T234" s="27">
        <v>0.01</v>
      </c>
      <c r="U234" s="27">
        <v>0.01</v>
      </c>
      <c r="V234" s="27">
        <v>0.01</v>
      </c>
      <c r="W234" s="27">
        <v>0.01</v>
      </c>
      <c r="X234" s="27">
        <v>0.01</v>
      </c>
      <c r="Y234" s="27">
        <v>0.01</v>
      </c>
      <c r="Z234" s="27">
        <v>0.01</v>
      </c>
      <c r="AA234" s="27">
        <v>0.01</v>
      </c>
    </row>
    <row r="235" spans="1:27">
      <c r="A235" t="s">
        <v>12</v>
      </c>
      <c r="B235" t="s">
        <v>12</v>
      </c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 spans="1:27">
      <c r="A236" t="s">
        <v>12</v>
      </c>
      <c r="B236" t="s">
        <v>12</v>
      </c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 spans="1:27">
      <c r="A237" t="s">
        <v>1024</v>
      </c>
      <c r="C237" s="27">
        <v>0.01</v>
      </c>
      <c r="D237" s="27">
        <v>0.01</v>
      </c>
      <c r="E237" s="27">
        <v>0.01</v>
      </c>
      <c r="F237" s="27">
        <v>0.01</v>
      </c>
      <c r="G237" s="27">
        <v>0.01</v>
      </c>
      <c r="H237" s="27">
        <v>0.01</v>
      </c>
      <c r="I237" s="27">
        <v>0.01</v>
      </c>
      <c r="J237" s="27">
        <v>0.01</v>
      </c>
      <c r="K237" s="27">
        <v>0.01</v>
      </c>
      <c r="L237" s="27">
        <v>0.01</v>
      </c>
      <c r="M237" s="27">
        <v>0.01</v>
      </c>
      <c r="N237" s="27">
        <v>0.01</v>
      </c>
      <c r="O237" s="27">
        <v>0.01</v>
      </c>
      <c r="P237" s="27">
        <v>0.01</v>
      </c>
      <c r="Q237" s="27">
        <v>0.01</v>
      </c>
      <c r="R237" s="27">
        <v>0.01</v>
      </c>
      <c r="S237" s="27">
        <v>0.01</v>
      </c>
      <c r="T237" s="27">
        <v>0.01</v>
      </c>
      <c r="U237" s="27">
        <v>0.01</v>
      </c>
      <c r="V237" s="27">
        <v>0.01</v>
      </c>
      <c r="W237" s="27">
        <v>0.01</v>
      </c>
      <c r="X237" s="27">
        <v>0.01</v>
      </c>
      <c r="Y237" s="27">
        <v>0.01</v>
      </c>
      <c r="Z237" s="27">
        <v>0.01</v>
      </c>
      <c r="AA237" s="27">
        <v>0.01</v>
      </c>
    </row>
    <row r="238" spans="1:27"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 spans="1:27">
      <c r="A239" t="s">
        <v>367</v>
      </c>
      <c r="B239">
        <v>820400</v>
      </c>
      <c r="C239" s="27">
        <v>3</v>
      </c>
      <c r="D239" s="27">
        <v>3</v>
      </c>
      <c r="E239" s="27">
        <v>3</v>
      </c>
      <c r="F239" s="27">
        <v>3</v>
      </c>
      <c r="G239" s="27">
        <v>3</v>
      </c>
      <c r="H239" s="27">
        <v>3</v>
      </c>
      <c r="I239" s="27">
        <v>3</v>
      </c>
      <c r="J239" s="27">
        <v>3</v>
      </c>
      <c r="K239" s="27">
        <v>2.25</v>
      </c>
      <c r="L239" s="27">
        <v>2.02</v>
      </c>
      <c r="M239" s="27">
        <v>1.97</v>
      </c>
      <c r="N239" s="27">
        <v>1.91</v>
      </c>
      <c r="O239" s="27">
        <v>1.8</v>
      </c>
      <c r="P239" s="27">
        <v>1.8</v>
      </c>
      <c r="Q239" s="27">
        <v>1.8</v>
      </c>
      <c r="R239" s="27">
        <v>1.8</v>
      </c>
      <c r="S239" s="27">
        <v>1.8</v>
      </c>
      <c r="T239" s="27">
        <v>1.8</v>
      </c>
      <c r="U239" s="27">
        <v>1.8</v>
      </c>
      <c r="V239" s="27">
        <v>1.8</v>
      </c>
      <c r="W239" s="27">
        <v>1.8</v>
      </c>
      <c r="X239" s="27">
        <v>1.8</v>
      </c>
      <c r="Y239" s="27">
        <v>1.8</v>
      </c>
      <c r="Z239" s="27">
        <v>1.8</v>
      </c>
      <c r="AA239" s="27">
        <v>2.2400000000000002</v>
      </c>
    </row>
    <row r="240" spans="1:27">
      <c r="A240" t="s">
        <v>370</v>
      </c>
      <c r="B240">
        <v>820405</v>
      </c>
      <c r="C240" s="27">
        <v>3.99</v>
      </c>
      <c r="D240" s="27">
        <v>3.99</v>
      </c>
      <c r="E240" s="27">
        <v>3.99</v>
      </c>
      <c r="F240" s="27">
        <v>3.99</v>
      </c>
      <c r="G240" s="27">
        <v>3.99</v>
      </c>
      <c r="H240" s="27">
        <v>3.99</v>
      </c>
      <c r="I240" s="27">
        <v>3.99</v>
      </c>
      <c r="J240" s="27">
        <v>3.99</v>
      </c>
      <c r="K240" s="27">
        <v>3.31</v>
      </c>
      <c r="L240" s="27">
        <v>3.31</v>
      </c>
      <c r="M240" s="27">
        <v>3.31</v>
      </c>
      <c r="N240" s="27">
        <v>3.31</v>
      </c>
      <c r="O240" s="27">
        <v>3.04</v>
      </c>
      <c r="P240" s="27">
        <v>3.04</v>
      </c>
      <c r="Q240" s="27">
        <v>2.99</v>
      </c>
      <c r="R240" s="27">
        <v>2.99</v>
      </c>
      <c r="S240" s="27">
        <v>2.94</v>
      </c>
      <c r="T240" s="27">
        <v>2.94</v>
      </c>
      <c r="U240" s="27">
        <v>2.89</v>
      </c>
      <c r="V240" s="27">
        <v>2.89</v>
      </c>
      <c r="W240" s="27">
        <v>2.89</v>
      </c>
      <c r="X240" s="27">
        <v>2.89</v>
      </c>
      <c r="Y240" s="27">
        <v>2.89</v>
      </c>
      <c r="Z240" s="27">
        <v>2.89</v>
      </c>
      <c r="AA240" s="27">
        <v>3.35</v>
      </c>
    </row>
    <row r="241" spans="1:27">
      <c r="A241" t="s">
        <v>371</v>
      </c>
      <c r="B241">
        <v>820406</v>
      </c>
      <c r="C241" s="27">
        <v>0</v>
      </c>
      <c r="D241" s="27">
        <v>0</v>
      </c>
      <c r="E241" s="27">
        <v>0</v>
      </c>
      <c r="F241" s="27">
        <v>0</v>
      </c>
      <c r="G241" s="27">
        <v>0</v>
      </c>
      <c r="H241" s="27">
        <v>0</v>
      </c>
      <c r="I241" s="27">
        <v>0</v>
      </c>
      <c r="J241" s="27">
        <v>0</v>
      </c>
      <c r="K241" s="27">
        <v>3.31</v>
      </c>
      <c r="L241" s="27">
        <v>2.85</v>
      </c>
      <c r="M241" s="27">
        <v>2.82</v>
      </c>
      <c r="N241" s="27">
        <v>2.8</v>
      </c>
      <c r="O241" s="27">
        <v>2.75</v>
      </c>
      <c r="P241" s="27">
        <v>2.74</v>
      </c>
      <c r="Q241" s="27">
        <v>2.73</v>
      </c>
      <c r="R241" s="27">
        <v>2.72</v>
      </c>
      <c r="S241" s="27">
        <v>2.71</v>
      </c>
      <c r="T241" s="27">
        <v>2.7</v>
      </c>
      <c r="U241" s="27">
        <v>2.69</v>
      </c>
      <c r="V241" s="27">
        <v>2.67</v>
      </c>
      <c r="W241" s="27">
        <v>2.65</v>
      </c>
      <c r="X241" s="27">
        <v>2.64</v>
      </c>
      <c r="Y241" s="27">
        <v>2.62</v>
      </c>
      <c r="Z241" s="27">
        <v>2.61</v>
      </c>
      <c r="AA241" s="27">
        <v>1.83</v>
      </c>
    </row>
    <row r="242" spans="1:27">
      <c r="A242" t="s">
        <v>372</v>
      </c>
      <c r="B242">
        <v>820407</v>
      </c>
      <c r="C242" s="27">
        <v>0</v>
      </c>
      <c r="D242" s="27">
        <v>0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2.78</v>
      </c>
      <c r="M242" s="27">
        <v>2.75</v>
      </c>
      <c r="N242" s="27">
        <v>2.73</v>
      </c>
      <c r="O242" s="27">
        <v>2.68</v>
      </c>
      <c r="P242" s="27">
        <v>2.67</v>
      </c>
      <c r="Q242" s="27">
        <v>2.66</v>
      </c>
      <c r="R242" s="27">
        <v>2.65</v>
      </c>
      <c r="S242" s="27">
        <v>2.64</v>
      </c>
      <c r="T242" s="27">
        <v>2.63</v>
      </c>
      <c r="U242" s="27">
        <v>2.62</v>
      </c>
      <c r="V242" s="27">
        <v>2.6</v>
      </c>
      <c r="W242" s="27">
        <v>2.58</v>
      </c>
      <c r="X242" s="27">
        <v>2.57</v>
      </c>
      <c r="Y242" s="27">
        <v>2.5499999999999998</v>
      </c>
      <c r="Z242" s="27">
        <v>2.5299999999999998</v>
      </c>
      <c r="AA242" s="27">
        <v>1.65</v>
      </c>
    </row>
    <row r="243" spans="1:27">
      <c r="A243" t="s">
        <v>373</v>
      </c>
      <c r="B243">
        <v>820408</v>
      </c>
      <c r="C243" s="27">
        <v>4.9000000000000004</v>
      </c>
      <c r="D243" s="27">
        <v>4.9000000000000004</v>
      </c>
      <c r="E243" s="27">
        <v>4.9000000000000004</v>
      </c>
      <c r="F243" s="27">
        <v>4.9000000000000004</v>
      </c>
      <c r="G243" s="27">
        <v>4.9000000000000004</v>
      </c>
      <c r="H243" s="27">
        <v>4.9000000000000004</v>
      </c>
      <c r="I243" s="27">
        <v>4.9000000000000004</v>
      </c>
      <c r="J243" s="27">
        <v>4.9000000000000004</v>
      </c>
      <c r="K243" s="27">
        <v>0</v>
      </c>
      <c r="L243" s="27">
        <v>1.43</v>
      </c>
      <c r="M243" s="27">
        <v>1.41</v>
      </c>
      <c r="N243" s="27">
        <v>1.39</v>
      </c>
      <c r="O243" s="27">
        <v>1.34</v>
      </c>
      <c r="P243" s="27">
        <v>1.33</v>
      </c>
      <c r="Q243" s="27">
        <v>1.32</v>
      </c>
      <c r="R243" s="27">
        <v>1.31</v>
      </c>
      <c r="S243" s="27">
        <v>1.3</v>
      </c>
      <c r="T243" s="27">
        <v>1.29</v>
      </c>
      <c r="U243" s="27">
        <v>1.27</v>
      </c>
      <c r="V243" s="27">
        <v>1.26</v>
      </c>
      <c r="W243" s="27">
        <v>1.24</v>
      </c>
      <c r="X243" s="27">
        <v>1.22</v>
      </c>
      <c r="Y243" s="27">
        <v>1.21</v>
      </c>
      <c r="Z243" s="27">
        <v>1.19</v>
      </c>
      <c r="AA243" s="27">
        <v>2.4500000000000002</v>
      </c>
    </row>
    <row r="244" spans="1:27">
      <c r="A244" t="s">
        <v>374</v>
      </c>
      <c r="B244">
        <v>820409</v>
      </c>
      <c r="C244" s="27">
        <v>0</v>
      </c>
      <c r="D244" s="27">
        <v>0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4.0599999999999996</v>
      </c>
      <c r="L244" s="27">
        <v>4.0199999999999996</v>
      </c>
      <c r="M244" s="27">
        <v>3.85</v>
      </c>
      <c r="N244" s="27">
        <v>3.95</v>
      </c>
      <c r="O244" s="27">
        <v>3.65</v>
      </c>
      <c r="P244" s="27">
        <v>3.65</v>
      </c>
      <c r="Q244" s="27">
        <v>3.65</v>
      </c>
      <c r="R244" s="27">
        <v>3.65</v>
      </c>
      <c r="S244" s="27">
        <v>3.55</v>
      </c>
      <c r="T244" s="27">
        <v>3.55</v>
      </c>
      <c r="U244" s="27">
        <v>3.55</v>
      </c>
      <c r="V244" s="27">
        <v>3.55</v>
      </c>
      <c r="W244" s="27">
        <v>3.55</v>
      </c>
      <c r="X244" s="27">
        <v>3.55</v>
      </c>
      <c r="Y244" s="27">
        <v>3.55</v>
      </c>
      <c r="Z244" s="27">
        <v>3.55</v>
      </c>
      <c r="AA244" s="27">
        <v>2.4500000000000002</v>
      </c>
    </row>
    <row r="245" spans="1:27">
      <c r="A245" t="s">
        <v>375</v>
      </c>
      <c r="B245">
        <v>820414</v>
      </c>
      <c r="C245" s="27">
        <v>0.1</v>
      </c>
      <c r="D245" s="27">
        <v>0.1</v>
      </c>
      <c r="E245" s="27">
        <v>0.1</v>
      </c>
      <c r="F245" s="27">
        <v>0.1</v>
      </c>
      <c r="G245" s="27">
        <v>0.1</v>
      </c>
      <c r="H245" s="27">
        <v>0.1</v>
      </c>
      <c r="I245" s="27">
        <v>0.1</v>
      </c>
      <c r="J245" s="27">
        <v>0.1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  <c r="V245" s="27">
        <v>0</v>
      </c>
      <c r="W245" s="27">
        <v>0</v>
      </c>
      <c r="X245" s="27">
        <v>0</v>
      </c>
      <c r="Y245" s="27">
        <v>0</v>
      </c>
      <c r="Z245" s="27">
        <v>0</v>
      </c>
      <c r="AA245" s="27">
        <v>0.03</v>
      </c>
    </row>
    <row r="246" spans="1:27">
      <c r="A246" t="s">
        <v>376</v>
      </c>
      <c r="B246">
        <v>820410</v>
      </c>
      <c r="C246" s="27">
        <v>3</v>
      </c>
      <c r="D246" s="27">
        <v>3</v>
      </c>
      <c r="E246" s="27">
        <v>3</v>
      </c>
      <c r="F246" s="27">
        <v>3</v>
      </c>
      <c r="G246" s="27">
        <v>3</v>
      </c>
      <c r="H246" s="27">
        <v>3</v>
      </c>
      <c r="I246" s="27">
        <v>3</v>
      </c>
      <c r="J246" s="27">
        <v>3</v>
      </c>
      <c r="K246" s="27">
        <v>3</v>
      </c>
      <c r="L246" s="27">
        <v>3</v>
      </c>
      <c r="M246" s="27">
        <v>3</v>
      </c>
      <c r="N246" s="27">
        <v>3</v>
      </c>
      <c r="O246" s="27">
        <v>3</v>
      </c>
      <c r="P246" s="27">
        <v>3</v>
      </c>
      <c r="Q246" s="27">
        <v>3</v>
      </c>
      <c r="R246" s="27">
        <v>3</v>
      </c>
      <c r="S246" s="27">
        <v>3</v>
      </c>
      <c r="T246" s="27">
        <v>3</v>
      </c>
      <c r="U246" s="27">
        <v>3</v>
      </c>
      <c r="V246" s="27">
        <v>3</v>
      </c>
      <c r="W246" s="27">
        <v>3</v>
      </c>
      <c r="X246" s="27">
        <v>3</v>
      </c>
      <c r="Y246" s="27">
        <v>3</v>
      </c>
      <c r="Z246" s="27">
        <v>3</v>
      </c>
      <c r="AA246" s="27">
        <v>3</v>
      </c>
    </row>
    <row r="247" spans="1:27">
      <c r="A247" t="s">
        <v>377</v>
      </c>
      <c r="B247">
        <v>820411</v>
      </c>
      <c r="C247" s="27">
        <v>1.75</v>
      </c>
      <c r="D247" s="27">
        <v>1.75</v>
      </c>
      <c r="E247" s="27">
        <v>1.75</v>
      </c>
      <c r="F247" s="27">
        <v>1.75</v>
      </c>
      <c r="G247" s="27">
        <v>1.75</v>
      </c>
      <c r="H247" s="27">
        <v>1.75</v>
      </c>
      <c r="I247" s="27">
        <v>1.75</v>
      </c>
      <c r="J247" s="27">
        <v>1.75</v>
      </c>
      <c r="K247" s="27">
        <v>1.75</v>
      </c>
      <c r="L247" s="27">
        <v>1.75</v>
      </c>
      <c r="M247" s="27">
        <v>1.75</v>
      </c>
      <c r="N247" s="27">
        <v>1.75</v>
      </c>
      <c r="O247" s="27">
        <v>1.75</v>
      </c>
      <c r="P247" s="27">
        <v>1.75</v>
      </c>
      <c r="Q247" s="27">
        <v>1.75</v>
      </c>
      <c r="R247" s="27">
        <v>1.75</v>
      </c>
      <c r="S247" s="27">
        <v>1.75</v>
      </c>
      <c r="T247" s="27">
        <v>1.75</v>
      </c>
      <c r="U247" s="27">
        <v>1.75</v>
      </c>
      <c r="V247" s="27">
        <v>1.75</v>
      </c>
      <c r="W247" s="27">
        <v>1.75</v>
      </c>
      <c r="X247" s="27">
        <v>1.75</v>
      </c>
      <c r="Y247" s="27">
        <v>1.75</v>
      </c>
      <c r="Z247" s="27">
        <v>1.75</v>
      </c>
      <c r="AA247" s="27">
        <v>1.75</v>
      </c>
    </row>
    <row r="248" spans="1:27">
      <c r="A248" t="s">
        <v>378</v>
      </c>
      <c r="B248">
        <v>820413</v>
      </c>
      <c r="C248" s="27">
        <v>0.2</v>
      </c>
      <c r="D248" s="27">
        <v>0.2</v>
      </c>
      <c r="E248" s="27">
        <v>0.2</v>
      </c>
      <c r="F248" s="27">
        <v>0.2</v>
      </c>
      <c r="G248" s="27">
        <v>0.2</v>
      </c>
      <c r="H248" s="27">
        <v>0.2</v>
      </c>
      <c r="I248" s="27">
        <v>0.2</v>
      </c>
      <c r="J248" s="27">
        <v>0.2</v>
      </c>
      <c r="K248" s="27">
        <v>0.2</v>
      </c>
      <c r="L248" s="27">
        <v>0.2</v>
      </c>
      <c r="M248" s="27">
        <v>0.2</v>
      </c>
      <c r="N248" s="27">
        <v>0.2</v>
      </c>
      <c r="O248" s="27">
        <v>0.2</v>
      </c>
      <c r="P248" s="27">
        <v>0.2</v>
      </c>
      <c r="Q248" s="27">
        <v>0.2</v>
      </c>
      <c r="R248" s="27">
        <v>0.2</v>
      </c>
      <c r="S248" s="27">
        <v>0.2</v>
      </c>
      <c r="T248" s="27">
        <v>0.2</v>
      </c>
      <c r="U248" s="27">
        <v>0.2</v>
      </c>
      <c r="V248" s="27">
        <v>0.2</v>
      </c>
      <c r="W248" s="27">
        <v>0.2</v>
      </c>
      <c r="X248" s="27">
        <v>0.2</v>
      </c>
      <c r="Y248" s="27">
        <v>0.2</v>
      </c>
      <c r="Z248" s="27">
        <v>0.2</v>
      </c>
      <c r="AA248" s="27">
        <v>0.2</v>
      </c>
    </row>
    <row r="249" spans="1:27">
      <c r="A249" t="s">
        <v>379</v>
      </c>
      <c r="B249">
        <v>820415</v>
      </c>
      <c r="C249" s="27">
        <v>0.25</v>
      </c>
      <c r="D249" s="27">
        <v>0.25</v>
      </c>
      <c r="E249" s="27">
        <v>0.25</v>
      </c>
      <c r="F249" s="27">
        <v>0.25</v>
      </c>
      <c r="G249" s="27">
        <v>0.25</v>
      </c>
      <c r="H249" s="27">
        <v>0.25</v>
      </c>
      <c r="I249" s="27">
        <v>0.25</v>
      </c>
      <c r="J249" s="27">
        <v>0.25</v>
      </c>
      <c r="K249" s="27">
        <v>0.25</v>
      </c>
      <c r="L249" s="27">
        <v>0.25</v>
      </c>
      <c r="M249" s="27">
        <v>0.25</v>
      </c>
      <c r="N249" s="27">
        <v>0.25</v>
      </c>
      <c r="O249" s="27">
        <v>0.25</v>
      </c>
      <c r="P249" s="27">
        <v>0.25</v>
      </c>
      <c r="Q249" s="27">
        <v>0.25</v>
      </c>
      <c r="R249" s="27">
        <v>0.25</v>
      </c>
      <c r="S249" s="27">
        <v>0.25</v>
      </c>
      <c r="T249" s="27">
        <v>0.25</v>
      </c>
      <c r="U249" s="27">
        <v>0.25</v>
      </c>
      <c r="V249" s="27">
        <v>0.25</v>
      </c>
      <c r="W249" s="27">
        <v>0.25</v>
      </c>
      <c r="X249" s="27">
        <v>0.25</v>
      </c>
      <c r="Y249" s="27">
        <v>0.25</v>
      </c>
      <c r="Z249" s="27">
        <v>0.25</v>
      </c>
      <c r="AA249" s="27">
        <v>0.25</v>
      </c>
    </row>
    <row r="250" spans="1:27">
      <c r="A250" t="s">
        <v>380</v>
      </c>
      <c r="B250">
        <v>820416</v>
      </c>
      <c r="C250" s="27">
        <v>0</v>
      </c>
      <c r="D250" s="27">
        <v>0</v>
      </c>
      <c r="E250" s="27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0.25</v>
      </c>
      <c r="L250" s="27">
        <v>0.25</v>
      </c>
      <c r="M250" s="27">
        <v>0.25</v>
      </c>
      <c r="N250" s="27">
        <v>0.25</v>
      </c>
      <c r="O250" s="27">
        <v>0.25</v>
      </c>
      <c r="P250" s="27">
        <v>0.25</v>
      </c>
      <c r="Q250" s="27">
        <v>0.25</v>
      </c>
      <c r="R250" s="27">
        <v>0.25</v>
      </c>
      <c r="S250" s="27">
        <v>0.25</v>
      </c>
      <c r="T250" s="27">
        <v>0.25</v>
      </c>
      <c r="U250" s="27">
        <v>0.25</v>
      </c>
      <c r="V250" s="27">
        <v>0.25</v>
      </c>
      <c r="W250" s="27">
        <v>0.25</v>
      </c>
      <c r="X250" s="27">
        <v>0.25</v>
      </c>
      <c r="Y250" s="27">
        <v>0.25</v>
      </c>
      <c r="Z250" s="27">
        <v>0.25</v>
      </c>
      <c r="AA250" s="27">
        <v>0.17</v>
      </c>
    </row>
    <row r="251" spans="1:27">
      <c r="A251" t="s">
        <v>381</v>
      </c>
      <c r="B251">
        <v>820418</v>
      </c>
      <c r="C251" s="27">
        <v>0</v>
      </c>
      <c r="D251" s="27">
        <v>0</v>
      </c>
      <c r="E251" s="27">
        <v>0</v>
      </c>
      <c r="F251" s="27">
        <v>0</v>
      </c>
      <c r="G251" s="27">
        <v>0</v>
      </c>
      <c r="H251" s="27">
        <v>0</v>
      </c>
      <c r="I251" s="27">
        <v>0</v>
      </c>
      <c r="J251" s="27">
        <v>0</v>
      </c>
      <c r="K251" s="27">
        <v>2.54</v>
      </c>
      <c r="L251" s="27">
        <v>2.84</v>
      </c>
      <c r="M251" s="27">
        <v>2.84</v>
      </c>
      <c r="N251" s="27">
        <v>2.85</v>
      </c>
      <c r="O251" s="27">
        <v>2.87</v>
      </c>
      <c r="P251" s="27">
        <v>2.87</v>
      </c>
      <c r="Q251" s="27">
        <v>2.87</v>
      </c>
      <c r="R251" s="27">
        <v>2.87</v>
      </c>
      <c r="S251" s="27">
        <v>2.88</v>
      </c>
      <c r="T251" s="27">
        <v>2.88</v>
      </c>
      <c r="U251" s="27">
        <v>2.89</v>
      </c>
      <c r="V251" s="27">
        <v>2.89</v>
      </c>
      <c r="W251" s="27">
        <v>2.9</v>
      </c>
      <c r="X251" s="27">
        <v>2.9</v>
      </c>
      <c r="Y251" s="27">
        <v>2.91</v>
      </c>
      <c r="Z251" s="27">
        <v>2.91</v>
      </c>
      <c r="AA251" s="27">
        <v>1.9</v>
      </c>
    </row>
    <row r="252" spans="1:27">
      <c r="A252" t="s">
        <v>1025</v>
      </c>
      <c r="B252">
        <v>820420</v>
      </c>
      <c r="C252" s="27">
        <v>0.25</v>
      </c>
      <c r="D252" s="27">
        <v>0.25</v>
      </c>
      <c r="E252" s="27">
        <v>0.25</v>
      </c>
      <c r="F252" s="27">
        <v>0.25</v>
      </c>
      <c r="G252" s="27">
        <v>0.25</v>
      </c>
      <c r="H252" s="27">
        <v>0.25</v>
      </c>
      <c r="I252" s="27">
        <v>0.25</v>
      </c>
      <c r="J252" s="27">
        <v>0.25</v>
      </c>
      <c r="K252" s="27">
        <v>2.54</v>
      </c>
      <c r="L252" s="27">
        <v>2.84</v>
      </c>
      <c r="M252" s="27">
        <v>2.84</v>
      </c>
      <c r="N252" s="27">
        <v>2.85</v>
      </c>
      <c r="O252" s="27">
        <v>2.87</v>
      </c>
      <c r="P252" s="27">
        <v>2.87</v>
      </c>
      <c r="Q252" s="27">
        <v>2.87</v>
      </c>
      <c r="R252" s="27">
        <v>2.87</v>
      </c>
      <c r="S252" s="27">
        <v>2.88</v>
      </c>
      <c r="T252" s="27">
        <v>2.88</v>
      </c>
      <c r="U252" s="27">
        <v>2.89</v>
      </c>
      <c r="V252" s="27">
        <v>2.89</v>
      </c>
      <c r="W252" s="27">
        <v>2.9</v>
      </c>
      <c r="X252" s="27">
        <v>2.9</v>
      </c>
      <c r="Y252" s="27">
        <v>2.91</v>
      </c>
      <c r="Z252" s="27">
        <v>2.91</v>
      </c>
      <c r="AA252" s="27">
        <v>1.99</v>
      </c>
    </row>
    <row r="253" spans="1:27">
      <c r="A253" t="s">
        <v>384</v>
      </c>
      <c r="B253">
        <v>820425</v>
      </c>
      <c r="C253" s="27">
        <v>0.3</v>
      </c>
      <c r="D253" s="27">
        <v>0.3</v>
      </c>
      <c r="E253" s="27">
        <v>0.3</v>
      </c>
      <c r="F253" s="27">
        <v>0.3</v>
      </c>
      <c r="G253" s="27">
        <v>0.3</v>
      </c>
      <c r="H253" s="27">
        <v>0.3</v>
      </c>
      <c r="I253" s="27">
        <v>0.3</v>
      </c>
      <c r="J253" s="27">
        <v>0.3</v>
      </c>
      <c r="K253" s="27">
        <v>2.54</v>
      </c>
      <c r="L253" s="27">
        <v>1.51</v>
      </c>
      <c r="M253" s="27">
        <v>1.54</v>
      </c>
      <c r="N253" s="27">
        <v>1.57</v>
      </c>
      <c r="O253" s="27">
        <v>1.62</v>
      </c>
      <c r="P253" s="27">
        <v>1.63</v>
      </c>
      <c r="Q253" s="27">
        <v>1.64</v>
      </c>
      <c r="R253" s="27">
        <v>1.65</v>
      </c>
      <c r="S253" s="27">
        <v>1.66</v>
      </c>
      <c r="T253" s="27">
        <v>1.67</v>
      </c>
      <c r="U253" s="27">
        <v>1.69</v>
      </c>
      <c r="V253" s="27">
        <v>1.71</v>
      </c>
      <c r="W253" s="27">
        <v>1.73</v>
      </c>
      <c r="X253" s="27">
        <v>1.74</v>
      </c>
      <c r="Y253" s="27">
        <v>1.76</v>
      </c>
      <c r="Z253" s="27">
        <v>1.78</v>
      </c>
      <c r="AA253" s="27">
        <v>1.24</v>
      </c>
    </row>
    <row r="254" spans="1:27">
      <c r="A254" t="s">
        <v>385</v>
      </c>
      <c r="B254">
        <v>820426</v>
      </c>
      <c r="C254" s="27">
        <v>0</v>
      </c>
      <c r="D254" s="27">
        <v>0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2.54</v>
      </c>
      <c r="L254" s="27">
        <v>1.51</v>
      </c>
      <c r="M254" s="27">
        <v>1.54</v>
      </c>
      <c r="N254" s="27">
        <v>1.57</v>
      </c>
      <c r="O254" s="27">
        <v>1.62</v>
      </c>
      <c r="P254" s="27">
        <v>1.63</v>
      </c>
      <c r="Q254" s="27">
        <v>1.64</v>
      </c>
      <c r="R254" s="27">
        <v>1.65</v>
      </c>
      <c r="S254" s="27">
        <v>1.66</v>
      </c>
      <c r="T254" s="27">
        <v>1.67</v>
      </c>
      <c r="U254" s="27">
        <v>1.69</v>
      </c>
      <c r="V254" s="27">
        <v>1.71</v>
      </c>
      <c r="W254" s="27">
        <v>1.73</v>
      </c>
      <c r="X254" s="27">
        <v>1.74</v>
      </c>
      <c r="Y254" s="27">
        <v>1.76</v>
      </c>
      <c r="Z254" s="27">
        <v>1.78</v>
      </c>
      <c r="AA254" s="27">
        <v>1.1399999999999999</v>
      </c>
    </row>
    <row r="255" spans="1:27">
      <c r="A255" t="s">
        <v>386</v>
      </c>
      <c r="B255">
        <v>820430</v>
      </c>
      <c r="C255" s="27">
        <v>2.4700000000000002</v>
      </c>
      <c r="D255" s="27">
        <v>2.4700000000000002</v>
      </c>
      <c r="E255" s="27">
        <v>2.4700000000000002</v>
      </c>
      <c r="F255" s="27">
        <v>2.4700000000000002</v>
      </c>
      <c r="G255" s="27">
        <v>2.4700000000000002</v>
      </c>
      <c r="H255" s="27">
        <v>2.4700000000000002</v>
      </c>
      <c r="I255" s="27">
        <v>2.4700000000000002</v>
      </c>
      <c r="J255" s="27">
        <v>2.4700000000000002</v>
      </c>
      <c r="K255" s="27">
        <v>2.31</v>
      </c>
      <c r="L255" s="27">
        <v>0.51</v>
      </c>
      <c r="M255" s="27">
        <v>0.54</v>
      </c>
      <c r="N255" s="27">
        <v>0.56999999999999995</v>
      </c>
      <c r="O255" s="27">
        <v>0.64</v>
      </c>
      <c r="P255" s="27">
        <v>0.66</v>
      </c>
      <c r="Q255" s="27">
        <v>0.67</v>
      </c>
      <c r="R255" s="27">
        <v>0.68</v>
      </c>
      <c r="S255" s="27">
        <v>0.7</v>
      </c>
      <c r="T255" s="27">
        <v>0.71</v>
      </c>
      <c r="U255" s="27">
        <v>0.74</v>
      </c>
      <c r="V255" s="27">
        <v>0.76</v>
      </c>
      <c r="W255" s="27">
        <v>0.78</v>
      </c>
      <c r="X255" s="27">
        <v>0.8</v>
      </c>
      <c r="Y255" s="27">
        <v>0.83</v>
      </c>
      <c r="Z255" s="27">
        <v>0.85</v>
      </c>
      <c r="AA255" s="27">
        <v>1.35</v>
      </c>
    </row>
    <row r="256" spans="1:27">
      <c r="A256" t="s">
        <v>387</v>
      </c>
      <c r="B256">
        <v>820434</v>
      </c>
      <c r="C256" s="27">
        <v>0.4</v>
      </c>
      <c r="D256" s="27">
        <v>0.4</v>
      </c>
      <c r="E256" s="27">
        <v>0.4</v>
      </c>
      <c r="F256" s="27">
        <v>0.4</v>
      </c>
      <c r="G256" s="27">
        <v>0.4</v>
      </c>
      <c r="H256" s="27">
        <v>0.4</v>
      </c>
      <c r="I256" s="27">
        <v>0.4</v>
      </c>
      <c r="J256" s="27">
        <v>0.4</v>
      </c>
      <c r="K256" s="27">
        <v>0.4</v>
      </c>
      <c r="L256" s="27">
        <v>0.4</v>
      </c>
      <c r="M256" s="27">
        <v>0.4</v>
      </c>
      <c r="N256" s="27">
        <v>0.4</v>
      </c>
      <c r="O256" s="27">
        <v>0.4</v>
      </c>
      <c r="P256" s="27">
        <v>0.4</v>
      </c>
      <c r="Q256" s="27">
        <v>0.4</v>
      </c>
      <c r="R256" s="27">
        <v>0.4</v>
      </c>
      <c r="S256" s="27">
        <v>0.4</v>
      </c>
      <c r="T256" s="27">
        <v>0.4</v>
      </c>
      <c r="U256" s="27">
        <v>0.4</v>
      </c>
      <c r="V256" s="27">
        <v>0.4</v>
      </c>
      <c r="W256" s="27">
        <v>0.4</v>
      </c>
      <c r="X256" s="27">
        <v>0.4</v>
      </c>
      <c r="Y256" s="27">
        <v>0.4</v>
      </c>
      <c r="Z256" s="27">
        <v>0.4</v>
      </c>
      <c r="AA256" s="27">
        <v>0.4</v>
      </c>
    </row>
    <row r="257" spans="1:27">
      <c r="A257" t="s">
        <v>388</v>
      </c>
      <c r="B257">
        <v>820435</v>
      </c>
      <c r="C257" s="27">
        <v>2.4700000000000002</v>
      </c>
      <c r="D257" s="27">
        <v>2.4700000000000002</v>
      </c>
      <c r="E257" s="27">
        <v>2.4700000000000002</v>
      </c>
      <c r="F257" s="27">
        <v>2.4700000000000002</v>
      </c>
      <c r="G257" s="27">
        <v>2.4700000000000002</v>
      </c>
      <c r="H257" s="27">
        <v>2.4700000000000002</v>
      </c>
      <c r="I257" s="27">
        <v>2.4700000000000002</v>
      </c>
      <c r="J257" s="27">
        <v>2.4700000000000002</v>
      </c>
      <c r="K257" s="27">
        <v>2.33</v>
      </c>
      <c r="L257" s="27">
        <v>0.64</v>
      </c>
      <c r="M257" s="27">
        <v>0.67</v>
      </c>
      <c r="N257" s="27">
        <v>0.7</v>
      </c>
      <c r="O257" s="27">
        <v>0.77</v>
      </c>
      <c r="P257" s="27">
        <v>0.79</v>
      </c>
      <c r="Q257" s="27">
        <v>0.8</v>
      </c>
      <c r="R257" s="27">
        <v>0.81</v>
      </c>
      <c r="S257" s="27">
        <v>0.83</v>
      </c>
      <c r="T257" s="27">
        <v>0.84</v>
      </c>
      <c r="U257" s="27">
        <v>0.87</v>
      </c>
      <c r="V257" s="27">
        <v>0.89</v>
      </c>
      <c r="W257" s="27">
        <v>0.91</v>
      </c>
      <c r="X257" s="27">
        <v>0.93</v>
      </c>
      <c r="Y257" s="27">
        <v>0.96</v>
      </c>
      <c r="Z257" s="27">
        <v>0.98</v>
      </c>
      <c r="AA257" s="27">
        <v>1.44</v>
      </c>
    </row>
    <row r="258" spans="1:27">
      <c r="A258" t="s">
        <v>389</v>
      </c>
      <c r="B258">
        <v>820440</v>
      </c>
      <c r="C258" s="27">
        <v>2.4700000000000002</v>
      </c>
      <c r="D258" s="27">
        <v>2.4700000000000002</v>
      </c>
      <c r="E258" s="27">
        <v>2.4700000000000002</v>
      </c>
      <c r="F258" s="27">
        <v>2.4700000000000002</v>
      </c>
      <c r="G258" s="27">
        <v>2.4700000000000002</v>
      </c>
      <c r="H258" s="27">
        <v>2.4700000000000002</v>
      </c>
      <c r="I258" s="27">
        <v>2.4700000000000002</v>
      </c>
      <c r="J258" s="27">
        <v>2.4700000000000002</v>
      </c>
      <c r="K258" s="27">
        <v>2.4500000000000002</v>
      </c>
      <c r="L258" s="27">
        <v>2.4500000000000002</v>
      </c>
      <c r="M258" s="27">
        <v>2.4500000000000002</v>
      </c>
      <c r="N258" s="27">
        <v>2.4500000000000002</v>
      </c>
      <c r="O258" s="27">
        <v>2.4500000000000002</v>
      </c>
      <c r="P258" s="27">
        <v>2.4500000000000002</v>
      </c>
      <c r="Q258" s="27">
        <v>2.4500000000000002</v>
      </c>
      <c r="R258" s="27">
        <v>2.4500000000000002</v>
      </c>
      <c r="S258" s="27">
        <v>2.4500000000000002</v>
      </c>
      <c r="T258" s="27">
        <v>2.4500000000000002</v>
      </c>
      <c r="U258" s="27">
        <v>2.4500000000000002</v>
      </c>
      <c r="V258" s="27">
        <v>2.4500000000000002</v>
      </c>
      <c r="W258" s="27">
        <v>2.4500000000000002</v>
      </c>
      <c r="X258" s="27">
        <v>2.4500000000000002</v>
      </c>
      <c r="Y258" s="27">
        <v>2.4500000000000002</v>
      </c>
      <c r="Z258" s="27">
        <v>2.4500000000000002</v>
      </c>
      <c r="AA258" s="27">
        <v>2.46</v>
      </c>
    </row>
    <row r="259" spans="1:27">
      <c r="A259" t="s">
        <v>1026</v>
      </c>
      <c r="B259">
        <v>820445</v>
      </c>
      <c r="C259" s="27">
        <v>3.99</v>
      </c>
      <c r="D259" s="27">
        <v>3.99</v>
      </c>
      <c r="E259" s="27">
        <v>3.99</v>
      </c>
      <c r="F259" s="27">
        <v>3.99</v>
      </c>
      <c r="G259" s="27">
        <v>3.99</v>
      </c>
      <c r="H259" s="27">
        <v>3.99</v>
      </c>
      <c r="I259" s="27">
        <v>3.99</v>
      </c>
      <c r="J259" s="27">
        <v>3.99</v>
      </c>
      <c r="K259" s="27">
        <v>3.31</v>
      </c>
      <c r="L259" s="27">
        <v>3.31</v>
      </c>
      <c r="M259" s="27">
        <v>3.31</v>
      </c>
      <c r="N259" s="27">
        <v>3.31</v>
      </c>
      <c r="O259" s="27">
        <v>3.15</v>
      </c>
      <c r="P259" s="27">
        <v>3.15</v>
      </c>
      <c r="Q259" s="27">
        <v>3.1</v>
      </c>
      <c r="R259" s="27">
        <v>3.1</v>
      </c>
      <c r="S259" s="27">
        <v>3.05</v>
      </c>
      <c r="T259" s="27">
        <v>3.05</v>
      </c>
      <c r="U259" s="27">
        <v>3</v>
      </c>
      <c r="V259" s="27">
        <v>3</v>
      </c>
      <c r="W259" s="27">
        <v>3</v>
      </c>
      <c r="X259" s="27">
        <v>3</v>
      </c>
      <c r="Y259" s="27">
        <v>3</v>
      </c>
      <c r="Z259" s="27">
        <v>3</v>
      </c>
      <c r="AA259" s="27">
        <v>3.41</v>
      </c>
    </row>
    <row r="260" spans="1:27">
      <c r="A260" t="s">
        <v>1027</v>
      </c>
      <c r="B260">
        <v>820450</v>
      </c>
      <c r="C260" s="27">
        <v>3</v>
      </c>
      <c r="D260" s="27">
        <v>3</v>
      </c>
      <c r="E260" s="27">
        <v>3</v>
      </c>
      <c r="F260" s="27">
        <v>3</v>
      </c>
      <c r="G260" s="27">
        <v>3</v>
      </c>
      <c r="H260" s="27">
        <v>3</v>
      </c>
      <c r="I260" s="27">
        <v>3</v>
      </c>
      <c r="J260" s="27">
        <v>3</v>
      </c>
      <c r="K260" s="27">
        <v>3</v>
      </c>
      <c r="L260" s="27">
        <v>3</v>
      </c>
      <c r="M260" s="27">
        <v>3</v>
      </c>
      <c r="N260" s="27">
        <v>3</v>
      </c>
      <c r="O260" s="27">
        <v>3</v>
      </c>
      <c r="P260" s="27">
        <v>3</v>
      </c>
      <c r="Q260" s="27">
        <v>3</v>
      </c>
      <c r="R260" s="27">
        <v>3</v>
      </c>
      <c r="S260" s="27">
        <v>3</v>
      </c>
      <c r="T260" s="27">
        <v>3</v>
      </c>
      <c r="U260" s="27">
        <v>3</v>
      </c>
      <c r="V260" s="27">
        <v>3</v>
      </c>
      <c r="W260" s="27">
        <v>3</v>
      </c>
      <c r="X260" s="27">
        <v>3</v>
      </c>
      <c r="Y260" s="27">
        <v>3</v>
      </c>
      <c r="Z260" s="27">
        <v>3</v>
      </c>
      <c r="AA260" s="27">
        <v>3</v>
      </c>
    </row>
    <row r="261" spans="1:27">
      <c r="A261" t="s">
        <v>1028</v>
      </c>
      <c r="B261">
        <v>820451</v>
      </c>
      <c r="C261" s="27">
        <v>0.2</v>
      </c>
      <c r="D261" s="27">
        <v>0.2</v>
      </c>
      <c r="E261" s="27">
        <v>0.2</v>
      </c>
      <c r="F261" s="27">
        <v>0.2</v>
      </c>
      <c r="G261" s="27">
        <v>0.2</v>
      </c>
      <c r="H261" s="27">
        <v>0.2</v>
      </c>
      <c r="I261" s="27">
        <v>0.2</v>
      </c>
      <c r="J261" s="27">
        <v>0.2</v>
      </c>
      <c r="K261" s="27">
        <v>0.2</v>
      </c>
      <c r="L261" s="27">
        <v>0.2</v>
      </c>
      <c r="M261" s="27">
        <v>0.2</v>
      </c>
      <c r="N261" s="27">
        <v>0.2</v>
      </c>
      <c r="O261" s="27">
        <v>0.2</v>
      </c>
      <c r="P261" s="27">
        <v>0.2</v>
      </c>
      <c r="Q261" s="27">
        <v>0.2</v>
      </c>
      <c r="R261" s="27">
        <v>0.2</v>
      </c>
      <c r="S261" s="27">
        <v>0.2</v>
      </c>
      <c r="T261" s="27">
        <v>0.2</v>
      </c>
      <c r="U261" s="27">
        <v>0.2</v>
      </c>
      <c r="V261" s="27">
        <v>0.2</v>
      </c>
      <c r="W261" s="27">
        <v>0.2</v>
      </c>
      <c r="X261" s="27">
        <v>0.2</v>
      </c>
      <c r="Y261" s="27">
        <v>0.2</v>
      </c>
      <c r="Z261" s="27">
        <v>0.2</v>
      </c>
      <c r="AA261" s="27">
        <v>0.2</v>
      </c>
    </row>
    <row r="262" spans="1:27">
      <c r="A262" t="s">
        <v>1029</v>
      </c>
      <c r="B262">
        <v>820455</v>
      </c>
      <c r="C262" s="27">
        <v>2.96</v>
      </c>
      <c r="D262" s="27">
        <v>2.96</v>
      </c>
      <c r="E262" s="27">
        <v>2.96</v>
      </c>
      <c r="F262" s="27">
        <v>2.96</v>
      </c>
      <c r="G262" s="27">
        <v>2.96</v>
      </c>
      <c r="H262" s="27">
        <v>2.96</v>
      </c>
      <c r="I262" s="27">
        <v>2.96</v>
      </c>
      <c r="J262" s="27">
        <v>2.96</v>
      </c>
      <c r="K262" s="27">
        <v>3.31</v>
      </c>
      <c r="L262" s="27">
        <v>2.85</v>
      </c>
      <c r="M262" s="27">
        <v>2.82</v>
      </c>
      <c r="N262" s="27">
        <v>2.8</v>
      </c>
      <c r="O262" s="27">
        <v>3.05</v>
      </c>
      <c r="P262" s="27">
        <v>3.05</v>
      </c>
      <c r="Q262" s="27">
        <v>3</v>
      </c>
      <c r="R262" s="27">
        <v>3</v>
      </c>
      <c r="S262" s="27">
        <v>2.95</v>
      </c>
      <c r="T262" s="27">
        <v>2.95</v>
      </c>
      <c r="U262" s="27">
        <v>2.9</v>
      </c>
      <c r="V262" s="27">
        <v>2.9</v>
      </c>
      <c r="W262" s="27">
        <v>2.9</v>
      </c>
      <c r="X262" s="27">
        <v>2.9</v>
      </c>
      <c r="Y262" s="27">
        <v>2.9</v>
      </c>
      <c r="Z262" s="27">
        <v>2.9</v>
      </c>
      <c r="AA262" s="27">
        <v>2.95</v>
      </c>
    </row>
    <row r="263" spans="1:27">
      <c r="A263" t="s">
        <v>1030</v>
      </c>
      <c r="B263">
        <v>820460</v>
      </c>
      <c r="C263" s="27">
        <v>2.96</v>
      </c>
      <c r="D263" s="27">
        <v>2.96</v>
      </c>
      <c r="E263" s="27">
        <v>2.96</v>
      </c>
      <c r="F263" s="27">
        <v>2.96</v>
      </c>
      <c r="G263" s="27">
        <v>2.96</v>
      </c>
      <c r="H263" s="27">
        <v>2.96</v>
      </c>
      <c r="I263" s="27">
        <v>2.96</v>
      </c>
      <c r="J263" s="27">
        <v>2.96</v>
      </c>
      <c r="K263" s="27">
        <v>2.5</v>
      </c>
      <c r="L263" s="27">
        <v>2.84</v>
      </c>
      <c r="M263" s="27">
        <v>2.84</v>
      </c>
      <c r="N263" s="27">
        <v>2.85</v>
      </c>
      <c r="O263" s="27">
        <v>2.87</v>
      </c>
      <c r="P263" s="27">
        <v>2.87</v>
      </c>
      <c r="Q263" s="27">
        <v>2.87</v>
      </c>
      <c r="R263" s="27">
        <v>2.87</v>
      </c>
      <c r="S263" s="27">
        <v>2.88</v>
      </c>
      <c r="T263" s="27">
        <v>2.88</v>
      </c>
      <c r="U263" s="27">
        <v>2.89</v>
      </c>
      <c r="V263" s="27">
        <v>2.89</v>
      </c>
      <c r="W263" s="27">
        <v>2.9</v>
      </c>
      <c r="X263" s="27">
        <v>2.9</v>
      </c>
      <c r="Y263" s="27">
        <v>2.91</v>
      </c>
      <c r="Z263" s="27">
        <v>2.91</v>
      </c>
      <c r="AA263" s="27">
        <v>2.89</v>
      </c>
    </row>
    <row r="264" spans="1:27">
      <c r="A264" t="s">
        <v>1031</v>
      </c>
      <c r="B264">
        <v>820465</v>
      </c>
      <c r="C264" s="27">
        <v>2.96</v>
      </c>
      <c r="D264" s="27">
        <v>2.96</v>
      </c>
      <c r="E264" s="27">
        <v>2.96</v>
      </c>
      <c r="F264" s="27">
        <v>2.96</v>
      </c>
      <c r="G264" s="27">
        <v>2.96</v>
      </c>
      <c r="H264" s="27">
        <v>2.96</v>
      </c>
      <c r="I264" s="27">
        <v>2.96</v>
      </c>
      <c r="J264" s="27">
        <v>2.96</v>
      </c>
      <c r="K264" s="27">
        <v>2.5</v>
      </c>
      <c r="L264" s="27">
        <v>2.84</v>
      </c>
      <c r="M264" s="27">
        <v>2.84</v>
      </c>
      <c r="N264" s="27">
        <v>2.85</v>
      </c>
      <c r="O264" s="27">
        <v>2.87</v>
      </c>
      <c r="P264" s="27">
        <v>2.87</v>
      </c>
      <c r="Q264" s="27">
        <v>2.87</v>
      </c>
      <c r="R264" s="27">
        <v>2.87</v>
      </c>
      <c r="S264" s="27">
        <v>2.88</v>
      </c>
      <c r="T264" s="27">
        <v>2.88</v>
      </c>
      <c r="U264" s="27">
        <v>2.89</v>
      </c>
      <c r="V264" s="27">
        <v>2.89</v>
      </c>
      <c r="W264" s="27">
        <v>2.9</v>
      </c>
      <c r="X264" s="27">
        <v>2.9</v>
      </c>
      <c r="Y264" s="27">
        <v>2.91</v>
      </c>
      <c r="Z264" s="27">
        <v>2.91</v>
      </c>
      <c r="AA264" s="27">
        <v>2.89</v>
      </c>
    </row>
    <row r="265" spans="1:27">
      <c r="A265" t="s">
        <v>1032</v>
      </c>
      <c r="B265">
        <v>820470</v>
      </c>
      <c r="C265" s="27">
        <v>2.71</v>
      </c>
      <c r="D265" s="27">
        <v>2.71</v>
      </c>
      <c r="E265" s="27">
        <v>2.71</v>
      </c>
      <c r="F265" s="27">
        <v>2.71</v>
      </c>
      <c r="G265" s="27">
        <v>2.71</v>
      </c>
      <c r="H265" s="27">
        <v>2.71</v>
      </c>
      <c r="I265" s="27">
        <v>2.71</v>
      </c>
      <c r="J265" s="27">
        <v>2.71</v>
      </c>
      <c r="K265" s="27">
        <v>2.54</v>
      </c>
      <c r="L265" s="27">
        <v>1.51</v>
      </c>
      <c r="M265" s="27">
        <v>1.54</v>
      </c>
      <c r="N265" s="27">
        <v>1.57</v>
      </c>
      <c r="O265" s="27">
        <v>1.62</v>
      </c>
      <c r="P265" s="27">
        <v>1.63</v>
      </c>
      <c r="Q265" s="27">
        <v>1.64</v>
      </c>
      <c r="R265" s="27">
        <v>1.65</v>
      </c>
      <c r="S265" s="27">
        <v>1.66</v>
      </c>
      <c r="T265" s="27">
        <v>1.67</v>
      </c>
      <c r="U265" s="27">
        <v>1.69</v>
      </c>
      <c r="V265" s="27">
        <v>1.71</v>
      </c>
      <c r="W265" s="27">
        <v>1.73</v>
      </c>
      <c r="X265" s="27">
        <v>1.74</v>
      </c>
      <c r="Y265" s="27">
        <v>1.76</v>
      </c>
      <c r="Z265" s="27">
        <v>1.78</v>
      </c>
      <c r="AA265" s="27">
        <v>2.0499999999999998</v>
      </c>
    </row>
    <row r="266" spans="1:27">
      <c r="A266" t="s">
        <v>1033</v>
      </c>
      <c r="B266">
        <v>820475</v>
      </c>
      <c r="C266" s="27">
        <v>2.4700000000000002</v>
      </c>
      <c r="D266" s="27">
        <v>2.4700000000000002</v>
      </c>
      <c r="E266" s="27">
        <v>2.4700000000000002</v>
      </c>
      <c r="F266" s="27">
        <v>2.4700000000000002</v>
      </c>
      <c r="G266" s="27">
        <v>2.4700000000000002</v>
      </c>
      <c r="H266" s="27">
        <v>2.4700000000000002</v>
      </c>
      <c r="I266" s="27">
        <v>2.4700000000000002</v>
      </c>
      <c r="J266" s="27">
        <v>2.4700000000000002</v>
      </c>
      <c r="K266" s="27">
        <v>2.31</v>
      </c>
      <c r="L266" s="27">
        <v>0.51</v>
      </c>
      <c r="M266" s="27">
        <v>0.54</v>
      </c>
      <c r="N266" s="27">
        <v>0.56999999999999995</v>
      </c>
      <c r="O266" s="27">
        <v>0.64</v>
      </c>
      <c r="P266" s="27">
        <v>0.66</v>
      </c>
      <c r="Q266" s="27">
        <v>0.67</v>
      </c>
      <c r="R266" s="27">
        <v>0.68</v>
      </c>
      <c r="S266" s="27">
        <v>0.7</v>
      </c>
      <c r="T266" s="27">
        <v>0.71</v>
      </c>
      <c r="U266" s="27">
        <v>0.74</v>
      </c>
      <c r="V266" s="27">
        <v>0.76</v>
      </c>
      <c r="W266" s="27">
        <v>0.78</v>
      </c>
      <c r="X266" s="27">
        <v>0.8</v>
      </c>
      <c r="Y266" s="27">
        <v>0.83</v>
      </c>
      <c r="Z266" s="27">
        <v>0.85</v>
      </c>
      <c r="AA266" s="27">
        <v>1.35</v>
      </c>
    </row>
    <row r="267" spans="1:27">
      <c r="A267" t="s">
        <v>1034</v>
      </c>
      <c r="B267">
        <v>820480</v>
      </c>
      <c r="C267" s="27">
        <v>2.4700000000000002</v>
      </c>
      <c r="D267" s="27">
        <v>2.4700000000000002</v>
      </c>
      <c r="E267" s="27">
        <v>2.4700000000000002</v>
      </c>
      <c r="F267" s="27">
        <v>2.4700000000000002</v>
      </c>
      <c r="G267" s="27">
        <v>2.4700000000000002</v>
      </c>
      <c r="H267" s="27">
        <v>2.4700000000000002</v>
      </c>
      <c r="I267" s="27">
        <v>2.4700000000000002</v>
      </c>
      <c r="J267" s="27">
        <v>2.4700000000000002</v>
      </c>
      <c r="K267" s="27">
        <v>2.33</v>
      </c>
      <c r="L267" s="27">
        <v>0.64</v>
      </c>
      <c r="M267" s="27">
        <v>0.67</v>
      </c>
      <c r="N267" s="27">
        <v>0.7</v>
      </c>
      <c r="O267" s="27">
        <v>0.77</v>
      </c>
      <c r="P267" s="27">
        <v>0.79</v>
      </c>
      <c r="Q267" s="27">
        <v>0.8</v>
      </c>
      <c r="R267" s="27">
        <v>0.81</v>
      </c>
      <c r="S267" s="27">
        <v>0.83</v>
      </c>
      <c r="T267" s="27">
        <v>0.84</v>
      </c>
      <c r="U267" s="27">
        <v>0.87</v>
      </c>
      <c r="V267" s="27">
        <v>0.89</v>
      </c>
      <c r="W267" s="27">
        <v>0.91</v>
      </c>
      <c r="X267" s="27">
        <v>0.93</v>
      </c>
      <c r="Y267" s="27">
        <v>0.96</v>
      </c>
      <c r="Z267" s="27">
        <v>0.98</v>
      </c>
      <c r="AA267" s="27">
        <v>1.44</v>
      </c>
    </row>
    <row r="268" spans="1:27">
      <c r="A268" t="s">
        <v>1035</v>
      </c>
      <c r="B268">
        <v>820485</v>
      </c>
      <c r="C268" s="27">
        <v>2.4700000000000002</v>
      </c>
      <c r="D268" s="27">
        <v>2.4700000000000002</v>
      </c>
      <c r="E268" s="27">
        <v>2.4700000000000002</v>
      </c>
      <c r="F268" s="27">
        <v>2.4700000000000002</v>
      </c>
      <c r="G268" s="27">
        <v>2.4700000000000002</v>
      </c>
      <c r="H268" s="27">
        <v>2.4700000000000002</v>
      </c>
      <c r="I268" s="27">
        <v>2.4700000000000002</v>
      </c>
      <c r="J268" s="27">
        <v>2.4700000000000002</v>
      </c>
      <c r="K268" s="27">
        <v>2.4500000000000002</v>
      </c>
      <c r="L268" s="27">
        <v>0.48</v>
      </c>
      <c r="M268" s="27">
        <v>0.5</v>
      </c>
      <c r="N268" s="27">
        <v>0.53</v>
      </c>
      <c r="O268" s="27">
        <v>0.57999999999999996</v>
      </c>
      <c r="P268" s="27">
        <v>0.59</v>
      </c>
      <c r="Q268" s="27">
        <v>0.59</v>
      </c>
      <c r="R268" s="27">
        <v>0.6</v>
      </c>
      <c r="S268" s="27">
        <v>0.61</v>
      </c>
      <c r="T268" s="27">
        <v>0.62</v>
      </c>
      <c r="U268" s="27">
        <v>0.64</v>
      </c>
      <c r="V268" s="27">
        <v>0.66</v>
      </c>
      <c r="W268" s="27">
        <v>0.67</v>
      </c>
      <c r="X268" s="27">
        <v>0.69</v>
      </c>
      <c r="Y268" s="27">
        <v>0.7</v>
      </c>
      <c r="Z268" s="27">
        <v>0.72</v>
      </c>
      <c r="AA268" s="27">
        <v>1.31</v>
      </c>
    </row>
    <row r="269" spans="1:27">
      <c r="A269" t="s">
        <v>1036</v>
      </c>
      <c r="B269">
        <v>820490</v>
      </c>
      <c r="C269" s="27">
        <v>2.96</v>
      </c>
      <c r="D269" s="27">
        <v>2.96</v>
      </c>
      <c r="E269" s="27">
        <v>2.96</v>
      </c>
      <c r="F269" s="27">
        <v>2.96</v>
      </c>
      <c r="G269" s="27">
        <v>2.96</v>
      </c>
      <c r="H269" s="27">
        <v>2.96</v>
      </c>
      <c r="I269" s="27">
        <v>2.96</v>
      </c>
      <c r="J269" s="27">
        <v>2.96</v>
      </c>
      <c r="K269" s="27">
        <v>3</v>
      </c>
      <c r="L269" s="27">
        <v>3</v>
      </c>
      <c r="M269" s="27">
        <v>3</v>
      </c>
      <c r="N269" s="27">
        <v>3</v>
      </c>
      <c r="O269" s="27">
        <v>3</v>
      </c>
      <c r="P269" s="27">
        <v>3</v>
      </c>
      <c r="Q269" s="27">
        <v>3</v>
      </c>
      <c r="R269" s="27">
        <v>3</v>
      </c>
      <c r="S269" s="27">
        <v>3</v>
      </c>
      <c r="T269" s="27">
        <v>3</v>
      </c>
      <c r="U269" s="27">
        <v>3</v>
      </c>
      <c r="V269" s="27">
        <v>3</v>
      </c>
      <c r="W269" s="27">
        <v>3</v>
      </c>
      <c r="X269" s="27">
        <v>3</v>
      </c>
      <c r="Y269" s="27">
        <v>3</v>
      </c>
      <c r="Z269" s="27">
        <v>3</v>
      </c>
      <c r="AA269" s="27">
        <v>2.99</v>
      </c>
    </row>
    <row r="270" spans="1:27">
      <c r="A270" t="s">
        <v>1037</v>
      </c>
      <c r="B270">
        <v>820495</v>
      </c>
      <c r="C270" s="27">
        <v>2.71</v>
      </c>
      <c r="D270" s="27">
        <v>2.71</v>
      </c>
      <c r="E270" s="27">
        <v>2.71</v>
      </c>
      <c r="F270" s="27">
        <v>2.71</v>
      </c>
      <c r="G270" s="27">
        <v>2.71</v>
      </c>
      <c r="H270" s="27">
        <v>2.71</v>
      </c>
      <c r="I270" s="27">
        <v>2.71</v>
      </c>
      <c r="J270" s="27">
        <v>2.71</v>
      </c>
      <c r="K270" s="27">
        <v>2.54</v>
      </c>
      <c r="L270" s="27">
        <v>1.51</v>
      </c>
      <c r="M270" s="27">
        <v>1.54</v>
      </c>
      <c r="N270" s="27">
        <v>1.57</v>
      </c>
      <c r="O270" s="27">
        <v>1.62</v>
      </c>
      <c r="P270" s="27">
        <v>1.63</v>
      </c>
      <c r="Q270" s="27">
        <v>1.64</v>
      </c>
      <c r="R270" s="27">
        <v>1.65</v>
      </c>
      <c r="S270" s="27">
        <v>1.66</v>
      </c>
      <c r="T270" s="27">
        <v>1.67</v>
      </c>
      <c r="U270" s="27">
        <v>1.69</v>
      </c>
      <c r="V270" s="27">
        <v>1.71</v>
      </c>
      <c r="W270" s="27">
        <v>1.73</v>
      </c>
      <c r="X270" s="27">
        <v>1.74</v>
      </c>
      <c r="Y270" s="27">
        <v>1.76</v>
      </c>
      <c r="Z270" s="27">
        <v>1.78</v>
      </c>
      <c r="AA270" s="27">
        <v>2.0499999999999998</v>
      </c>
    </row>
    <row r="271" spans="1:27">
      <c r="A271" t="s">
        <v>1038</v>
      </c>
      <c r="B271">
        <v>820501</v>
      </c>
      <c r="C271" s="27">
        <v>0.1</v>
      </c>
      <c r="D271" s="27">
        <v>0.1</v>
      </c>
      <c r="E271" s="27">
        <v>0.1</v>
      </c>
      <c r="F271" s="27">
        <v>0.1</v>
      </c>
      <c r="G271" s="27">
        <v>0.1</v>
      </c>
      <c r="H271" s="27">
        <v>0.1</v>
      </c>
      <c r="I271" s="27">
        <v>0.1</v>
      </c>
      <c r="J271" s="27">
        <v>0.1</v>
      </c>
      <c r="K271" s="27">
        <v>0.1</v>
      </c>
      <c r="L271" s="27">
        <v>0.1</v>
      </c>
      <c r="M271" s="27">
        <v>0.1</v>
      </c>
      <c r="N271" s="27">
        <v>0.1</v>
      </c>
      <c r="O271" s="27">
        <v>0.1</v>
      </c>
      <c r="P271" s="27">
        <v>0.1</v>
      </c>
      <c r="Q271" s="27">
        <v>0.1</v>
      </c>
      <c r="R271" s="27">
        <v>0.1</v>
      </c>
      <c r="S271" s="27">
        <v>0.1</v>
      </c>
      <c r="T271" s="27">
        <v>0.1</v>
      </c>
      <c r="U271" s="27">
        <v>0.1</v>
      </c>
      <c r="V271" s="27">
        <v>0.1</v>
      </c>
      <c r="W271" s="27">
        <v>0.1</v>
      </c>
      <c r="X271" s="27">
        <v>0.1</v>
      </c>
      <c r="Y271" s="27">
        <v>0.1</v>
      </c>
      <c r="Z271" s="27">
        <v>0.1</v>
      </c>
      <c r="AA271" s="27">
        <v>0.1</v>
      </c>
    </row>
    <row r="272" spans="1:27">
      <c r="A272" t="s">
        <v>369</v>
      </c>
      <c r="B272">
        <v>820502</v>
      </c>
      <c r="C272" s="27">
        <v>0.1</v>
      </c>
      <c r="D272" s="27">
        <v>0.1</v>
      </c>
      <c r="E272" s="27">
        <v>0.1</v>
      </c>
      <c r="F272" s="27">
        <v>0.1</v>
      </c>
      <c r="G272" s="27">
        <v>0.1</v>
      </c>
      <c r="H272" s="27">
        <v>0.1</v>
      </c>
      <c r="I272" s="27">
        <v>0.1</v>
      </c>
      <c r="J272" s="27">
        <v>0.1</v>
      </c>
      <c r="K272" s="27">
        <v>0.1</v>
      </c>
      <c r="L272" s="27">
        <v>0.1</v>
      </c>
      <c r="M272" s="27">
        <v>0.1</v>
      </c>
      <c r="N272" s="27">
        <v>0.1</v>
      </c>
      <c r="O272" s="27">
        <v>0.1</v>
      </c>
      <c r="P272" s="27">
        <v>0.1</v>
      </c>
      <c r="Q272" s="27">
        <v>0.1</v>
      </c>
      <c r="R272" s="27">
        <v>0.1</v>
      </c>
      <c r="S272" s="27">
        <v>0.1</v>
      </c>
      <c r="T272" s="27">
        <v>0.1</v>
      </c>
      <c r="U272" s="27">
        <v>0.1</v>
      </c>
      <c r="V272" s="27">
        <v>0.1</v>
      </c>
      <c r="W272" s="27">
        <v>0.1</v>
      </c>
      <c r="X272" s="27">
        <v>0.1</v>
      </c>
      <c r="Y272" s="27">
        <v>0.1</v>
      </c>
      <c r="Z272" s="27">
        <v>0.1</v>
      </c>
      <c r="AA272" s="27">
        <v>0.1</v>
      </c>
    </row>
    <row r="273" spans="1:27">
      <c r="A273" t="s">
        <v>375</v>
      </c>
      <c r="B273">
        <v>820503</v>
      </c>
      <c r="C273" s="27">
        <v>0.1</v>
      </c>
      <c r="D273" s="27">
        <v>0.1</v>
      </c>
      <c r="E273" s="27">
        <v>0.1</v>
      </c>
      <c r="F273" s="27">
        <v>0.1</v>
      </c>
      <c r="G273" s="27">
        <v>0.1</v>
      </c>
      <c r="H273" s="27">
        <v>0.1</v>
      </c>
      <c r="I273" s="27">
        <v>0.1</v>
      </c>
      <c r="J273" s="27">
        <v>0.1</v>
      </c>
      <c r="K273" s="27">
        <v>0.1</v>
      </c>
      <c r="L273" s="27">
        <v>0.1</v>
      </c>
      <c r="M273" s="27">
        <v>0.1</v>
      </c>
      <c r="N273" s="27">
        <v>0.1</v>
      </c>
      <c r="O273" s="27">
        <v>0.1</v>
      </c>
      <c r="P273" s="27">
        <v>0.1</v>
      </c>
      <c r="Q273" s="27">
        <v>0.1</v>
      </c>
      <c r="R273" s="27">
        <v>0.1</v>
      </c>
      <c r="S273" s="27">
        <v>0.1</v>
      </c>
      <c r="T273" s="27">
        <v>0.1</v>
      </c>
      <c r="U273" s="27">
        <v>0.1</v>
      </c>
      <c r="V273" s="27">
        <v>0.1</v>
      </c>
      <c r="W273" s="27">
        <v>0.1</v>
      </c>
      <c r="X273" s="27">
        <v>0.1</v>
      </c>
      <c r="Y273" s="27">
        <v>0.1</v>
      </c>
      <c r="Z273" s="27">
        <v>0.1</v>
      </c>
      <c r="AA273" s="27">
        <v>0.1</v>
      </c>
    </row>
    <row r="274" spans="1:27">
      <c r="A274" t="s">
        <v>403</v>
      </c>
      <c r="B274">
        <v>820504</v>
      </c>
      <c r="C274" s="27">
        <v>0</v>
      </c>
      <c r="D274" s="27">
        <v>0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0.15</v>
      </c>
      <c r="L274" s="27">
        <v>0.15</v>
      </c>
      <c r="M274" s="27">
        <v>0.15</v>
      </c>
      <c r="N274" s="27">
        <v>0.15</v>
      </c>
      <c r="O274" s="27">
        <v>0.15</v>
      </c>
      <c r="P274" s="27">
        <v>0.15</v>
      </c>
      <c r="Q274" s="27">
        <v>0.15</v>
      </c>
      <c r="R274" s="27">
        <v>0.15</v>
      </c>
      <c r="S274" s="27">
        <v>0.15</v>
      </c>
      <c r="T274" s="27">
        <v>0.15</v>
      </c>
      <c r="U274" s="27">
        <v>0.15</v>
      </c>
      <c r="V274" s="27">
        <v>0.15</v>
      </c>
      <c r="W274" s="27">
        <v>0.15</v>
      </c>
      <c r="X274" s="27">
        <v>0.15</v>
      </c>
      <c r="Y274" s="27">
        <v>0.15</v>
      </c>
      <c r="Z274" s="27">
        <v>0.15</v>
      </c>
      <c r="AA274" s="27">
        <v>0.1</v>
      </c>
    </row>
    <row r="275" spans="1:27">
      <c r="A275" t="s">
        <v>404</v>
      </c>
      <c r="B275">
        <v>820505</v>
      </c>
      <c r="C275" s="27">
        <v>0.15</v>
      </c>
      <c r="D275" s="27">
        <v>0.15</v>
      </c>
      <c r="E275" s="27">
        <v>0.15</v>
      </c>
      <c r="F275" s="27">
        <v>0.15</v>
      </c>
      <c r="G275" s="27">
        <v>0.15</v>
      </c>
      <c r="H275" s="27">
        <v>0.15</v>
      </c>
      <c r="I275" s="27">
        <v>0.15</v>
      </c>
      <c r="J275" s="27">
        <v>0.15</v>
      </c>
      <c r="K275" s="27">
        <v>0.15</v>
      </c>
      <c r="L275" s="27">
        <v>0.15</v>
      </c>
      <c r="M275" s="27">
        <v>0.15</v>
      </c>
      <c r="N275" s="27">
        <v>0.15</v>
      </c>
      <c r="O275" s="27">
        <v>0.15</v>
      </c>
      <c r="P275" s="27">
        <v>0.15</v>
      </c>
      <c r="Q275" s="27">
        <v>0.15</v>
      </c>
      <c r="R275" s="27">
        <v>0.15</v>
      </c>
      <c r="S275" s="27">
        <v>0.15</v>
      </c>
      <c r="T275" s="27">
        <v>0.15</v>
      </c>
      <c r="U275" s="27">
        <v>0.15</v>
      </c>
      <c r="V275" s="27">
        <v>0.15</v>
      </c>
      <c r="W275" s="27">
        <v>0.15</v>
      </c>
      <c r="X275" s="27">
        <v>0.15</v>
      </c>
      <c r="Y275" s="27">
        <v>0.15</v>
      </c>
      <c r="Z275" s="27">
        <v>0.15</v>
      </c>
      <c r="AA275" s="27">
        <v>0.15</v>
      </c>
    </row>
    <row r="276" spans="1:27">
      <c r="A276" t="s">
        <v>405</v>
      </c>
      <c r="B276">
        <v>820506</v>
      </c>
      <c r="C276" s="27">
        <v>0</v>
      </c>
      <c r="D276" s="27">
        <v>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0.2</v>
      </c>
      <c r="L276" s="27">
        <v>0.2</v>
      </c>
      <c r="M276" s="27">
        <v>0.2</v>
      </c>
      <c r="N276" s="27">
        <v>0.2</v>
      </c>
      <c r="O276" s="27">
        <v>0.2</v>
      </c>
      <c r="P276" s="27">
        <v>0.2</v>
      </c>
      <c r="Q276" s="27">
        <v>0.2</v>
      </c>
      <c r="R276" s="27">
        <v>0.2</v>
      </c>
      <c r="S276" s="27">
        <v>0.2</v>
      </c>
      <c r="T276" s="27">
        <v>0.2</v>
      </c>
      <c r="U276" s="27">
        <v>0.2</v>
      </c>
      <c r="V276" s="27">
        <v>0.2</v>
      </c>
      <c r="W276" s="27">
        <v>0.2</v>
      </c>
      <c r="X276" s="27">
        <v>0.2</v>
      </c>
      <c r="Y276" s="27">
        <v>0.2</v>
      </c>
      <c r="Z276" s="27">
        <v>0.2</v>
      </c>
      <c r="AA276" s="27">
        <v>0.13</v>
      </c>
    </row>
    <row r="277" spans="1:27">
      <c r="A277" t="s">
        <v>1039</v>
      </c>
      <c r="B277">
        <v>820545</v>
      </c>
      <c r="C277" s="27">
        <v>3</v>
      </c>
      <c r="D277" s="27">
        <v>3</v>
      </c>
      <c r="E277" s="27">
        <v>3</v>
      </c>
      <c r="F277" s="27">
        <v>3</v>
      </c>
      <c r="G277" s="27">
        <v>3</v>
      </c>
      <c r="H277" s="27">
        <v>3</v>
      </c>
      <c r="I277" s="27">
        <v>3</v>
      </c>
      <c r="J277" s="27">
        <v>3</v>
      </c>
      <c r="K277" s="27">
        <v>2.25</v>
      </c>
      <c r="L277" s="27">
        <v>2.02</v>
      </c>
      <c r="M277" s="27">
        <v>1.97</v>
      </c>
      <c r="N277" s="27">
        <v>1.91</v>
      </c>
      <c r="O277" s="27">
        <v>1.8</v>
      </c>
      <c r="P277" s="27">
        <v>1.78</v>
      </c>
      <c r="Q277" s="27">
        <v>1.76</v>
      </c>
      <c r="R277" s="27">
        <v>1.73</v>
      </c>
      <c r="S277" s="27">
        <v>1.71</v>
      </c>
      <c r="T277" s="27">
        <v>1.69</v>
      </c>
      <c r="U277" s="27">
        <v>1.65</v>
      </c>
      <c r="V277" s="27">
        <v>1.61</v>
      </c>
      <c r="W277" s="27">
        <v>1.58</v>
      </c>
      <c r="X277" s="27">
        <v>1.54</v>
      </c>
      <c r="Y277" s="27">
        <v>1.51</v>
      </c>
      <c r="Z277" s="27">
        <v>1.47</v>
      </c>
      <c r="AA277" s="27">
        <v>2.17</v>
      </c>
    </row>
    <row r="278" spans="1:27">
      <c r="A278" t="s">
        <v>1040</v>
      </c>
      <c r="B278">
        <v>820550</v>
      </c>
      <c r="C278" s="27">
        <v>4.9000000000000004</v>
      </c>
      <c r="D278" s="27">
        <v>4.9000000000000004</v>
      </c>
      <c r="E278" s="27">
        <v>4.9000000000000004</v>
      </c>
      <c r="F278" s="27">
        <v>4.9000000000000004</v>
      </c>
      <c r="G278" s="27">
        <v>4.9000000000000004</v>
      </c>
      <c r="H278" s="27">
        <v>4.9000000000000004</v>
      </c>
      <c r="I278" s="27">
        <v>4.9000000000000004</v>
      </c>
      <c r="J278" s="27">
        <v>4.9000000000000004</v>
      </c>
      <c r="K278" s="27">
        <v>3.31</v>
      </c>
      <c r="L278" s="27">
        <v>3.31</v>
      </c>
      <c r="M278" s="27">
        <v>3.31</v>
      </c>
      <c r="N278" s="27">
        <v>3.31</v>
      </c>
      <c r="O278" s="27">
        <v>3.05</v>
      </c>
      <c r="P278" s="27">
        <v>3.05</v>
      </c>
      <c r="Q278" s="27">
        <v>3</v>
      </c>
      <c r="R278" s="27">
        <v>3</v>
      </c>
      <c r="S278" s="27">
        <v>2.95</v>
      </c>
      <c r="T278" s="27">
        <v>2.95</v>
      </c>
      <c r="U278" s="27">
        <v>2.9</v>
      </c>
      <c r="V278" s="27">
        <v>2.9</v>
      </c>
      <c r="W278" s="27">
        <v>2.9</v>
      </c>
      <c r="X278" s="27">
        <v>2.9</v>
      </c>
      <c r="Y278" s="27">
        <v>2.9</v>
      </c>
      <c r="Z278" s="27">
        <v>2.9</v>
      </c>
      <c r="AA278" s="27">
        <v>3.66</v>
      </c>
    </row>
    <row r="279" spans="1:27">
      <c r="A279" t="s">
        <v>1041</v>
      </c>
      <c r="B279">
        <v>820551</v>
      </c>
      <c r="C279" s="27">
        <v>0</v>
      </c>
      <c r="D279" s="27">
        <v>0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4.0599999999999996</v>
      </c>
      <c r="L279" s="27">
        <v>2.85</v>
      </c>
      <c r="M279" s="27">
        <v>2.82</v>
      </c>
      <c r="N279" s="27">
        <v>2.8</v>
      </c>
      <c r="O279" s="27">
        <v>2.75</v>
      </c>
      <c r="P279" s="27">
        <v>2.74</v>
      </c>
      <c r="Q279" s="27">
        <v>2.73</v>
      </c>
      <c r="R279" s="27">
        <v>2.72</v>
      </c>
      <c r="S279" s="27">
        <v>2.71</v>
      </c>
      <c r="T279" s="27">
        <v>2.7</v>
      </c>
      <c r="U279" s="27">
        <v>2.69</v>
      </c>
      <c r="V279" s="27">
        <v>2.67</v>
      </c>
      <c r="W279" s="27">
        <v>2.65</v>
      </c>
      <c r="X279" s="27">
        <v>2.64</v>
      </c>
      <c r="Y279" s="27">
        <v>2.62</v>
      </c>
      <c r="Z279" s="27">
        <v>2.61</v>
      </c>
      <c r="AA279" s="27">
        <v>1.87</v>
      </c>
    </row>
    <row r="280" spans="1:27">
      <c r="A280" t="s">
        <v>1042</v>
      </c>
      <c r="B280">
        <v>820552</v>
      </c>
      <c r="C280" s="27">
        <v>4.17</v>
      </c>
      <c r="D280" s="27">
        <v>4.17</v>
      </c>
      <c r="E280" s="27">
        <v>4.17</v>
      </c>
      <c r="F280" s="27">
        <v>4.17</v>
      </c>
      <c r="G280" s="27">
        <v>4.17</v>
      </c>
      <c r="H280" s="27">
        <v>4.17</v>
      </c>
      <c r="I280" s="27">
        <v>4.17</v>
      </c>
      <c r="J280" s="27">
        <v>4.17</v>
      </c>
      <c r="K280" s="27">
        <v>4.0599999999999996</v>
      </c>
      <c r="L280" s="27">
        <v>1.44</v>
      </c>
      <c r="M280" s="27">
        <v>1.41</v>
      </c>
      <c r="N280" s="27">
        <v>1.39</v>
      </c>
      <c r="O280" s="27">
        <v>1.34</v>
      </c>
      <c r="P280" s="27">
        <v>1.33</v>
      </c>
      <c r="Q280" s="27">
        <v>1.32</v>
      </c>
      <c r="R280" s="27">
        <v>1.31</v>
      </c>
      <c r="S280" s="27">
        <v>1.3</v>
      </c>
      <c r="T280" s="27">
        <v>1.29</v>
      </c>
      <c r="U280" s="27">
        <v>1.28</v>
      </c>
      <c r="V280" s="27">
        <v>1.26</v>
      </c>
      <c r="W280" s="27">
        <v>1.24</v>
      </c>
      <c r="X280" s="27">
        <v>1.23</v>
      </c>
      <c r="Y280" s="27">
        <v>1.21</v>
      </c>
      <c r="Z280" s="27">
        <v>1.2</v>
      </c>
      <c r="AA280" s="27">
        <v>2.37</v>
      </c>
    </row>
    <row r="281" spans="1:27">
      <c r="A281" t="s">
        <v>1043</v>
      </c>
      <c r="B281">
        <v>820553</v>
      </c>
      <c r="C281" s="27">
        <v>0</v>
      </c>
      <c r="D281" s="27">
        <v>0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4.0599999999999996</v>
      </c>
      <c r="L281" s="27">
        <v>4.0199999999999996</v>
      </c>
      <c r="M281" s="27">
        <v>3.99</v>
      </c>
      <c r="N281" s="27">
        <v>3.95</v>
      </c>
      <c r="O281" s="27">
        <v>3.91</v>
      </c>
      <c r="P281" s="27">
        <v>3.87</v>
      </c>
      <c r="Q281" s="27">
        <v>3.84</v>
      </c>
      <c r="R281" s="27">
        <v>3.8</v>
      </c>
      <c r="S281" s="27">
        <v>3.76</v>
      </c>
      <c r="T281" s="27">
        <v>3.72</v>
      </c>
      <c r="U281" s="27">
        <v>3.69</v>
      </c>
      <c r="V281" s="27">
        <v>3.65</v>
      </c>
      <c r="W281" s="27">
        <v>3.61</v>
      </c>
      <c r="X281" s="27">
        <v>3.57</v>
      </c>
      <c r="Y281" s="27">
        <v>3.54</v>
      </c>
      <c r="Z281" s="27">
        <v>3.5</v>
      </c>
      <c r="AA281" s="27">
        <v>2.52</v>
      </c>
    </row>
    <row r="282" spans="1:27">
      <c r="A282" t="s">
        <v>1044</v>
      </c>
      <c r="B282">
        <v>820554</v>
      </c>
      <c r="C282" s="27">
        <v>0</v>
      </c>
      <c r="D282" s="27">
        <v>0</v>
      </c>
      <c r="E282" s="27">
        <v>0</v>
      </c>
      <c r="F282" s="27">
        <v>0</v>
      </c>
      <c r="G282" s="27">
        <v>0</v>
      </c>
      <c r="H282" s="27">
        <v>0</v>
      </c>
      <c r="I282" s="27">
        <v>0</v>
      </c>
      <c r="J282" s="27">
        <v>0</v>
      </c>
      <c r="K282" s="27">
        <v>4.0599999999999996</v>
      </c>
      <c r="L282" s="27">
        <v>4.0199999999999996</v>
      </c>
      <c r="M282" s="27">
        <v>3.85</v>
      </c>
      <c r="N282" s="27">
        <v>3.95</v>
      </c>
      <c r="O282" s="27">
        <v>3.85</v>
      </c>
      <c r="P282" s="27">
        <v>3.65</v>
      </c>
      <c r="Q282" s="27">
        <v>3.65</v>
      </c>
      <c r="R282" s="27">
        <v>3.65</v>
      </c>
      <c r="S282" s="27">
        <v>3.65</v>
      </c>
      <c r="T282" s="27">
        <v>3.45</v>
      </c>
      <c r="U282" s="27">
        <v>3.45</v>
      </c>
      <c r="V282" s="27">
        <v>3.45</v>
      </c>
      <c r="W282" s="27">
        <v>3.3</v>
      </c>
      <c r="X282" s="27">
        <v>3.3</v>
      </c>
      <c r="Y282" s="27">
        <v>3.15</v>
      </c>
      <c r="Z282" s="27">
        <v>3.15</v>
      </c>
      <c r="AA282" s="27">
        <v>2.4</v>
      </c>
    </row>
    <row r="283" spans="1:27">
      <c r="A283" t="s">
        <v>1031</v>
      </c>
      <c r="B283">
        <v>820555</v>
      </c>
      <c r="C283" s="27">
        <v>3</v>
      </c>
      <c r="D283" s="27">
        <v>3</v>
      </c>
      <c r="E283" s="27">
        <v>3</v>
      </c>
      <c r="F283" s="27">
        <v>3</v>
      </c>
      <c r="G283" s="27">
        <v>3</v>
      </c>
      <c r="H283" s="27">
        <v>3</v>
      </c>
      <c r="I283" s="27">
        <v>3</v>
      </c>
      <c r="J283" s="27">
        <v>3</v>
      </c>
      <c r="K283" s="27">
        <v>3</v>
      </c>
      <c r="L283" s="27">
        <v>3</v>
      </c>
      <c r="M283" s="27">
        <v>3</v>
      </c>
      <c r="N283" s="27">
        <v>3</v>
      </c>
      <c r="O283" s="27">
        <v>3</v>
      </c>
      <c r="P283" s="27">
        <v>3</v>
      </c>
      <c r="Q283" s="27">
        <v>3</v>
      </c>
      <c r="R283" s="27">
        <v>3</v>
      </c>
      <c r="S283" s="27">
        <v>3</v>
      </c>
      <c r="T283" s="27">
        <v>3</v>
      </c>
      <c r="U283" s="27">
        <v>3</v>
      </c>
      <c r="V283" s="27">
        <v>3</v>
      </c>
      <c r="W283" s="27">
        <v>3</v>
      </c>
      <c r="X283" s="27">
        <v>3</v>
      </c>
      <c r="Y283" s="27">
        <v>3</v>
      </c>
      <c r="Z283" s="27">
        <v>3</v>
      </c>
      <c r="AA283" s="27">
        <v>3</v>
      </c>
    </row>
    <row r="284" spans="1:27">
      <c r="A284" t="s">
        <v>1045</v>
      </c>
      <c r="B284">
        <v>820563</v>
      </c>
      <c r="C284" s="27">
        <v>0.2</v>
      </c>
      <c r="D284" s="27">
        <v>0.2</v>
      </c>
      <c r="E284" s="27">
        <v>0.2</v>
      </c>
      <c r="F284" s="27">
        <v>0.2</v>
      </c>
      <c r="G284" s="27">
        <v>0.2</v>
      </c>
      <c r="H284" s="27">
        <v>0.2</v>
      </c>
      <c r="I284" s="27">
        <v>0.2</v>
      </c>
      <c r="J284" s="27">
        <v>0.2</v>
      </c>
      <c r="K284" s="27">
        <v>0.2</v>
      </c>
      <c r="L284" s="27">
        <v>0.2</v>
      </c>
      <c r="M284" s="27">
        <v>0.2</v>
      </c>
      <c r="N284" s="27">
        <v>0.2</v>
      </c>
      <c r="O284" s="27">
        <v>0.2</v>
      </c>
      <c r="P284" s="27">
        <v>0.2</v>
      </c>
      <c r="Q284" s="27">
        <v>0.2</v>
      </c>
      <c r="R284" s="27">
        <v>0.2</v>
      </c>
      <c r="S284" s="27">
        <v>0.2</v>
      </c>
      <c r="T284" s="27">
        <v>0.2</v>
      </c>
      <c r="U284" s="27">
        <v>0.2</v>
      </c>
      <c r="V284" s="27">
        <v>0.2</v>
      </c>
      <c r="W284" s="27">
        <v>0.2</v>
      </c>
      <c r="X284" s="27">
        <v>0.2</v>
      </c>
      <c r="Y284" s="27">
        <v>0.2</v>
      </c>
      <c r="Z284" s="27">
        <v>0.2</v>
      </c>
      <c r="AA284" s="27">
        <v>0.2</v>
      </c>
    </row>
    <row r="285" spans="1:27">
      <c r="A285" t="s">
        <v>1046</v>
      </c>
      <c r="B285">
        <v>820564</v>
      </c>
      <c r="C285" s="27">
        <v>0.2</v>
      </c>
      <c r="D285" s="27">
        <v>0.2</v>
      </c>
      <c r="E285" s="27">
        <v>0.2</v>
      </c>
      <c r="F285" s="27">
        <v>0.2</v>
      </c>
      <c r="G285" s="27">
        <v>0.2</v>
      </c>
      <c r="H285" s="27">
        <v>0.2</v>
      </c>
      <c r="I285" s="27">
        <v>0.2</v>
      </c>
      <c r="J285" s="27">
        <v>0.2</v>
      </c>
      <c r="K285" s="27">
        <v>0.2</v>
      </c>
      <c r="L285" s="27">
        <v>0.2</v>
      </c>
      <c r="M285" s="27">
        <v>0.2</v>
      </c>
      <c r="N285" s="27">
        <v>0.2</v>
      </c>
      <c r="O285" s="27">
        <v>0.2</v>
      </c>
      <c r="P285" s="27">
        <v>0.2</v>
      </c>
      <c r="Q285" s="27">
        <v>0.2</v>
      </c>
      <c r="R285" s="27">
        <v>0.2</v>
      </c>
      <c r="S285" s="27">
        <v>0.2</v>
      </c>
      <c r="T285" s="27">
        <v>0.2</v>
      </c>
      <c r="U285" s="27">
        <v>0.2</v>
      </c>
      <c r="V285" s="27">
        <v>0.2</v>
      </c>
      <c r="W285" s="27">
        <v>0.2</v>
      </c>
      <c r="X285" s="27">
        <v>0.2</v>
      </c>
      <c r="Y285" s="27">
        <v>0.2</v>
      </c>
      <c r="Z285" s="27">
        <v>0.2</v>
      </c>
      <c r="AA285" s="27">
        <v>0.2</v>
      </c>
    </row>
    <row r="286" spans="1:27">
      <c r="A286" t="s">
        <v>1047</v>
      </c>
      <c r="B286">
        <v>820560</v>
      </c>
      <c r="C286" s="27">
        <v>0.2</v>
      </c>
      <c r="D286" s="27">
        <v>0.2</v>
      </c>
      <c r="E286" s="27">
        <v>0.2</v>
      </c>
      <c r="F286" s="27">
        <v>0.2</v>
      </c>
      <c r="G286" s="27">
        <v>0.2</v>
      </c>
      <c r="H286" s="27">
        <v>0.2</v>
      </c>
      <c r="I286" s="27">
        <v>0.2</v>
      </c>
      <c r="J286" s="27">
        <v>0.2</v>
      </c>
      <c r="K286" s="27">
        <v>0.2</v>
      </c>
      <c r="L286" s="27">
        <v>0.2</v>
      </c>
      <c r="M286" s="27">
        <v>0.2</v>
      </c>
      <c r="N286" s="27">
        <v>0.2</v>
      </c>
      <c r="O286" s="27">
        <v>0.2</v>
      </c>
      <c r="P286" s="27">
        <v>0.2</v>
      </c>
      <c r="Q286" s="27">
        <v>0.2</v>
      </c>
      <c r="R286" s="27">
        <v>0.2</v>
      </c>
      <c r="S286" s="27">
        <v>0.2</v>
      </c>
      <c r="T286" s="27">
        <v>0.2</v>
      </c>
      <c r="U286" s="27">
        <v>0.2</v>
      </c>
      <c r="V286" s="27">
        <v>0.2</v>
      </c>
      <c r="W286" s="27">
        <v>0.2</v>
      </c>
      <c r="X286" s="27">
        <v>0.2</v>
      </c>
      <c r="Y286" s="27">
        <v>0.2</v>
      </c>
      <c r="Z286" s="27">
        <v>0.2</v>
      </c>
      <c r="AA286" s="27">
        <v>0.2</v>
      </c>
    </row>
    <row r="287" spans="1:27">
      <c r="A287" t="s">
        <v>1032</v>
      </c>
      <c r="B287">
        <v>820565</v>
      </c>
      <c r="C287" s="27">
        <v>2.71</v>
      </c>
      <c r="D287" s="27">
        <v>2.71</v>
      </c>
      <c r="E287" s="27">
        <v>2.71</v>
      </c>
      <c r="F287" s="27">
        <v>2.71</v>
      </c>
      <c r="G287" s="27">
        <v>2.71</v>
      </c>
      <c r="H287" s="27">
        <v>2.71</v>
      </c>
      <c r="I287" s="27">
        <v>2.71</v>
      </c>
      <c r="J287" s="27">
        <v>2.71</v>
      </c>
      <c r="K287" s="27">
        <v>2.54</v>
      </c>
      <c r="L287" s="27">
        <v>1.51</v>
      </c>
      <c r="M287" s="27">
        <v>1.54</v>
      </c>
      <c r="N287" s="27">
        <v>1.57</v>
      </c>
      <c r="O287" s="27">
        <v>1.62</v>
      </c>
      <c r="P287" s="27">
        <v>1.63</v>
      </c>
      <c r="Q287" s="27">
        <v>1.64</v>
      </c>
      <c r="R287" s="27">
        <v>1.65</v>
      </c>
      <c r="S287" s="27">
        <v>1.66</v>
      </c>
      <c r="T287" s="27">
        <v>1.67</v>
      </c>
      <c r="U287" s="27">
        <v>1.69</v>
      </c>
      <c r="V287" s="27">
        <v>1.71</v>
      </c>
      <c r="W287" s="27">
        <v>1.73</v>
      </c>
      <c r="X287" s="27">
        <v>1.74</v>
      </c>
      <c r="Y287" s="27">
        <v>1.76</v>
      </c>
      <c r="Z287" s="27">
        <v>1.78</v>
      </c>
      <c r="AA287" s="27">
        <v>2.0499999999999998</v>
      </c>
    </row>
    <row r="288" spans="1:27">
      <c r="A288" t="s">
        <v>1048</v>
      </c>
      <c r="B288">
        <v>820566</v>
      </c>
      <c r="C288" s="27">
        <v>3.5</v>
      </c>
      <c r="D288" s="27">
        <v>3.5</v>
      </c>
      <c r="E288" s="27">
        <v>3.5</v>
      </c>
      <c r="F288" s="27">
        <v>3.5</v>
      </c>
      <c r="G288" s="27">
        <v>3.5</v>
      </c>
      <c r="H288" s="27">
        <v>3.5</v>
      </c>
      <c r="I288" s="27">
        <v>3.5</v>
      </c>
      <c r="J288" s="27">
        <v>3.5</v>
      </c>
      <c r="K288" s="27">
        <v>3.5</v>
      </c>
      <c r="L288" s="27">
        <v>3.5</v>
      </c>
      <c r="M288" s="27">
        <v>3.5</v>
      </c>
      <c r="N288" s="27">
        <v>3.5</v>
      </c>
      <c r="O288" s="27">
        <v>3.5</v>
      </c>
      <c r="P288" s="27">
        <v>3.5</v>
      </c>
      <c r="Q288" s="27">
        <v>3.5</v>
      </c>
      <c r="R288" s="27">
        <v>3.5</v>
      </c>
      <c r="S288" s="27">
        <v>3.5</v>
      </c>
      <c r="T288" s="27">
        <v>3.5</v>
      </c>
      <c r="U288" s="27">
        <v>3.5</v>
      </c>
      <c r="V288" s="27">
        <v>3.5</v>
      </c>
      <c r="W288" s="27">
        <v>3.5</v>
      </c>
      <c r="X288" s="27">
        <v>3.5</v>
      </c>
      <c r="Y288" s="27">
        <v>3.5</v>
      </c>
      <c r="Z288" s="27">
        <v>3.5</v>
      </c>
      <c r="AA288" s="27">
        <v>3.5</v>
      </c>
    </row>
    <row r="289" spans="1:27">
      <c r="A289" t="s">
        <v>1033</v>
      </c>
      <c r="B289">
        <v>820568</v>
      </c>
      <c r="C289" s="27">
        <v>2.4700000000000002</v>
      </c>
      <c r="D289" s="27">
        <v>2.4700000000000002</v>
      </c>
      <c r="E289" s="27">
        <v>2.4700000000000002</v>
      </c>
      <c r="F289" s="27">
        <v>2.4700000000000002</v>
      </c>
      <c r="G289" s="27">
        <v>2.4700000000000002</v>
      </c>
      <c r="H289" s="27">
        <v>2.4700000000000002</v>
      </c>
      <c r="I289" s="27">
        <v>2.4700000000000002</v>
      </c>
      <c r="J289" s="27">
        <v>2.4700000000000002</v>
      </c>
      <c r="K289" s="27">
        <v>2.31</v>
      </c>
      <c r="L289" s="27">
        <v>0.51</v>
      </c>
      <c r="M289" s="27">
        <v>0.54</v>
      </c>
      <c r="N289" s="27">
        <v>0.56999999999999995</v>
      </c>
      <c r="O289" s="27">
        <v>0.64</v>
      </c>
      <c r="P289" s="27">
        <v>0.66</v>
      </c>
      <c r="Q289" s="27">
        <v>0.67</v>
      </c>
      <c r="R289" s="27">
        <v>0.68</v>
      </c>
      <c r="S289" s="27">
        <v>0.7</v>
      </c>
      <c r="T289" s="27">
        <v>0.71</v>
      </c>
      <c r="U289" s="27">
        <v>0.74</v>
      </c>
      <c r="V289" s="27">
        <v>0.76</v>
      </c>
      <c r="W289" s="27">
        <v>0.78</v>
      </c>
      <c r="X289" s="27">
        <v>0.8</v>
      </c>
      <c r="Y289" s="27">
        <v>0.83</v>
      </c>
      <c r="Z289" s="27">
        <v>0.85</v>
      </c>
      <c r="AA289" s="27">
        <v>1.35</v>
      </c>
    </row>
    <row r="290" spans="1:27">
      <c r="A290" t="s">
        <v>1034</v>
      </c>
      <c r="B290">
        <v>820571</v>
      </c>
      <c r="C290" s="27">
        <v>2.4700000000000002</v>
      </c>
      <c r="D290" s="27">
        <v>2.4700000000000002</v>
      </c>
      <c r="E290" s="27">
        <v>2.4700000000000002</v>
      </c>
      <c r="F290" s="27">
        <v>2.4700000000000002</v>
      </c>
      <c r="G290" s="27">
        <v>2.4700000000000002</v>
      </c>
      <c r="H290" s="27">
        <v>2.4700000000000002</v>
      </c>
      <c r="I290" s="27">
        <v>2.4700000000000002</v>
      </c>
      <c r="J290" s="27">
        <v>2.4700000000000002</v>
      </c>
      <c r="K290" s="27">
        <v>2.33</v>
      </c>
      <c r="L290" s="27">
        <v>0.64</v>
      </c>
      <c r="M290" s="27">
        <v>0.67</v>
      </c>
      <c r="N290" s="27">
        <v>0.7</v>
      </c>
      <c r="O290" s="27">
        <v>0.77</v>
      </c>
      <c r="P290" s="27">
        <v>0.79</v>
      </c>
      <c r="Q290" s="27">
        <v>0.8</v>
      </c>
      <c r="R290" s="27">
        <v>0.81</v>
      </c>
      <c r="S290" s="27">
        <v>0.83</v>
      </c>
      <c r="T290" s="27">
        <v>0.84</v>
      </c>
      <c r="U290" s="27">
        <v>0.87</v>
      </c>
      <c r="V290" s="27">
        <v>0.89</v>
      </c>
      <c r="W290" s="27">
        <v>0.91</v>
      </c>
      <c r="X290" s="27">
        <v>0.93</v>
      </c>
      <c r="Y290" s="27">
        <v>0.96</v>
      </c>
      <c r="Z290" s="27">
        <v>0.98</v>
      </c>
      <c r="AA290" s="27">
        <v>1.44</v>
      </c>
    </row>
    <row r="291" spans="1:27">
      <c r="A291" t="s">
        <v>1035</v>
      </c>
      <c r="B291">
        <v>820574</v>
      </c>
      <c r="C291" s="27">
        <v>2.4700000000000002</v>
      </c>
      <c r="D291" s="27">
        <v>2.4700000000000002</v>
      </c>
      <c r="E291" s="27">
        <v>2.4700000000000002</v>
      </c>
      <c r="F291" s="27">
        <v>2.4700000000000002</v>
      </c>
      <c r="G291" s="27">
        <v>2.4700000000000002</v>
      </c>
      <c r="H291" s="27">
        <v>2.4700000000000002</v>
      </c>
      <c r="I291" s="27">
        <v>2.4700000000000002</v>
      </c>
      <c r="J291" s="27">
        <v>2.4700000000000002</v>
      </c>
      <c r="K291" s="27">
        <v>2.4500000000000002</v>
      </c>
      <c r="L291" s="27">
        <v>0.48</v>
      </c>
      <c r="M291" s="27">
        <v>0.5</v>
      </c>
      <c r="N291" s="27">
        <v>0.53</v>
      </c>
      <c r="O291" s="27">
        <v>0.57999999999999996</v>
      </c>
      <c r="P291" s="27">
        <v>0.59</v>
      </c>
      <c r="Q291" s="27">
        <v>0.59</v>
      </c>
      <c r="R291" s="27">
        <v>0.6</v>
      </c>
      <c r="S291" s="27">
        <v>0.61</v>
      </c>
      <c r="T291" s="27">
        <v>0.62</v>
      </c>
      <c r="U291" s="27">
        <v>0.64</v>
      </c>
      <c r="V291" s="27">
        <v>0.66</v>
      </c>
      <c r="W291" s="27">
        <v>0.67</v>
      </c>
      <c r="X291" s="27">
        <v>0.69</v>
      </c>
      <c r="Y291" s="27">
        <v>0.7</v>
      </c>
      <c r="Z291" s="27">
        <v>0.72</v>
      </c>
      <c r="AA291" s="27">
        <v>1.31</v>
      </c>
    </row>
    <row r="292" spans="1:27">
      <c r="A292" t="s">
        <v>1031</v>
      </c>
      <c r="B292">
        <v>820577</v>
      </c>
      <c r="C292" s="27">
        <v>0.15</v>
      </c>
      <c r="D292" s="27">
        <v>0.15</v>
      </c>
      <c r="E292" s="27">
        <v>0.15</v>
      </c>
      <c r="F292" s="27">
        <v>0.15</v>
      </c>
      <c r="G292" s="27">
        <v>0.15</v>
      </c>
      <c r="H292" s="27">
        <v>0.15</v>
      </c>
      <c r="I292" s="27">
        <v>0.15</v>
      </c>
      <c r="J292" s="27">
        <v>0.15</v>
      </c>
      <c r="K292" s="27">
        <v>3</v>
      </c>
      <c r="L292" s="27">
        <v>3</v>
      </c>
      <c r="M292" s="27">
        <v>3</v>
      </c>
      <c r="N292" s="27">
        <v>3</v>
      </c>
      <c r="O292" s="27">
        <v>3</v>
      </c>
      <c r="P292" s="27">
        <v>3</v>
      </c>
      <c r="Q292" s="27">
        <v>3</v>
      </c>
      <c r="R292" s="27">
        <v>3</v>
      </c>
      <c r="S292" s="27">
        <v>3</v>
      </c>
      <c r="T292" s="27">
        <v>3</v>
      </c>
      <c r="U292" s="27">
        <v>3</v>
      </c>
      <c r="V292" s="27">
        <v>3</v>
      </c>
      <c r="W292" s="27">
        <v>3</v>
      </c>
      <c r="X292" s="27">
        <v>3</v>
      </c>
      <c r="Y292" s="27">
        <v>3</v>
      </c>
      <c r="Z292" s="27">
        <v>3</v>
      </c>
      <c r="AA292" s="27">
        <v>2.0499999999999998</v>
      </c>
    </row>
    <row r="293" spans="1:27">
      <c r="A293" t="s">
        <v>1032</v>
      </c>
      <c r="B293">
        <v>820580</v>
      </c>
      <c r="C293" s="27">
        <v>0.2</v>
      </c>
      <c r="D293" s="27">
        <v>0.2</v>
      </c>
      <c r="E293" s="27">
        <v>0.2</v>
      </c>
      <c r="F293" s="27">
        <v>0.2</v>
      </c>
      <c r="G293" s="27">
        <v>0.2</v>
      </c>
      <c r="H293" s="27">
        <v>0.2</v>
      </c>
      <c r="I293" s="27">
        <v>0.2</v>
      </c>
      <c r="J293" s="27">
        <v>0.2</v>
      </c>
      <c r="K293" s="27">
        <v>2.54</v>
      </c>
      <c r="L293" s="27">
        <v>2.52</v>
      </c>
      <c r="M293" s="27">
        <v>2.5099999999999998</v>
      </c>
      <c r="N293" s="27">
        <v>2.4900000000000002</v>
      </c>
      <c r="O293" s="27">
        <v>2.4700000000000002</v>
      </c>
      <c r="P293" s="27">
        <v>2.4500000000000002</v>
      </c>
      <c r="Q293" s="27">
        <v>2.44</v>
      </c>
      <c r="R293" s="27">
        <v>2.42</v>
      </c>
      <c r="S293" s="27">
        <v>2.4</v>
      </c>
      <c r="T293" s="27">
        <v>2.38</v>
      </c>
      <c r="U293" s="27">
        <v>2.37</v>
      </c>
      <c r="V293" s="27">
        <v>2.35</v>
      </c>
      <c r="W293" s="27">
        <v>2.33</v>
      </c>
      <c r="X293" s="27">
        <v>2.31</v>
      </c>
      <c r="Y293" s="27">
        <v>2.2999999999999998</v>
      </c>
      <c r="Z293" s="27">
        <v>2.2799999999999998</v>
      </c>
      <c r="AA293" s="27">
        <v>1.67</v>
      </c>
    </row>
    <row r="294" spans="1:27">
      <c r="A294" t="s">
        <v>1033</v>
      </c>
      <c r="B294">
        <v>820583</v>
      </c>
      <c r="C294" s="27">
        <v>0.2</v>
      </c>
      <c r="D294" s="27">
        <v>0.2</v>
      </c>
      <c r="E294" s="27">
        <v>0.2</v>
      </c>
      <c r="F294" s="27">
        <v>0.2</v>
      </c>
      <c r="G294" s="27">
        <v>0.2</v>
      </c>
      <c r="H294" s="27">
        <v>0.2</v>
      </c>
      <c r="I294" s="27">
        <v>0.2</v>
      </c>
      <c r="J294" s="27">
        <v>0.2</v>
      </c>
      <c r="K294" s="27">
        <v>2.31</v>
      </c>
      <c r="L294" s="27">
        <v>2.31</v>
      </c>
      <c r="M294" s="27">
        <v>2.31</v>
      </c>
      <c r="N294" s="27">
        <v>2.31</v>
      </c>
      <c r="O294" s="27">
        <v>2.31</v>
      </c>
      <c r="P294" s="27">
        <v>2.31</v>
      </c>
      <c r="Q294" s="27">
        <v>2.31</v>
      </c>
      <c r="R294" s="27">
        <v>2.31</v>
      </c>
      <c r="S294" s="27">
        <v>2.31</v>
      </c>
      <c r="T294" s="27">
        <v>2.31</v>
      </c>
      <c r="U294" s="27">
        <v>2.31</v>
      </c>
      <c r="V294" s="27">
        <v>2.31</v>
      </c>
      <c r="W294" s="27">
        <v>2.31</v>
      </c>
      <c r="X294" s="27">
        <v>2.31</v>
      </c>
      <c r="Y294" s="27">
        <v>2.31</v>
      </c>
      <c r="Z294" s="27">
        <v>2.31</v>
      </c>
      <c r="AA294" s="27">
        <v>1.61</v>
      </c>
    </row>
    <row r="295" spans="1:27">
      <c r="A295" t="s">
        <v>1034</v>
      </c>
      <c r="B295">
        <v>820586</v>
      </c>
      <c r="C295" s="27">
        <v>0.3</v>
      </c>
      <c r="D295" s="27">
        <v>0.3</v>
      </c>
      <c r="E295" s="27">
        <v>0.3</v>
      </c>
      <c r="F295" s="27">
        <v>0.3</v>
      </c>
      <c r="G295" s="27">
        <v>0.3</v>
      </c>
      <c r="H295" s="27">
        <v>0.3</v>
      </c>
      <c r="I295" s="27">
        <v>0.3</v>
      </c>
      <c r="J295" s="27">
        <v>0.3</v>
      </c>
      <c r="K295" s="27">
        <v>2.33</v>
      </c>
      <c r="L295" s="27">
        <v>2.33</v>
      </c>
      <c r="M295" s="27">
        <v>2.33</v>
      </c>
      <c r="N295" s="27">
        <v>2.33</v>
      </c>
      <c r="O295" s="27">
        <v>2.33</v>
      </c>
      <c r="P295" s="27">
        <v>2.33</v>
      </c>
      <c r="Q295" s="27">
        <v>2.33</v>
      </c>
      <c r="R295" s="27">
        <v>2.33</v>
      </c>
      <c r="S295" s="27">
        <v>2.33</v>
      </c>
      <c r="T295" s="27">
        <v>2.33</v>
      </c>
      <c r="U295" s="27">
        <v>2.33</v>
      </c>
      <c r="V295" s="27">
        <v>2.33</v>
      </c>
      <c r="W295" s="27">
        <v>2.33</v>
      </c>
      <c r="X295" s="27">
        <v>2.33</v>
      </c>
      <c r="Y295" s="27">
        <v>2.33</v>
      </c>
      <c r="Z295" s="27">
        <v>2.33</v>
      </c>
      <c r="AA295" s="27">
        <v>1.65</v>
      </c>
    </row>
    <row r="296" spans="1:27">
      <c r="A296" t="s">
        <v>1035</v>
      </c>
      <c r="B296">
        <v>820589</v>
      </c>
      <c r="C296" s="27">
        <v>0.3</v>
      </c>
      <c r="D296" s="27">
        <v>0.3</v>
      </c>
      <c r="E296" s="27">
        <v>0.3</v>
      </c>
      <c r="F296" s="27">
        <v>0.3</v>
      </c>
      <c r="G296" s="27">
        <v>0.3</v>
      </c>
      <c r="H296" s="27">
        <v>0.3</v>
      </c>
      <c r="I296" s="27">
        <v>0.3</v>
      </c>
      <c r="J296" s="27">
        <v>0.3</v>
      </c>
      <c r="K296" s="27">
        <v>2.4500000000000002</v>
      </c>
      <c r="L296" s="27">
        <v>2.4500000000000002</v>
      </c>
      <c r="M296" s="27">
        <v>2.4500000000000002</v>
      </c>
      <c r="N296" s="27">
        <v>2.4500000000000002</v>
      </c>
      <c r="O296" s="27">
        <v>2.4500000000000002</v>
      </c>
      <c r="P296" s="27">
        <v>2.4500000000000002</v>
      </c>
      <c r="Q296" s="27">
        <v>2.4500000000000002</v>
      </c>
      <c r="R296" s="27">
        <v>2.4500000000000002</v>
      </c>
      <c r="S296" s="27">
        <v>2.4500000000000002</v>
      </c>
      <c r="T296" s="27">
        <v>2.4500000000000002</v>
      </c>
      <c r="U296" s="27">
        <v>2.4500000000000002</v>
      </c>
      <c r="V296" s="27">
        <v>2.4500000000000002</v>
      </c>
      <c r="W296" s="27">
        <v>2.4500000000000002</v>
      </c>
      <c r="X296" s="27">
        <v>2.4500000000000002</v>
      </c>
      <c r="Y296" s="27">
        <v>2.4500000000000002</v>
      </c>
      <c r="Z296" s="27">
        <v>2.4500000000000002</v>
      </c>
      <c r="AA296" s="27">
        <v>1.73</v>
      </c>
    </row>
    <row r="297" spans="1:27">
      <c r="A297" t="s">
        <v>1026</v>
      </c>
      <c r="B297">
        <v>820592</v>
      </c>
      <c r="C297" s="27">
        <v>2.96</v>
      </c>
      <c r="D297" s="27">
        <v>2.96</v>
      </c>
      <c r="E297" s="27">
        <v>2.96</v>
      </c>
      <c r="F297" s="27">
        <v>2.96</v>
      </c>
      <c r="G297" s="27">
        <v>2.96</v>
      </c>
      <c r="H297" s="27">
        <v>2.96</v>
      </c>
      <c r="I297" s="27">
        <v>2.96</v>
      </c>
      <c r="J297" s="27">
        <v>2.96</v>
      </c>
      <c r="K297" s="27">
        <v>3.31</v>
      </c>
      <c r="L297" s="27">
        <v>3.31</v>
      </c>
      <c r="M297" s="27">
        <v>3.31</v>
      </c>
      <c r="N297" s="27">
        <v>3.31</v>
      </c>
      <c r="O297" s="27">
        <v>3.05</v>
      </c>
      <c r="P297" s="27">
        <v>3.05</v>
      </c>
      <c r="Q297" s="27">
        <v>3</v>
      </c>
      <c r="R297" s="27">
        <v>3</v>
      </c>
      <c r="S297" s="27">
        <v>2.95</v>
      </c>
      <c r="T297" s="27">
        <v>2.95</v>
      </c>
      <c r="U297" s="27">
        <v>2.9</v>
      </c>
      <c r="V297" s="27">
        <v>2.9</v>
      </c>
      <c r="W297" s="27">
        <v>2.9</v>
      </c>
      <c r="X297" s="27">
        <v>2.9</v>
      </c>
      <c r="Y297" s="27">
        <v>2.9</v>
      </c>
      <c r="Z297" s="27">
        <v>2.9</v>
      </c>
      <c r="AA297" s="27">
        <v>3.01</v>
      </c>
    </row>
    <row r="298" spans="1:27">
      <c r="A298" t="s">
        <v>1027</v>
      </c>
      <c r="B298">
        <v>820595</v>
      </c>
      <c r="C298" s="27">
        <v>0.2</v>
      </c>
      <c r="D298" s="27">
        <v>0.2</v>
      </c>
      <c r="E298" s="27">
        <v>0.2</v>
      </c>
      <c r="F298" s="27">
        <v>0.2</v>
      </c>
      <c r="G298" s="27">
        <v>0.2</v>
      </c>
      <c r="H298" s="27">
        <v>0.2</v>
      </c>
      <c r="I298" s="27">
        <v>0.2</v>
      </c>
      <c r="J298" s="27">
        <v>0.2</v>
      </c>
      <c r="K298" s="27">
        <v>3</v>
      </c>
      <c r="L298" s="27">
        <v>3</v>
      </c>
      <c r="M298" s="27">
        <v>3</v>
      </c>
      <c r="N298" s="27">
        <v>3</v>
      </c>
      <c r="O298" s="27">
        <v>3</v>
      </c>
      <c r="P298" s="27">
        <v>3</v>
      </c>
      <c r="Q298" s="27">
        <v>3</v>
      </c>
      <c r="R298" s="27">
        <v>3</v>
      </c>
      <c r="S298" s="27">
        <v>3</v>
      </c>
      <c r="T298" s="27">
        <v>3</v>
      </c>
      <c r="U298" s="27">
        <v>3</v>
      </c>
      <c r="V298" s="27">
        <v>3</v>
      </c>
      <c r="W298" s="27">
        <v>3</v>
      </c>
      <c r="X298" s="27">
        <v>3</v>
      </c>
      <c r="Y298" s="27">
        <v>3</v>
      </c>
      <c r="Z298" s="27">
        <v>3</v>
      </c>
      <c r="AA298" s="27">
        <v>2.0699999999999998</v>
      </c>
    </row>
    <row r="299" spans="1:27">
      <c r="A299" t="s">
        <v>12</v>
      </c>
      <c r="B299" t="s">
        <v>12</v>
      </c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 spans="1:27"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 spans="1:27">
      <c r="A301" t="s">
        <v>1049</v>
      </c>
      <c r="C301" s="27">
        <v>2.79</v>
      </c>
      <c r="D301" s="27">
        <v>3.14</v>
      </c>
      <c r="E301" s="27">
        <v>3.39</v>
      </c>
      <c r="F301" s="27">
        <v>3.38</v>
      </c>
      <c r="G301" s="27">
        <v>3.28</v>
      </c>
      <c r="H301" s="27">
        <v>3.2</v>
      </c>
      <c r="I301" s="27">
        <v>2.97</v>
      </c>
      <c r="J301" s="27">
        <v>2.54</v>
      </c>
      <c r="K301" s="27">
        <v>3.37</v>
      </c>
      <c r="L301" s="27">
        <v>3.27</v>
      </c>
      <c r="M301" s="27">
        <v>3.23</v>
      </c>
      <c r="N301" s="27">
        <v>3.27</v>
      </c>
      <c r="O301" s="27">
        <v>3.1</v>
      </c>
      <c r="P301" s="27">
        <v>3.09</v>
      </c>
      <c r="Q301" s="27">
        <v>3.07</v>
      </c>
      <c r="R301" s="27">
        <v>3.07</v>
      </c>
      <c r="S301" s="27">
        <v>3.03</v>
      </c>
      <c r="T301" s="27">
        <v>3.03</v>
      </c>
      <c r="U301" s="27">
        <v>3</v>
      </c>
      <c r="V301" s="27">
        <v>3</v>
      </c>
      <c r="W301" s="27">
        <v>3</v>
      </c>
      <c r="X301" s="27">
        <v>3</v>
      </c>
      <c r="Y301" s="27">
        <v>3</v>
      </c>
      <c r="Z301" s="27">
        <v>3</v>
      </c>
      <c r="AA301" s="27">
        <v>3.09</v>
      </c>
    </row>
    <row r="302" spans="1:27"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 spans="1:27">
      <c r="A303" t="s">
        <v>1050</v>
      </c>
      <c r="B303">
        <v>820602</v>
      </c>
      <c r="C303" s="27">
        <v>3</v>
      </c>
      <c r="D303" s="27">
        <v>3</v>
      </c>
      <c r="E303" s="27">
        <v>3</v>
      </c>
      <c r="F303" s="27">
        <v>3</v>
      </c>
      <c r="G303" s="27">
        <v>3</v>
      </c>
      <c r="H303" s="27">
        <v>3</v>
      </c>
      <c r="I303" s="27">
        <v>3</v>
      </c>
      <c r="J303" s="27">
        <v>3</v>
      </c>
      <c r="K303" s="27">
        <v>2.25</v>
      </c>
      <c r="L303" s="27">
        <v>2.02</v>
      </c>
      <c r="M303" s="27">
        <v>1.97</v>
      </c>
      <c r="N303" s="27">
        <v>1.91</v>
      </c>
      <c r="O303" s="27">
        <v>1.8</v>
      </c>
      <c r="P303" s="27">
        <v>1.78</v>
      </c>
      <c r="Q303" s="27">
        <v>1.76</v>
      </c>
      <c r="R303" s="27">
        <v>1.73</v>
      </c>
      <c r="S303" s="27">
        <v>1.71</v>
      </c>
      <c r="T303" s="27">
        <v>1.69</v>
      </c>
      <c r="U303" s="27">
        <v>1.65</v>
      </c>
      <c r="V303" s="27">
        <v>1.61</v>
      </c>
      <c r="W303" s="27">
        <v>1.58</v>
      </c>
      <c r="X303" s="27">
        <v>1.54</v>
      </c>
      <c r="Y303" s="27">
        <v>1.51</v>
      </c>
      <c r="Z303" s="27">
        <v>1.47</v>
      </c>
      <c r="AA303" s="27">
        <v>2.17</v>
      </c>
    </row>
    <row r="304" spans="1:27">
      <c r="A304" t="s">
        <v>1051</v>
      </c>
      <c r="B304">
        <v>820605</v>
      </c>
      <c r="C304" s="27">
        <v>3.99</v>
      </c>
      <c r="D304" s="27">
        <v>3.99</v>
      </c>
      <c r="E304" s="27">
        <v>3.99</v>
      </c>
      <c r="F304" s="27">
        <v>3.99</v>
      </c>
      <c r="G304" s="27">
        <v>3.99</v>
      </c>
      <c r="H304" s="27">
        <v>3.99</v>
      </c>
      <c r="I304" s="27">
        <v>3.99</v>
      </c>
      <c r="J304" s="27">
        <v>3.99</v>
      </c>
      <c r="K304" s="27">
        <v>3.31</v>
      </c>
      <c r="L304" s="27">
        <v>3.31</v>
      </c>
      <c r="M304" s="27">
        <v>3.31</v>
      </c>
      <c r="N304" s="27">
        <v>3.31</v>
      </c>
      <c r="O304" s="27">
        <v>3.25</v>
      </c>
      <c r="P304" s="27">
        <v>3.25</v>
      </c>
      <c r="Q304" s="27">
        <v>3.25</v>
      </c>
      <c r="R304" s="27">
        <v>3.25</v>
      </c>
      <c r="S304" s="27">
        <v>3.25</v>
      </c>
      <c r="T304" s="27">
        <v>3.25</v>
      </c>
      <c r="U304" s="27">
        <v>3</v>
      </c>
      <c r="V304" s="27">
        <v>3</v>
      </c>
      <c r="W304" s="27">
        <v>3</v>
      </c>
      <c r="X304" s="27">
        <v>3</v>
      </c>
      <c r="Y304" s="27">
        <v>3</v>
      </c>
      <c r="Z304" s="27">
        <v>3</v>
      </c>
      <c r="AA304" s="27">
        <v>3.44</v>
      </c>
    </row>
    <row r="305" spans="1:27">
      <c r="A305" t="s">
        <v>1052</v>
      </c>
      <c r="B305">
        <v>820606</v>
      </c>
      <c r="C305" s="27">
        <v>0</v>
      </c>
      <c r="D305" s="27">
        <v>0</v>
      </c>
      <c r="E305" s="27">
        <v>0</v>
      </c>
      <c r="F305" s="27">
        <v>0</v>
      </c>
      <c r="G305" s="27">
        <v>0</v>
      </c>
      <c r="H305" s="27">
        <v>0</v>
      </c>
      <c r="I305" s="27">
        <v>0</v>
      </c>
      <c r="J305" s="27">
        <v>0</v>
      </c>
      <c r="K305" s="27">
        <v>3.31</v>
      </c>
      <c r="L305" s="27">
        <v>2.85</v>
      </c>
      <c r="M305" s="27">
        <v>2.82</v>
      </c>
      <c r="N305" s="27">
        <v>2.8</v>
      </c>
      <c r="O305" s="27">
        <v>2.75</v>
      </c>
      <c r="P305" s="27">
        <v>2.74</v>
      </c>
      <c r="Q305" s="27">
        <v>2.73</v>
      </c>
      <c r="R305" s="27">
        <v>2.72</v>
      </c>
      <c r="S305" s="27">
        <v>2.71</v>
      </c>
      <c r="T305" s="27">
        <v>2.7</v>
      </c>
      <c r="U305" s="27">
        <v>2.69</v>
      </c>
      <c r="V305" s="27">
        <v>2.67</v>
      </c>
      <c r="W305" s="27">
        <v>2.65</v>
      </c>
      <c r="X305" s="27">
        <v>2.64</v>
      </c>
      <c r="Y305" s="27">
        <v>2.62</v>
      </c>
      <c r="Z305" s="27">
        <v>2.61</v>
      </c>
      <c r="AA305" s="27">
        <v>1.83</v>
      </c>
    </row>
    <row r="306" spans="1:27">
      <c r="A306" t="s">
        <v>1053</v>
      </c>
      <c r="B306">
        <v>820607</v>
      </c>
      <c r="C306" s="27">
        <v>4.17</v>
      </c>
      <c r="D306" s="27">
        <v>4.17</v>
      </c>
      <c r="E306" s="27">
        <v>4.17</v>
      </c>
      <c r="F306" s="27">
        <v>4.17</v>
      </c>
      <c r="G306" s="27">
        <v>4.17</v>
      </c>
      <c r="H306" s="27">
        <v>4.17</v>
      </c>
      <c r="I306" s="27">
        <v>4.17</v>
      </c>
      <c r="J306" s="27">
        <v>4.17</v>
      </c>
      <c r="K306" s="27">
        <v>0.15</v>
      </c>
      <c r="L306" s="27">
        <v>0.15</v>
      </c>
      <c r="M306" s="27">
        <v>0.15</v>
      </c>
      <c r="N306" s="27">
        <v>0.15</v>
      </c>
      <c r="O306" s="27">
        <v>0.15</v>
      </c>
      <c r="P306" s="27">
        <v>0.15</v>
      </c>
      <c r="Q306" s="27">
        <v>0.15</v>
      </c>
      <c r="R306" s="27">
        <v>0.15</v>
      </c>
      <c r="S306" s="27">
        <v>0.15</v>
      </c>
      <c r="T306" s="27">
        <v>0.15</v>
      </c>
      <c r="U306" s="27">
        <v>0.15</v>
      </c>
      <c r="V306" s="27">
        <v>0.15</v>
      </c>
      <c r="W306" s="27">
        <v>0.15</v>
      </c>
      <c r="X306" s="27">
        <v>0.15</v>
      </c>
      <c r="Y306" s="27">
        <v>0.15</v>
      </c>
      <c r="Z306" s="27">
        <v>0.15</v>
      </c>
      <c r="AA306" s="27">
        <v>1.49</v>
      </c>
    </row>
    <row r="307" spans="1:27">
      <c r="A307" t="s">
        <v>1054</v>
      </c>
      <c r="B307">
        <v>820609</v>
      </c>
      <c r="C307" s="27">
        <v>0</v>
      </c>
      <c r="D307" s="27">
        <v>0</v>
      </c>
      <c r="E307" s="27">
        <v>0</v>
      </c>
      <c r="F307" s="27">
        <v>0</v>
      </c>
      <c r="G307" s="27">
        <v>0</v>
      </c>
      <c r="H307" s="27">
        <v>0</v>
      </c>
      <c r="I307" s="27">
        <v>0</v>
      </c>
      <c r="J307" s="27">
        <v>0</v>
      </c>
      <c r="K307" s="27">
        <v>4.0599999999999996</v>
      </c>
      <c r="L307" s="27">
        <v>2.84</v>
      </c>
      <c r="M307" s="27">
        <v>2.84</v>
      </c>
      <c r="N307" s="27">
        <v>2.85</v>
      </c>
      <c r="O307" s="27">
        <v>2.87</v>
      </c>
      <c r="P307" s="27">
        <v>2.87</v>
      </c>
      <c r="Q307" s="27">
        <v>2.87</v>
      </c>
      <c r="R307" s="27">
        <v>2.87</v>
      </c>
      <c r="S307" s="27">
        <v>2.88</v>
      </c>
      <c r="T307" s="27">
        <v>2.88</v>
      </c>
      <c r="U307" s="27">
        <v>2.89</v>
      </c>
      <c r="V307" s="27">
        <v>2.89</v>
      </c>
      <c r="W307" s="27">
        <v>2.9</v>
      </c>
      <c r="X307" s="27">
        <v>2.9</v>
      </c>
      <c r="Y307" s="27">
        <v>2.91</v>
      </c>
      <c r="Z307" s="27">
        <v>2.91</v>
      </c>
      <c r="AA307" s="27">
        <v>1.97</v>
      </c>
    </row>
    <row r="308" spans="1:27">
      <c r="A308" t="s">
        <v>1055</v>
      </c>
      <c r="B308">
        <v>820610</v>
      </c>
      <c r="C308" s="27">
        <v>2.96</v>
      </c>
      <c r="D308" s="27">
        <v>2.96</v>
      </c>
      <c r="E308" s="27">
        <v>2.96</v>
      </c>
      <c r="F308" s="27">
        <v>2.96</v>
      </c>
      <c r="G308" s="27">
        <v>2.96</v>
      </c>
      <c r="H308" s="27">
        <v>2.96</v>
      </c>
      <c r="I308" s="27">
        <v>2.96</v>
      </c>
      <c r="J308" s="27">
        <v>2.96</v>
      </c>
      <c r="K308" s="27">
        <v>2.5</v>
      </c>
      <c r="L308" s="27">
        <v>2.84</v>
      </c>
      <c r="M308" s="27">
        <v>2.84</v>
      </c>
      <c r="N308" s="27">
        <v>2.85</v>
      </c>
      <c r="O308" s="27">
        <v>2.87</v>
      </c>
      <c r="P308" s="27">
        <v>2.87</v>
      </c>
      <c r="Q308" s="27">
        <v>2.87</v>
      </c>
      <c r="R308" s="27">
        <v>2.87</v>
      </c>
      <c r="S308" s="27">
        <v>2.88</v>
      </c>
      <c r="T308" s="27">
        <v>2.88</v>
      </c>
      <c r="U308" s="27">
        <v>2.89</v>
      </c>
      <c r="V308" s="27">
        <v>2.89</v>
      </c>
      <c r="W308" s="27">
        <v>2.9</v>
      </c>
      <c r="X308" s="27">
        <v>2.9</v>
      </c>
      <c r="Y308" s="27">
        <v>2.91</v>
      </c>
      <c r="Z308" s="27">
        <v>2.91</v>
      </c>
      <c r="AA308" s="27">
        <v>2.89</v>
      </c>
    </row>
    <row r="309" spans="1:27">
      <c r="A309" t="s">
        <v>1056</v>
      </c>
      <c r="B309">
        <v>820611</v>
      </c>
      <c r="C309" s="27">
        <v>0.2</v>
      </c>
      <c r="D309" s="27">
        <v>0.2</v>
      </c>
      <c r="E309" s="27">
        <v>0.2</v>
      </c>
      <c r="F309" s="27">
        <v>0.2</v>
      </c>
      <c r="G309" s="27">
        <v>0.2</v>
      </c>
      <c r="H309" s="27">
        <v>0.2</v>
      </c>
      <c r="I309" s="27">
        <v>0.2</v>
      </c>
      <c r="J309" s="27">
        <v>0.2</v>
      </c>
      <c r="K309" s="27">
        <v>0.2</v>
      </c>
      <c r="L309" s="27">
        <v>0.2</v>
      </c>
      <c r="M309" s="27">
        <v>0.2</v>
      </c>
      <c r="N309" s="27">
        <v>0.2</v>
      </c>
      <c r="O309" s="27">
        <v>0.2</v>
      </c>
      <c r="P309" s="27">
        <v>0.2</v>
      </c>
      <c r="Q309" s="27">
        <v>0.2</v>
      </c>
      <c r="R309" s="27">
        <v>0.2</v>
      </c>
      <c r="S309" s="27">
        <v>0.2</v>
      </c>
      <c r="T309" s="27">
        <v>0.2</v>
      </c>
      <c r="U309" s="27">
        <v>0.2</v>
      </c>
      <c r="V309" s="27">
        <v>0.2</v>
      </c>
      <c r="W309" s="27">
        <v>0.2</v>
      </c>
      <c r="X309" s="27">
        <v>0.2</v>
      </c>
      <c r="Y309" s="27">
        <v>0.2</v>
      </c>
      <c r="Z309" s="27">
        <v>0.2</v>
      </c>
      <c r="AA309" s="27">
        <v>0.2</v>
      </c>
    </row>
    <row r="310" spans="1:27">
      <c r="A310" t="s">
        <v>1057</v>
      </c>
      <c r="B310">
        <v>820613</v>
      </c>
      <c r="C310" s="27">
        <v>0.2</v>
      </c>
      <c r="D310" s="27">
        <v>0.2</v>
      </c>
      <c r="E310" s="27">
        <v>0.2</v>
      </c>
      <c r="F310" s="27">
        <v>0.2</v>
      </c>
      <c r="G310" s="27">
        <v>0.2</v>
      </c>
      <c r="H310" s="27">
        <v>0.2</v>
      </c>
      <c r="I310" s="27">
        <v>0.2</v>
      </c>
      <c r="J310" s="27">
        <v>0.2</v>
      </c>
      <c r="K310" s="27">
        <v>0.2</v>
      </c>
      <c r="L310" s="27">
        <v>0.2</v>
      </c>
      <c r="M310" s="27">
        <v>0.2</v>
      </c>
      <c r="N310" s="27">
        <v>0.2</v>
      </c>
      <c r="O310" s="27">
        <v>0.2</v>
      </c>
      <c r="P310" s="27">
        <v>0.2</v>
      </c>
      <c r="Q310" s="27">
        <v>0.2</v>
      </c>
      <c r="R310" s="27">
        <v>0.2</v>
      </c>
      <c r="S310" s="27">
        <v>0.2</v>
      </c>
      <c r="T310" s="27">
        <v>0.2</v>
      </c>
      <c r="U310" s="27">
        <v>0.2</v>
      </c>
      <c r="V310" s="27">
        <v>0.2</v>
      </c>
      <c r="W310" s="27">
        <v>0.2</v>
      </c>
      <c r="X310" s="27">
        <v>0.2</v>
      </c>
      <c r="Y310" s="27">
        <v>0.2</v>
      </c>
      <c r="Z310" s="27">
        <v>0.2</v>
      </c>
      <c r="AA310" s="27">
        <v>0.2</v>
      </c>
    </row>
    <row r="311" spans="1:27">
      <c r="A311" t="s">
        <v>1058</v>
      </c>
      <c r="B311">
        <v>820615</v>
      </c>
      <c r="C311" s="27">
        <v>0.2</v>
      </c>
      <c r="D311" s="27">
        <v>0.2</v>
      </c>
      <c r="E311" s="27">
        <v>0.2</v>
      </c>
      <c r="F311" s="27">
        <v>0.2</v>
      </c>
      <c r="G311" s="27">
        <v>0.2</v>
      </c>
      <c r="H311" s="27">
        <v>0.2</v>
      </c>
      <c r="I311" s="27">
        <v>0.2</v>
      </c>
      <c r="J311" s="27">
        <v>0.2</v>
      </c>
      <c r="K311" s="27">
        <v>0.2</v>
      </c>
      <c r="L311" s="27">
        <v>0.2</v>
      </c>
      <c r="M311" s="27">
        <v>0.2</v>
      </c>
      <c r="N311" s="27">
        <v>0.2</v>
      </c>
      <c r="O311" s="27">
        <v>0.2</v>
      </c>
      <c r="P311" s="27">
        <v>0.2</v>
      </c>
      <c r="Q311" s="27">
        <v>0.2</v>
      </c>
      <c r="R311" s="27">
        <v>0.2</v>
      </c>
      <c r="S311" s="27">
        <v>0.2</v>
      </c>
      <c r="T311" s="27">
        <v>0.2</v>
      </c>
      <c r="U311" s="27">
        <v>0.2</v>
      </c>
      <c r="V311" s="27">
        <v>0.2</v>
      </c>
      <c r="W311" s="27">
        <v>0.2</v>
      </c>
      <c r="X311" s="27">
        <v>0.2</v>
      </c>
      <c r="Y311" s="27">
        <v>0.2</v>
      </c>
      <c r="Z311" s="27">
        <v>0.2</v>
      </c>
      <c r="AA311" s="27">
        <v>0.2</v>
      </c>
    </row>
    <row r="312" spans="1:27">
      <c r="A312" t="s">
        <v>1059</v>
      </c>
      <c r="B312">
        <v>820616</v>
      </c>
      <c r="C312" s="27">
        <v>2.2200000000000002</v>
      </c>
      <c r="D312" s="27">
        <v>2.2200000000000002</v>
      </c>
      <c r="E312" s="27">
        <v>2.2200000000000002</v>
      </c>
      <c r="F312" s="27">
        <v>2.2200000000000002</v>
      </c>
      <c r="G312" s="27">
        <v>2.2200000000000002</v>
      </c>
      <c r="H312" s="27">
        <v>2.2200000000000002</v>
      </c>
      <c r="I312" s="27">
        <v>2.2200000000000002</v>
      </c>
      <c r="J312" s="27">
        <v>2.2200000000000002</v>
      </c>
      <c r="K312" s="27">
        <v>2.2200000000000002</v>
      </c>
      <c r="L312" s="27">
        <v>2.2200000000000002</v>
      </c>
      <c r="M312" s="27">
        <v>2.2200000000000002</v>
      </c>
      <c r="N312" s="27">
        <v>2.2200000000000002</v>
      </c>
      <c r="O312" s="27">
        <v>2.2200000000000002</v>
      </c>
      <c r="P312" s="27">
        <v>2.2200000000000002</v>
      </c>
      <c r="Q312" s="27">
        <v>2.2200000000000002</v>
      </c>
      <c r="R312" s="27">
        <v>2.2200000000000002</v>
      </c>
      <c r="S312" s="27">
        <v>2.2200000000000002</v>
      </c>
      <c r="T312" s="27">
        <v>2.2200000000000002</v>
      </c>
      <c r="U312" s="27">
        <v>2.2200000000000002</v>
      </c>
      <c r="V312" s="27">
        <v>2.2200000000000002</v>
      </c>
      <c r="W312" s="27">
        <v>2.2200000000000002</v>
      </c>
      <c r="X312" s="27">
        <v>2.2200000000000002</v>
      </c>
      <c r="Y312" s="27">
        <v>2.2200000000000002</v>
      </c>
      <c r="Z312" s="27">
        <v>2.2200000000000002</v>
      </c>
      <c r="AA312" s="27">
        <v>2.2200000000000002</v>
      </c>
    </row>
    <row r="313" spans="1:27">
      <c r="A313" t="s">
        <v>1060</v>
      </c>
      <c r="B313">
        <v>820619</v>
      </c>
      <c r="C313" s="27">
        <v>0</v>
      </c>
      <c r="D313" s="27">
        <v>0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2.54</v>
      </c>
      <c r="L313" s="27">
        <v>1.51</v>
      </c>
      <c r="M313" s="27">
        <v>1.54</v>
      </c>
      <c r="N313" s="27">
        <v>1.57</v>
      </c>
      <c r="O313" s="27">
        <v>1.62</v>
      </c>
      <c r="P313" s="27">
        <v>1.63</v>
      </c>
      <c r="Q313" s="27">
        <v>1.64</v>
      </c>
      <c r="R313" s="27">
        <v>1.65</v>
      </c>
      <c r="S313" s="27">
        <v>1.66</v>
      </c>
      <c r="T313" s="27">
        <v>1.67</v>
      </c>
      <c r="U313" s="27">
        <v>1.69</v>
      </c>
      <c r="V313" s="27">
        <v>1.71</v>
      </c>
      <c r="W313" s="27">
        <v>1.73</v>
      </c>
      <c r="X313" s="27">
        <v>1.74</v>
      </c>
      <c r="Y313" s="27">
        <v>1.76</v>
      </c>
      <c r="Z313" s="27">
        <v>1.78</v>
      </c>
      <c r="AA313" s="27">
        <v>1.1399999999999999</v>
      </c>
    </row>
    <row r="314" spans="1:27">
      <c r="A314" t="s">
        <v>1047</v>
      </c>
      <c r="B314">
        <v>820620</v>
      </c>
      <c r="C314" s="27">
        <v>2.96</v>
      </c>
      <c r="D314" s="27">
        <v>2.96</v>
      </c>
      <c r="E314" s="27">
        <v>2.96</v>
      </c>
      <c r="F314" s="27">
        <v>2.96</v>
      </c>
      <c r="G314" s="27">
        <v>2.96</v>
      </c>
      <c r="H314" s="27">
        <v>2.96</v>
      </c>
      <c r="I314" s="27">
        <v>2.96</v>
      </c>
      <c r="J314" s="27">
        <v>2.96</v>
      </c>
      <c r="K314" s="27">
        <v>2.54</v>
      </c>
      <c r="L314" s="27">
        <v>1.51</v>
      </c>
      <c r="M314" s="27">
        <v>1.54</v>
      </c>
      <c r="N314" s="27">
        <v>1.57</v>
      </c>
      <c r="O314" s="27">
        <v>1.62</v>
      </c>
      <c r="P314" s="27">
        <v>1.63</v>
      </c>
      <c r="Q314" s="27">
        <v>1.64</v>
      </c>
      <c r="R314" s="27">
        <v>1.65</v>
      </c>
      <c r="S314" s="27">
        <v>1.66</v>
      </c>
      <c r="T314" s="27">
        <v>1.67</v>
      </c>
      <c r="U314" s="27">
        <v>1.69</v>
      </c>
      <c r="V314" s="27">
        <v>1.71</v>
      </c>
      <c r="W314" s="27">
        <v>1.73</v>
      </c>
      <c r="X314" s="27">
        <v>1.74</v>
      </c>
      <c r="Y314" s="27">
        <v>1.76</v>
      </c>
      <c r="Z314" s="27">
        <v>1.78</v>
      </c>
      <c r="AA314" s="27">
        <v>2.13</v>
      </c>
    </row>
    <row r="315" spans="1:27">
      <c r="A315" t="s">
        <v>1061</v>
      </c>
      <c r="B315">
        <v>820625</v>
      </c>
      <c r="C315" s="27">
        <v>2.71</v>
      </c>
      <c r="D315" s="27">
        <v>2.71</v>
      </c>
      <c r="E315" s="27">
        <v>2.71</v>
      </c>
      <c r="F315" s="27">
        <v>2.71</v>
      </c>
      <c r="G315" s="27">
        <v>2.71</v>
      </c>
      <c r="H315" s="27">
        <v>2.71</v>
      </c>
      <c r="I315" s="27">
        <v>2.71</v>
      </c>
      <c r="J315" s="27">
        <v>2.71</v>
      </c>
      <c r="K315" s="27">
        <v>2.54</v>
      </c>
      <c r="L315" s="27">
        <v>1.51</v>
      </c>
      <c r="M315" s="27">
        <v>1.54</v>
      </c>
      <c r="N315" s="27">
        <v>1.57</v>
      </c>
      <c r="O315" s="27">
        <v>1.62</v>
      </c>
      <c r="P315" s="27">
        <v>1.63</v>
      </c>
      <c r="Q315" s="27">
        <v>1.64</v>
      </c>
      <c r="R315" s="27">
        <v>1.65</v>
      </c>
      <c r="S315" s="27">
        <v>1.66</v>
      </c>
      <c r="T315" s="27">
        <v>1.67</v>
      </c>
      <c r="U315" s="27">
        <v>1.69</v>
      </c>
      <c r="V315" s="27">
        <v>1.71</v>
      </c>
      <c r="W315" s="27">
        <v>1.73</v>
      </c>
      <c r="X315" s="27">
        <v>1.74</v>
      </c>
      <c r="Y315" s="27">
        <v>1.76</v>
      </c>
      <c r="Z315" s="27">
        <v>1.78</v>
      </c>
      <c r="AA315" s="27">
        <v>2.0499999999999998</v>
      </c>
    </row>
    <row r="316" spans="1:27">
      <c r="A316" t="s">
        <v>1062</v>
      </c>
      <c r="B316">
        <v>820626</v>
      </c>
      <c r="C316" s="27">
        <v>3.5</v>
      </c>
      <c r="D316" s="27">
        <v>3.5</v>
      </c>
      <c r="E316" s="27">
        <v>3.5</v>
      </c>
      <c r="F316" s="27">
        <v>3.5</v>
      </c>
      <c r="G316" s="27">
        <v>3.5</v>
      </c>
      <c r="H316" s="27">
        <v>3.5</v>
      </c>
      <c r="I316" s="27">
        <v>3.5</v>
      </c>
      <c r="J316" s="27">
        <v>3.5</v>
      </c>
      <c r="K316" s="27">
        <v>2.54</v>
      </c>
      <c r="L316" s="27">
        <v>1.51</v>
      </c>
      <c r="M316" s="27">
        <v>1.54</v>
      </c>
      <c r="N316" s="27">
        <v>1.57</v>
      </c>
      <c r="O316" s="27">
        <v>1.62</v>
      </c>
      <c r="P316" s="27">
        <v>1.63</v>
      </c>
      <c r="Q316" s="27">
        <v>1.64</v>
      </c>
      <c r="R316" s="27">
        <v>1.65</v>
      </c>
      <c r="S316" s="27">
        <v>1.66</v>
      </c>
      <c r="T316" s="27">
        <v>1.67</v>
      </c>
      <c r="U316" s="27">
        <v>1.69</v>
      </c>
      <c r="V316" s="27">
        <v>1.71</v>
      </c>
      <c r="W316" s="27">
        <v>1.73</v>
      </c>
      <c r="X316" s="27">
        <v>1.74</v>
      </c>
      <c r="Y316" s="27">
        <v>1.76</v>
      </c>
      <c r="Z316" s="27">
        <v>1.78</v>
      </c>
      <c r="AA316" s="27">
        <v>2.31</v>
      </c>
    </row>
    <row r="317" spans="1:27">
      <c r="A317" t="s">
        <v>1063</v>
      </c>
      <c r="B317">
        <v>820630</v>
      </c>
      <c r="C317" s="27">
        <v>2.4700000000000002</v>
      </c>
      <c r="D317" s="27">
        <v>2.4700000000000002</v>
      </c>
      <c r="E317" s="27">
        <v>2.4700000000000002</v>
      </c>
      <c r="F317" s="27">
        <v>2.4700000000000002</v>
      </c>
      <c r="G317" s="27">
        <v>2.4700000000000002</v>
      </c>
      <c r="H317" s="27">
        <v>2.4700000000000002</v>
      </c>
      <c r="I317" s="27">
        <v>2.4700000000000002</v>
      </c>
      <c r="J317" s="27">
        <v>2.4700000000000002</v>
      </c>
      <c r="K317" s="27">
        <v>2.31</v>
      </c>
      <c r="L317" s="27">
        <v>0.51</v>
      </c>
      <c r="M317" s="27">
        <v>0.54</v>
      </c>
      <c r="N317" s="27">
        <v>0.56999999999999995</v>
      </c>
      <c r="O317" s="27">
        <v>0.64</v>
      </c>
      <c r="P317" s="27">
        <v>0.66</v>
      </c>
      <c r="Q317" s="27">
        <v>0.67</v>
      </c>
      <c r="R317" s="27">
        <v>0.68</v>
      </c>
      <c r="S317" s="27">
        <v>0.7</v>
      </c>
      <c r="T317" s="27">
        <v>0.71</v>
      </c>
      <c r="U317" s="27">
        <v>0.74</v>
      </c>
      <c r="V317" s="27">
        <v>0.76</v>
      </c>
      <c r="W317" s="27">
        <v>0.78</v>
      </c>
      <c r="X317" s="27">
        <v>0.8</v>
      </c>
      <c r="Y317" s="27">
        <v>0.83</v>
      </c>
      <c r="Z317" s="27">
        <v>0.85</v>
      </c>
      <c r="AA317" s="27">
        <v>1.35</v>
      </c>
    </row>
    <row r="318" spans="1:27">
      <c r="A318" t="s">
        <v>1064</v>
      </c>
      <c r="B318">
        <v>820634</v>
      </c>
      <c r="C318" s="27">
        <v>0.3</v>
      </c>
      <c r="D318" s="27">
        <v>0.3</v>
      </c>
      <c r="E318" s="27">
        <v>0.3</v>
      </c>
      <c r="F318" s="27">
        <v>0.3</v>
      </c>
      <c r="G318" s="27">
        <v>0.3</v>
      </c>
      <c r="H318" s="27">
        <v>0.3</v>
      </c>
      <c r="I318" s="27">
        <v>0.3</v>
      </c>
      <c r="J318" s="27">
        <v>0.3</v>
      </c>
      <c r="K318" s="27">
        <v>0.3</v>
      </c>
      <c r="L318" s="27">
        <v>0.3</v>
      </c>
      <c r="M318" s="27">
        <v>0.3</v>
      </c>
      <c r="N318" s="27">
        <v>0.3</v>
      </c>
      <c r="O318" s="27">
        <v>0.3</v>
      </c>
      <c r="P318" s="27">
        <v>0.3</v>
      </c>
      <c r="Q318" s="27">
        <v>0.3</v>
      </c>
      <c r="R318" s="27">
        <v>0.3</v>
      </c>
      <c r="S318" s="27">
        <v>0.3</v>
      </c>
      <c r="T318" s="27">
        <v>0.3</v>
      </c>
      <c r="U318" s="27">
        <v>0.3</v>
      </c>
      <c r="V318" s="27">
        <v>0.3</v>
      </c>
      <c r="W318" s="27">
        <v>0.3</v>
      </c>
      <c r="X318" s="27">
        <v>0.3</v>
      </c>
      <c r="Y318" s="27">
        <v>0.3</v>
      </c>
      <c r="Z318" s="27">
        <v>0.3</v>
      </c>
      <c r="AA318" s="27">
        <v>0.3</v>
      </c>
    </row>
    <row r="319" spans="1:27">
      <c r="A319" t="s">
        <v>1065</v>
      </c>
      <c r="B319">
        <v>820635</v>
      </c>
      <c r="C319" s="27">
        <v>2.4700000000000002</v>
      </c>
      <c r="D319" s="27">
        <v>2.4700000000000002</v>
      </c>
      <c r="E319" s="27">
        <v>2.4700000000000002</v>
      </c>
      <c r="F319" s="27">
        <v>2.4700000000000002</v>
      </c>
      <c r="G319" s="27">
        <v>2.4700000000000002</v>
      </c>
      <c r="H319" s="27">
        <v>2.4700000000000002</v>
      </c>
      <c r="I319" s="27">
        <v>2.4700000000000002</v>
      </c>
      <c r="J319" s="27">
        <v>2.4700000000000002</v>
      </c>
      <c r="K319" s="27">
        <v>2.33</v>
      </c>
      <c r="L319" s="27">
        <v>0.64</v>
      </c>
      <c r="M319" s="27">
        <v>0.67</v>
      </c>
      <c r="N319" s="27">
        <v>0.7</v>
      </c>
      <c r="O319" s="27">
        <v>0.77</v>
      </c>
      <c r="P319" s="27">
        <v>0.79</v>
      </c>
      <c r="Q319" s="27">
        <v>0.8</v>
      </c>
      <c r="R319" s="27">
        <v>0.81</v>
      </c>
      <c r="S319" s="27">
        <v>0.83</v>
      </c>
      <c r="T319" s="27">
        <v>0.84</v>
      </c>
      <c r="U319" s="27">
        <v>0.87</v>
      </c>
      <c r="V319" s="27">
        <v>0.89</v>
      </c>
      <c r="W319" s="27">
        <v>0.91</v>
      </c>
      <c r="X319" s="27">
        <v>0.93</v>
      </c>
      <c r="Y319" s="27">
        <v>0.96</v>
      </c>
      <c r="Z319" s="27">
        <v>0.98</v>
      </c>
      <c r="AA319" s="27">
        <v>1.44</v>
      </c>
    </row>
    <row r="320" spans="1:27">
      <c r="A320" t="s">
        <v>1066</v>
      </c>
      <c r="B320">
        <v>820640</v>
      </c>
      <c r="C320" s="27">
        <v>2.4700000000000002</v>
      </c>
      <c r="D320" s="27">
        <v>2.4700000000000002</v>
      </c>
      <c r="E320" s="27">
        <v>2.4700000000000002</v>
      </c>
      <c r="F320" s="27">
        <v>2.4700000000000002</v>
      </c>
      <c r="G320" s="27">
        <v>2.4700000000000002</v>
      </c>
      <c r="H320" s="27">
        <v>2.4700000000000002</v>
      </c>
      <c r="I320" s="27">
        <v>2.4700000000000002</v>
      </c>
      <c r="J320" s="27">
        <v>2.4700000000000002</v>
      </c>
      <c r="K320" s="27">
        <v>2.4500000000000002</v>
      </c>
      <c r="L320" s="27">
        <v>0.48</v>
      </c>
      <c r="M320" s="27">
        <v>0.5</v>
      </c>
      <c r="N320" s="27">
        <v>0.53</v>
      </c>
      <c r="O320" s="27">
        <v>0.57999999999999996</v>
      </c>
      <c r="P320" s="27">
        <v>0.59</v>
      </c>
      <c r="Q320" s="27">
        <v>0.59</v>
      </c>
      <c r="R320" s="27">
        <v>0.6</v>
      </c>
      <c r="S320" s="27">
        <v>0.61</v>
      </c>
      <c r="T320" s="27">
        <v>0.62</v>
      </c>
      <c r="U320" s="27">
        <v>0.64</v>
      </c>
      <c r="V320" s="27">
        <v>0.66</v>
      </c>
      <c r="W320" s="27">
        <v>0.67</v>
      </c>
      <c r="X320" s="27">
        <v>0.69</v>
      </c>
      <c r="Y320" s="27">
        <v>0.7</v>
      </c>
      <c r="Z320" s="27">
        <v>0.72</v>
      </c>
      <c r="AA320" s="27">
        <v>1.31</v>
      </c>
    </row>
    <row r="321" spans="1:27">
      <c r="A321" t="s">
        <v>1031</v>
      </c>
      <c r="B321">
        <v>820645</v>
      </c>
      <c r="C321" s="27">
        <v>2.96</v>
      </c>
      <c r="D321" s="27">
        <v>2.96</v>
      </c>
      <c r="E321" s="27">
        <v>2.96</v>
      </c>
      <c r="F321" s="27">
        <v>2.96</v>
      </c>
      <c r="G321" s="27">
        <v>2.96</v>
      </c>
      <c r="H321" s="27">
        <v>2.96</v>
      </c>
      <c r="I321" s="27">
        <v>2.96</v>
      </c>
      <c r="J321" s="27">
        <v>2.96</v>
      </c>
      <c r="K321" s="27">
        <v>2.5</v>
      </c>
      <c r="L321" s="27">
        <v>2.84</v>
      </c>
      <c r="M321" s="27">
        <v>2.84</v>
      </c>
      <c r="N321" s="27">
        <v>2.85</v>
      </c>
      <c r="O321" s="27">
        <v>2.87</v>
      </c>
      <c r="P321" s="27">
        <v>2.87</v>
      </c>
      <c r="Q321" s="27">
        <v>2.87</v>
      </c>
      <c r="R321" s="27">
        <v>2.87</v>
      </c>
      <c r="S321" s="27">
        <v>2.88</v>
      </c>
      <c r="T321" s="27">
        <v>2.88</v>
      </c>
      <c r="U321" s="27">
        <v>2.89</v>
      </c>
      <c r="V321" s="27">
        <v>2.89</v>
      </c>
      <c r="W321" s="27">
        <v>2.9</v>
      </c>
      <c r="X321" s="27">
        <v>2.9</v>
      </c>
      <c r="Y321" s="27">
        <v>2.91</v>
      </c>
      <c r="Z321" s="27">
        <v>2.91</v>
      </c>
      <c r="AA321" s="27">
        <v>2.89</v>
      </c>
    </row>
    <row r="322" spans="1:27">
      <c r="A322" t="s">
        <v>1032</v>
      </c>
      <c r="B322">
        <v>820650</v>
      </c>
      <c r="C322" s="27">
        <v>2.71</v>
      </c>
      <c r="D322" s="27">
        <v>2.71</v>
      </c>
      <c r="E322" s="27">
        <v>2.71</v>
      </c>
      <c r="F322" s="27">
        <v>2.71</v>
      </c>
      <c r="G322" s="27">
        <v>2.71</v>
      </c>
      <c r="H322" s="27">
        <v>2.71</v>
      </c>
      <c r="I322" s="27">
        <v>2.71</v>
      </c>
      <c r="J322" s="27">
        <v>2.71</v>
      </c>
      <c r="K322" s="27">
        <v>2.54</v>
      </c>
      <c r="L322" s="27">
        <v>1.51</v>
      </c>
      <c r="M322" s="27">
        <v>1.54</v>
      </c>
      <c r="N322" s="27">
        <v>1.57</v>
      </c>
      <c r="O322" s="27">
        <v>1.62</v>
      </c>
      <c r="P322" s="27">
        <v>1.63</v>
      </c>
      <c r="Q322" s="27">
        <v>1.64</v>
      </c>
      <c r="R322" s="27">
        <v>1.65</v>
      </c>
      <c r="S322" s="27">
        <v>1.66</v>
      </c>
      <c r="T322" s="27">
        <v>1.67</v>
      </c>
      <c r="U322" s="27">
        <v>1.69</v>
      </c>
      <c r="V322" s="27">
        <v>1.71</v>
      </c>
      <c r="W322" s="27">
        <v>1.73</v>
      </c>
      <c r="X322" s="27">
        <v>1.74</v>
      </c>
      <c r="Y322" s="27">
        <v>1.76</v>
      </c>
      <c r="Z322" s="27">
        <v>1.78</v>
      </c>
      <c r="AA322" s="27">
        <v>2.0499999999999998</v>
      </c>
    </row>
    <row r="323" spans="1:27">
      <c r="A323" t="s">
        <v>1033</v>
      </c>
      <c r="B323">
        <v>820655</v>
      </c>
      <c r="C323" s="27">
        <v>2.4700000000000002</v>
      </c>
      <c r="D323" s="27">
        <v>2.4700000000000002</v>
      </c>
      <c r="E323" s="27">
        <v>2.4700000000000002</v>
      </c>
      <c r="F323" s="27">
        <v>2.4700000000000002</v>
      </c>
      <c r="G323" s="27">
        <v>2.4700000000000002</v>
      </c>
      <c r="H323" s="27">
        <v>2.4700000000000002</v>
      </c>
      <c r="I323" s="27">
        <v>2.4700000000000002</v>
      </c>
      <c r="J323" s="27">
        <v>2.4700000000000002</v>
      </c>
      <c r="K323" s="27">
        <v>2.31</v>
      </c>
      <c r="L323" s="27">
        <v>0.51</v>
      </c>
      <c r="M323" s="27">
        <v>0.54</v>
      </c>
      <c r="N323" s="27">
        <v>0.56999999999999995</v>
      </c>
      <c r="O323" s="27">
        <v>0.64</v>
      </c>
      <c r="P323" s="27">
        <v>0.66</v>
      </c>
      <c r="Q323" s="27">
        <v>0.67</v>
      </c>
      <c r="R323" s="27">
        <v>0.68</v>
      </c>
      <c r="S323" s="27">
        <v>0.7</v>
      </c>
      <c r="T323" s="27">
        <v>0.71</v>
      </c>
      <c r="U323" s="27">
        <v>0.74</v>
      </c>
      <c r="V323" s="27">
        <v>0.76</v>
      </c>
      <c r="W323" s="27">
        <v>0.78</v>
      </c>
      <c r="X323" s="27">
        <v>0.8</v>
      </c>
      <c r="Y323" s="27">
        <v>0.83</v>
      </c>
      <c r="Z323" s="27">
        <v>0.85</v>
      </c>
      <c r="AA323" s="27">
        <v>1.35</v>
      </c>
    </row>
    <row r="324" spans="1:27">
      <c r="A324" t="s">
        <v>1034</v>
      </c>
      <c r="B324">
        <v>820660</v>
      </c>
      <c r="C324" s="27">
        <v>2.4700000000000002</v>
      </c>
      <c r="D324" s="27">
        <v>2.4700000000000002</v>
      </c>
      <c r="E324" s="27">
        <v>2.4700000000000002</v>
      </c>
      <c r="F324" s="27">
        <v>2.4700000000000002</v>
      </c>
      <c r="G324" s="27">
        <v>2.4700000000000002</v>
      </c>
      <c r="H324" s="27">
        <v>2.4700000000000002</v>
      </c>
      <c r="I324" s="27">
        <v>2.4700000000000002</v>
      </c>
      <c r="J324" s="27">
        <v>2.4700000000000002</v>
      </c>
      <c r="K324" s="27">
        <v>2.33</v>
      </c>
      <c r="L324" s="27">
        <v>0.64</v>
      </c>
      <c r="M324" s="27">
        <v>0.67</v>
      </c>
      <c r="N324" s="27">
        <v>0.7</v>
      </c>
      <c r="O324" s="27">
        <v>0.77</v>
      </c>
      <c r="P324" s="27">
        <v>0.79</v>
      </c>
      <c r="Q324" s="27">
        <v>0.8</v>
      </c>
      <c r="R324" s="27">
        <v>0.81</v>
      </c>
      <c r="S324" s="27">
        <v>0.83</v>
      </c>
      <c r="T324" s="27">
        <v>0.84</v>
      </c>
      <c r="U324" s="27">
        <v>0.87</v>
      </c>
      <c r="V324" s="27">
        <v>0.89</v>
      </c>
      <c r="W324" s="27">
        <v>0.91</v>
      </c>
      <c r="X324" s="27">
        <v>0.93</v>
      </c>
      <c r="Y324" s="27">
        <v>0.96</v>
      </c>
      <c r="Z324" s="27">
        <v>0.98</v>
      </c>
      <c r="AA324" s="27">
        <v>1.44</v>
      </c>
    </row>
    <row r="325" spans="1:27">
      <c r="A325" t="s">
        <v>1035</v>
      </c>
      <c r="B325">
        <v>820665</v>
      </c>
      <c r="C325" s="27">
        <v>2.4700000000000002</v>
      </c>
      <c r="D325" s="27">
        <v>2.4700000000000002</v>
      </c>
      <c r="E325" s="27">
        <v>2.4700000000000002</v>
      </c>
      <c r="F325" s="27">
        <v>2.4700000000000002</v>
      </c>
      <c r="G325" s="27">
        <v>2.4700000000000002</v>
      </c>
      <c r="H325" s="27">
        <v>2.4700000000000002</v>
      </c>
      <c r="I325" s="27">
        <v>2.4700000000000002</v>
      </c>
      <c r="J325" s="27">
        <v>2.4700000000000002</v>
      </c>
      <c r="K325" s="27">
        <v>2.4500000000000002</v>
      </c>
      <c r="L325" s="27">
        <v>0.48</v>
      </c>
      <c r="M325" s="27">
        <v>0.5</v>
      </c>
      <c r="N325" s="27">
        <v>0.53</v>
      </c>
      <c r="O325" s="27">
        <v>0.57999999999999996</v>
      </c>
      <c r="P325" s="27">
        <v>0.59</v>
      </c>
      <c r="Q325" s="27">
        <v>0.59</v>
      </c>
      <c r="R325" s="27">
        <v>0.6</v>
      </c>
      <c r="S325" s="27">
        <v>0.61</v>
      </c>
      <c r="T325" s="27">
        <v>0.62</v>
      </c>
      <c r="U325" s="27">
        <v>0.64</v>
      </c>
      <c r="V325" s="27">
        <v>0.66</v>
      </c>
      <c r="W325" s="27">
        <v>0.67</v>
      </c>
      <c r="X325" s="27">
        <v>0.69</v>
      </c>
      <c r="Y325" s="27">
        <v>0.7</v>
      </c>
      <c r="Z325" s="27">
        <v>0.72</v>
      </c>
      <c r="AA325" s="27">
        <v>1.31</v>
      </c>
    </row>
    <row r="326" spans="1:27">
      <c r="A326" t="s">
        <v>1036</v>
      </c>
      <c r="B326">
        <v>820670</v>
      </c>
      <c r="C326" s="27">
        <v>2.96</v>
      </c>
      <c r="D326" s="27">
        <v>2.96</v>
      </c>
      <c r="E326" s="27">
        <v>2.96</v>
      </c>
      <c r="F326" s="27">
        <v>2.96</v>
      </c>
      <c r="G326" s="27">
        <v>2.96</v>
      </c>
      <c r="H326" s="27">
        <v>2.96</v>
      </c>
      <c r="I326" s="27">
        <v>2.96</v>
      </c>
      <c r="J326" s="27">
        <v>2.96</v>
      </c>
      <c r="K326" s="27">
        <v>2.5</v>
      </c>
      <c r="L326" s="27">
        <v>2.84</v>
      </c>
      <c r="M326" s="27">
        <v>2.84</v>
      </c>
      <c r="N326" s="27">
        <v>2.85</v>
      </c>
      <c r="O326" s="27">
        <v>2.87</v>
      </c>
      <c r="P326" s="27">
        <v>2.87</v>
      </c>
      <c r="Q326" s="27">
        <v>2.87</v>
      </c>
      <c r="R326" s="27">
        <v>2.87</v>
      </c>
      <c r="S326" s="27">
        <v>2.88</v>
      </c>
      <c r="T326" s="27">
        <v>2.88</v>
      </c>
      <c r="U326" s="27">
        <v>2.89</v>
      </c>
      <c r="V326" s="27">
        <v>2.89</v>
      </c>
      <c r="W326" s="27">
        <v>2.9</v>
      </c>
      <c r="X326" s="27">
        <v>2.9</v>
      </c>
      <c r="Y326" s="27">
        <v>2.91</v>
      </c>
      <c r="Z326" s="27">
        <v>2.91</v>
      </c>
      <c r="AA326" s="27">
        <v>2.89</v>
      </c>
    </row>
    <row r="327" spans="1:27">
      <c r="A327" t="s">
        <v>1037</v>
      </c>
      <c r="B327">
        <v>820675</v>
      </c>
      <c r="C327" s="27">
        <v>0.94</v>
      </c>
      <c r="D327" s="27">
        <v>0.94</v>
      </c>
      <c r="E327" s="27">
        <v>0.94</v>
      </c>
      <c r="F327" s="27">
        <v>0.94</v>
      </c>
      <c r="G327" s="27">
        <v>0.94</v>
      </c>
      <c r="H327" s="27">
        <v>0.94</v>
      </c>
      <c r="I327" s="27">
        <v>0.94</v>
      </c>
      <c r="J327" s="27">
        <v>0.94</v>
      </c>
      <c r="K327" s="27">
        <v>2.54</v>
      </c>
      <c r="L327" s="27">
        <v>1.51</v>
      </c>
      <c r="M327" s="27">
        <v>1.54</v>
      </c>
      <c r="N327" s="27">
        <v>1.57</v>
      </c>
      <c r="O327" s="27">
        <v>1.62</v>
      </c>
      <c r="P327" s="27">
        <v>1.63</v>
      </c>
      <c r="Q327" s="27">
        <v>1.64</v>
      </c>
      <c r="R327" s="27">
        <v>1.65</v>
      </c>
      <c r="S327" s="27">
        <v>1.66</v>
      </c>
      <c r="T327" s="27">
        <v>1.67</v>
      </c>
      <c r="U327" s="27">
        <v>1.69</v>
      </c>
      <c r="V327" s="27">
        <v>1.71</v>
      </c>
      <c r="W327" s="27">
        <v>1.73</v>
      </c>
      <c r="X327" s="27">
        <v>1.74</v>
      </c>
      <c r="Y327" s="27">
        <v>1.76</v>
      </c>
      <c r="Z327" s="27">
        <v>1.78</v>
      </c>
      <c r="AA327" s="27">
        <v>1.46</v>
      </c>
    </row>
    <row r="328" spans="1:27">
      <c r="A328" t="s">
        <v>1026</v>
      </c>
      <c r="B328">
        <v>820680</v>
      </c>
      <c r="C328" s="27">
        <v>2.96</v>
      </c>
      <c r="D328" s="27">
        <v>2.96</v>
      </c>
      <c r="E328" s="27">
        <v>2.96</v>
      </c>
      <c r="F328" s="27">
        <v>2.96</v>
      </c>
      <c r="G328" s="27">
        <v>2.96</v>
      </c>
      <c r="H328" s="27">
        <v>2.96</v>
      </c>
      <c r="I328" s="27">
        <v>2.96</v>
      </c>
      <c r="J328" s="27">
        <v>2.96</v>
      </c>
      <c r="K328" s="27">
        <v>2.4500000000000002</v>
      </c>
      <c r="L328" s="27">
        <v>0.48</v>
      </c>
      <c r="M328" s="27">
        <v>0.5</v>
      </c>
      <c r="N328" s="27">
        <v>0.53</v>
      </c>
      <c r="O328" s="27">
        <v>0.57999999999999996</v>
      </c>
      <c r="P328" s="27">
        <v>0.59</v>
      </c>
      <c r="Q328" s="27">
        <v>0.59</v>
      </c>
      <c r="R328" s="27">
        <v>0.6</v>
      </c>
      <c r="S328" s="27">
        <v>0.61</v>
      </c>
      <c r="T328" s="27">
        <v>0.62</v>
      </c>
      <c r="U328" s="27">
        <v>0.64</v>
      </c>
      <c r="V328" s="27">
        <v>0.66</v>
      </c>
      <c r="W328" s="27">
        <v>0.67</v>
      </c>
      <c r="X328" s="27">
        <v>0.69</v>
      </c>
      <c r="Y328" s="27">
        <v>0.7</v>
      </c>
      <c r="Z328" s="27">
        <v>0.72</v>
      </c>
      <c r="AA328" s="27">
        <v>1.47</v>
      </c>
    </row>
    <row r="329" spans="1:27">
      <c r="A329" t="s">
        <v>1027</v>
      </c>
      <c r="B329">
        <v>820685</v>
      </c>
      <c r="C329" s="27">
        <v>2.96</v>
      </c>
      <c r="D329" s="27">
        <v>2.96</v>
      </c>
      <c r="E329" s="27">
        <v>2.96</v>
      </c>
      <c r="F329" s="27">
        <v>2.96</v>
      </c>
      <c r="G329" s="27">
        <v>2.96</v>
      </c>
      <c r="H329" s="27">
        <v>2.96</v>
      </c>
      <c r="I329" s="27">
        <v>2.96</v>
      </c>
      <c r="J329" s="27">
        <v>2.96</v>
      </c>
      <c r="K329" s="27">
        <v>2.5</v>
      </c>
      <c r="L329" s="27">
        <v>2.84</v>
      </c>
      <c r="M329" s="27">
        <v>2.84</v>
      </c>
      <c r="N329" s="27">
        <v>2.85</v>
      </c>
      <c r="O329" s="27">
        <v>2.87</v>
      </c>
      <c r="P329" s="27">
        <v>2.87</v>
      </c>
      <c r="Q329" s="27">
        <v>2.87</v>
      </c>
      <c r="R329" s="27">
        <v>2.87</v>
      </c>
      <c r="S329" s="27">
        <v>2.88</v>
      </c>
      <c r="T329" s="27">
        <v>2.88</v>
      </c>
      <c r="U329" s="27">
        <v>2.89</v>
      </c>
      <c r="V329" s="27">
        <v>2.89</v>
      </c>
      <c r="W329" s="27">
        <v>2.9</v>
      </c>
      <c r="X329" s="27">
        <v>2.9</v>
      </c>
      <c r="Y329" s="27">
        <v>2.91</v>
      </c>
      <c r="Z329" s="27">
        <v>2.91</v>
      </c>
      <c r="AA329" s="27">
        <v>2.89</v>
      </c>
    </row>
    <row r="330" spans="1:27">
      <c r="A330" t="s">
        <v>1028</v>
      </c>
      <c r="B330">
        <v>820686</v>
      </c>
      <c r="C330" s="27">
        <v>0.2</v>
      </c>
      <c r="D330" s="27">
        <v>0.2</v>
      </c>
      <c r="E330" s="27">
        <v>0.2</v>
      </c>
      <c r="F330" s="27">
        <v>0.2</v>
      </c>
      <c r="G330" s="27">
        <v>0.2</v>
      </c>
      <c r="H330" s="27">
        <v>0.2</v>
      </c>
      <c r="I330" s="27">
        <v>0.2</v>
      </c>
      <c r="J330" s="27">
        <v>0.2</v>
      </c>
      <c r="K330" s="27">
        <v>0.2</v>
      </c>
      <c r="L330" s="27">
        <v>0.2</v>
      </c>
      <c r="M330" s="27">
        <v>0.2</v>
      </c>
      <c r="N330" s="27">
        <v>0.2</v>
      </c>
      <c r="O330" s="27">
        <v>0.2</v>
      </c>
      <c r="P330" s="27">
        <v>0.2</v>
      </c>
      <c r="Q330" s="27">
        <v>0.2</v>
      </c>
      <c r="R330" s="27">
        <v>0.2</v>
      </c>
      <c r="S330" s="27">
        <v>0.2</v>
      </c>
      <c r="T330" s="27">
        <v>0.2</v>
      </c>
      <c r="U330" s="27">
        <v>0.2</v>
      </c>
      <c r="V330" s="27">
        <v>0.2</v>
      </c>
      <c r="W330" s="27">
        <v>0.2</v>
      </c>
      <c r="X330" s="27">
        <v>0.2</v>
      </c>
      <c r="Y330" s="27">
        <v>0.2</v>
      </c>
      <c r="Z330" s="27">
        <v>0.2</v>
      </c>
      <c r="AA330" s="27">
        <v>0.2</v>
      </c>
    </row>
    <row r="331" spans="1:27">
      <c r="A331" t="s">
        <v>12</v>
      </c>
      <c r="B331" t="s">
        <v>12</v>
      </c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 spans="1:27"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 spans="1:27">
      <c r="A333" t="s">
        <v>1067</v>
      </c>
      <c r="C333" s="27">
        <v>3.25</v>
      </c>
      <c r="D333" s="27">
        <v>3.36</v>
      </c>
      <c r="E333" s="27">
        <v>3.4</v>
      </c>
      <c r="F333" s="27">
        <v>3.37</v>
      </c>
      <c r="G333" s="27">
        <v>3.31</v>
      </c>
      <c r="H333" s="27">
        <v>3.23</v>
      </c>
      <c r="I333" s="27">
        <v>3.06</v>
      </c>
      <c r="J333" s="27">
        <v>2.84</v>
      </c>
      <c r="K333" s="27">
        <v>2.98</v>
      </c>
      <c r="L333" s="27">
        <v>2.58</v>
      </c>
      <c r="M333" s="27">
        <v>2.59</v>
      </c>
      <c r="N333" s="27">
        <v>2.59</v>
      </c>
      <c r="O333" s="27">
        <v>2.59</v>
      </c>
      <c r="P333" s="27">
        <v>2.59</v>
      </c>
      <c r="Q333" s="27">
        <v>2.59</v>
      </c>
      <c r="R333" s="27">
        <v>2.6</v>
      </c>
      <c r="S333" s="27">
        <v>2.59</v>
      </c>
      <c r="T333" s="27">
        <v>2.58</v>
      </c>
      <c r="U333" s="27">
        <v>2.48</v>
      </c>
      <c r="V333" s="27">
        <v>2.4900000000000002</v>
      </c>
      <c r="W333" s="27">
        <v>2.4900000000000002</v>
      </c>
      <c r="X333" s="27">
        <v>2.5</v>
      </c>
      <c r="Y333" s="27">
        <v>2.5</v>
      </c>
      <c r="Z333" s="27">
        <v>2.5099999999999998</v>
      </c>
      <c r="AA333" s="27">
        <v>2.79</v>
      </c>
    </row>
    <row r="334" spans="1:27"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 spans="1:27">
      <c r="A335" t="s">
        <v>469</v>
      </c>
      <c r="C335" s="27">
        <v>0</v>
      </c>
      <c r="D335" s="27">
        <v>0</v>
      </c>
      <c r="E335" s="27">
        <v>0</v>
      </c>
      <c r="F335" s="27">
        <v>0</v>
      </c>
      <c r="G335" s="27">
        <v>0</v>
      </c>
      <c r="H335" s="27">
        <v>0</v>
      </c>
      <c r="I335" s="27">
        <v>0</v>
      </c>
      <c r="J335" s="27">
        <v>0</v>
      </c>
      <c r="K335" s="27">
        <v>0.1</v>
      </c>
      <c r="L335" s="27">
        <v>0.1</v>
      </c>
      <c r="M335" s="27">
        <v>0.1</v>
      </c>
      <c r="N335" s="27">
        <v>0.1</v>
      </c>
      <c r="O335" s="27">
        <v>0.1</v>
      </c>
      <c r="P335" s="27">
        <v>0.1</v>
      </c>
      <c r="Q335" s="27">
        <v>0.1</v>
      </c>
      <c r="R335" s="27">
        <v>0.1</v>
      </c>
      <c r="S335" s="27">
        <v>0.1</v>
      </c>
      <c r="T335" s="27">
        <v>0.1</v>
      </c>
      <c r="U335" s="27">
        <v>0.1</v>
      </c>
      <c r="V335" s="27">
        <v>0.1</v>
      </c>
      <c r="W335" s="27">
        <v>0.1</v>
      </c>
      <c r="X335" s="27">
        <v>0.1</v>
      </c>
      <c r="Y335" s="27">
        <v>0.1</v>
      </c>
      <c r="Z335" s="27">
        <v>0.1</v>
      </c>
      <c r="AA335" s="27">
        <v>7.0000000000000007E-2</v>
      </c>
    </row>
    <row r="336" spans="1:27">
      <c r="A336" t="s">
        <v>470</v>
      </c>
      <c r="B336">
        <v>820705</v>
      </c>
      <c r="C336" s="27">
        <v>1</v>
      </c>
      <c r="D336" s="27">
        <v>1</v>
      </c>
      <c r="E336" s="27">
        <v>1</v>
      </c>
      <c r="F336" s="27">
        <v>1</v>
      </c>
      <c r="G336" s="27">
        <v>1</v>
      </c>
      <c r="H336" s="27">
        <v>1</v>
      </c>
      <c r="I336" s="27">
        <v>1</v>
      </c>
      <c r="J336" s="27">
        <v>1</v>
      </c>
      <c r="K336" s="27">
        <v>1.25</v>
      </c>
      <c r="L336" s="27">
        <v>1.21</v>
      </c>
      <c r="M336" s="27">
        <v>1.17</v>
      </c>
      <c r="N336" s="27">
        <v>1.1299999999999999</v>
      </c>
      <c r="O336" s="27">
        <v>1</v>
      </c>
      <c r="P336" s="27">
        <v>1</v>
      </c>
      <c r="Q336" s="27">
        <v>1</v>
      </c>
      <c r="R336" s="27">
        <v>1</v>
      </c>
      <c r="S336" s="27">
        <v>1</v>
      </c>
      <c r="T336" s="27">
        <v>1</v>
      </c>
      <c r="U336" s="27">
        <v>1</v>
      </c>
      <c r="V336" s="27">
        <v>1</v>
      </c>
      <c r="W336" s="27">
        <v>1</v>
      </c>
      <c r="X336" s="27">
        <v>1</v>
      </c>
      <c r="Y336" s="27">
        <v>1</v>
      </c>
      <c r="Z336" s="27">
        <v>1</v>
      </c>
      <c r="AA336" s="27">
        <v>1.03</v>
      </c>
    </row>
    <row r="337" spans="1:27">
      <c r="A337" t="s">
        <v>471</v>
      </c>
      <c r="C337" s="27">
        <v>1</v>
      </c>
      <c r="D337" s="27">
        <v>1</v>
      </c>
      <c r="E337" s="27">
        <v>1</v>
      </c>
      <c r="F337" s="27">
        <v>1</v>
      </c>
      <c r="G337" s="27">
        <v>1</v>
      </c>
      <c r="H337" s="27">
        <v>1</v>
      </c>
      <c r="I337" s="27">
        <v>1</v>
      </c>
      <c r="J337" s="27">
        <v>1</v>
      </c>
      <c r="K337" s="27">
        <v>1.5</v>
      </c>
      <c r="L337" s="27">
        <v>1.21</v>
      </c>
      <c r="M337" s="27">
        <v>1.17</v>
      </c>
      <c r="N337" s="27">
        <v>1.1299999999999999</v>
      </c>
      <c r="O337" s="27">
        <v>1.0900000000000001</v>
      </c>
      <c r="P337" s="27">
        <v>1.05</v>
      </c>
      <c r="Q337" s="27">
        <v>1.01</v>
      </c>
      <c r="R337" s="27">
        <v>1</v>
      </c>
      <c r="S337" s="27">
        <v>1</v>
      </c>
      <c r="T337" s="27">
        <v>1</v>
      </c>
      <c r="U337" s="27">
        <v>1</v>
      </c>
      <c r="V337" s="27">
        <v>1</v>
      </c>
      <c r="W337" s="27">
        <v>1</v>
      </c>
      <c r="X337" s="27">
        <v>1</v>
      </c>
      <c r="Y337" s="27">
        <v>1</v>
      </c>
      <c r="Z337" s="27">
        <v>1</v>
      </c>
      <c r="AA337" s="27">
        <v>1.05</v>
      </c>
    </row>
    <row r="338" spans="1:27">
      <c r="A338" t="s">
        <v>472</v>
      </c>
      <c r="C338" s="27">
        <v>1.49</v>
      </c>
      <c r="D338" s="27">
        <v>1.49</v>
      </c>
      <c r="E338" s="27">
        <v>1.49</v>
      </c>
      <c r="F338" s="27">
        <v>1.49</v>
      </c>
      <c r="G338" s="27">
        <v>1.49</v>
      </c>
      <c r="H338" s="27">
        <v>1.49</v>
      </c>
      <c r="I338" s="27">
        <v>1.49</v>
      </c>
      <c r="J338" s="27">
        <v>1.49</v>
      </c>
      <c r="K338" s="27">
        <v>1.75</v>
      </c>
      <c r="L338" s="27">
        <v>1.47</v>
      </c>
      <c r="M338" s="27">
        <v>1.45</v>
      </c>
      <c r="N338" s="27">
        <v>1.43</v>
      </c>
      <c r="O338" s="27">
        <v>1.5</v>
      </c>
      <c r="P338" s="27">
        <v>1.5</v>
      </c>
      <c r="Q338" s="27">
        <v>1.5</v>
      </c>
      <c r="R338" s="27">
        <v>1.4</v>
      </c>
      <c r="S338" s="27">
        <v>1.4</v>
      </c>
      <c r="T338" s="27">
        <v>1.4</v>
      </c>
      <c r="U338" s="27">
        <v>1.35</v>
      </c>
      <c r="V338" s="27">
        <v>1.35</v>
      </c>
      <c r="W338" s="27">
        <v>1.35</v>
      </c>
      <c r="X338" s="27">
        <v>1.3</v>
      </c>
      <c r="Y338" s="27">
        <v>1.3</v>
      </c>
      <c r="Z338" s="27">
        <v>1.3</v>
      </c>
      <c r="AA338" s="27">
        <v>1.44</v>
      </c>
    </row>
    <row r="339" spans="1:27">
      <c r="A339" t="s">
        <v>473</v>
      </c>
      <c r="C339" s="27">
        <v>2.4700000000000002</v>
      </c>
      <c r="D339" s="27">
        <v>2.4700000000000002</v>
      </c>
      <c r="E339" s="27">
        <v>2.4700000000000002</v>
      </c>
      <c r="F339" s="27">
        <v>2.4700000000000002</v>
      </c>
      <c r="G339" s="27">
        <v>2.4700000000000002</v>
      </c>
      <c r="H339" s="27">
        <v>2.4700000000000002</v>
      </c>
      <c r="I339" s="27">
        <v>2.4700000000000002</v>
      </c>
      <c r="J339" s="27">
        <v>2.4700000000000002</v>
      </c>
      <c r="K339" s="27">
        <v>2.5</v>
      </c>
      <c r="L339" s="27">
        <v>2.4</v>
      </c>
      <c r="M339" s="27">
        <v>2.33</v>
      </c>
      <c r="N339" s="27">
        <v>2.2599999999999998</v>
      </c>
      <c r="O339" s="27">
        <v>2.25</v>
      </c>
      <c r="P339" s="27">
        <v>2.2000000000000002</v>
      </c>
      <c r="Q339" s="27">
        <v>2.15</v>
      </c>
      <c r="R339" s="27">
        <v>2.1</v>
      </c>
      <c r="S339" s="27">
        <v>2.0499999999999998</v>
      </c>
      <c r="T339" s="27">
        <v>2</v>
      </c>
      <c r="U339" s="27">
        <v>1.95</v>
      </c>
      <c r="V339" s="27">
        <v>1.9</v>
      </c>
      <c r="W339" s="27">
        <v>1.85</v>
      </c>
      <c r="X339" s="27">
        <v>1.8</v>
      </c>
      <c r="Y339" s="27">
        <v>1.8</v>
      </c>
      <c r="Z339" s="27">
        <v>1.8</v>
      </c>
      <c r="AA339" s="27">
        <v>2.21</v>
      </c>
    </row>
    <row r="340" spans="1:27">
      <c r="A340" t="s">
        <v>474</v>
      </c>
      <c r="C340" s="27">
        <v>2.71</v>
      </c>
      <c r="D340" s="27">
        <v>2.71</v>
      </c>
      <c r="E340" s="27">
        <v>2.71</v>
      </c>
      <c r="F340" s="27">
        <v>2.71</v>
      </c>
      <c r="G340" s="27">
        <v>2.71</v>
      </c>
      <c r="H340" s="27">
        <v>2.71</v>
      </c>
      <c r="I340" s="27">
        <v>2.71</v>
      </c>
      <c r="J340" s="27">
        <v>2.71</v>
      </c>
      <c r="K340" s="27">
        <v>2.75</v>
      </c>
      <c r="L340" s="27">
        <v>2.64</v>
      </c>
      <c r="M340" s="27">
        <v>2.57</v>
      </c>
      <c r="N340" s="27">
        <v>2.5</v>
      </c>
      <c r="O340" s="27">
        <v>2.4</v>
      </c>
      <c r="P340" s="27">
        <v>2.35</v>
      </c>
      <c r="Q340" s="27">
        <v>2.2999999999999998</v>
      </c>
      <c r="R340" s="27">
        <v>2.25</v>
      </c>
      <c r="S340" s="27">
        <v>2.2000000000000002</v>
      </c>
      <c r="T340" s="27">
        <v>2.15</v>
      </c>
      <c r="U340" s="27">
        <v>2.1</v>
      </c>
      <c r="V340" s="27">
        <v>2.0499999999999998</v>
      </c>
      <c r="W340" s="27">
        <v>2</v>
      </c>
      <c r="X340" s="27">
        <v>1.95</v>
      </c>
      <c r="Y340" s="27">
        <v>1.95</v>
      </c>
      <c r="Z340" s="27">
        <v>1.95</v>
      </c>
      <c r="AA340" s="27">
        <v>2.41</v>
      </c>
    </row>
    <row r="341" spans="1:27">
      <c r="A341" t="s">
        <v>475</v>
      </c>
      <c r="C341" s="27">
        <v>2.96</v>
      </c>
      <c r="D341" s="27">
        <v>2.96</v>
      </c>
      <c r="E341" s="27">
        <v>2.96</v>
      </c>
      <c r="F341" s="27">
        <v>2.96</v>
      </c>
      <c r="G341" s="27">
        <v>2.96</v>
      </c>
      <c r="H341" s="27">
        <v>2.96</v>
      </c>
      <c r="I341" s="27">
        <v>2.96</v>
      </c>
      <c r="J341" s="27">
        <v>2.96</v>
      </c>
      <c r="K341" s="27">
        <v>3</v>
      </c>
      <c r="L341" s="27">
        <v>2.77</v>
      </c>
      <c r="M341" s="27">
        <v>2.57</v>
      </c>
      <c r="N341" s="27">
        <v>2.38</v>
      </c>
      <c r="O341" s="27">
        <v>2.35</v>
      </c>
      <c r="P341" s="27">
        <v>2.2999999999999998</v>
      </c>
      <c r="Q341" s="27">
        <v>2.25</v>
      </c>
      <c r="R341" s="27">
        <v>2.2000000000000002</v>
      </c>
      <c r="S341" s="27">
        <v>2.15</v>
      </c>
      <c r="T341" s="27">
        <v>2.1</v>
      </c>
      <c r="U341" s="27">
        <v>2.0499999999999998</v>
      </c>
      <c r="V341" s="27">
        <v>2</v>
      </c>
      <c r="W341" s="27">
        <v>2</v>
      </c>
      <c r="X341" s="27">
        <v>2</v>
      </c>
      <c r="Y341" s="27">
        <v>2</v>
      </c>
      <c r="Z341" s="27">
        <v>2</v>
      </c>
      <c r="AA341" s="27">
        <v>2.4900000000000002</v>
      </c>
    </row>
    <row r="342" spans="1:27">
      <c r="A342" t="s">
        <v>476</v>
      </c>
      <c r="C342">
        <v>3.44</v>
      </c>
      <c r="D342">
        <v>3.44</v>
      </c>
      <c r="E342">
        <v>3.44</v>
      </c>
      <c r="F342">
        <v>3.44</v>
      </c>
      <c r="G342">
        <v>3.44</v>
      </c>
      <c r="H342">
        <v>3.44</v>
      </c>
      <c r="I342">
        <v>3.44</v>
      </c>
      <c r="J342">
        <v>3.44</v>
      </c>
      <c r="K342">
        <v>3.44</v>
      </c>
      <c r="L342">
        <v>3.25</v>
      </c>
      <c r="M342">
        <v>3.05</v>
      </c>
      <c r="N342">
        <v>2.86</v>
      </c>
      <c r="O342">
        <v>2.66</v>
      </c>
      <c r="P342">
        <v>2.4700000000000002</v>
      </c>
      <c r="Q342">
        <v>2.27</v>
      </c>
      <c r="R342">
        <v>2.08</v>
      </c>
      <c r="S342">
        <v>1.89</v>
      </c>
      <c r="T342">
        <v>1.69</v>
      </c>
      <c r="U342">
        <v>1.5</v>
      </c>
      <c r="V342">
        <v>1.3</v>
      </c>
      <c r="W342">
        <v>1.1100000000000001</v>
      </c>
      <c r="X342">
        <v>0.91</v>
      </c>
      <c r="Y342">
        <v>0.72</v>
      </c>
      <c r="Z342">
        <v>0.53</v>
      </c>
      <c r="AA342">
        <v>2.4700000000000002</v>
      </c>
    </row>
    <row r="343" spans="1:27">
      <c r="A343" t="s">
        <v>12</v>
      </c>
      <c r="B343" t="s">
        <v>12</v>
      </c>
    </row>
    <row r="344" spans="1:27">
      <c r="A344" t="s">
        <v>477</v>
      </c>
      <c r="C344">
        <v>1.92</v>
      </c>
      <c r="D344">
        <v>1.92</v>
      </c>
      <c r="E344">
        <v>1.91</v>
      </c>
      <c r="F344">
        <v>1.91</v>
      </c>
      <c r="G344">
        <v>1.91</v>
      </c>
      <c r="H344">
        <v>1.91</v>
      </c>
      <c r="I344">
        <v>1.9</v>
      </c>
      <c r="J344">
        <v>1.89</v>
      </c>
      <c r="K344">
        <v>2.09</v>
      </c>
      <c r="L344">
        <v>1.9</v>
      </c>
      <c r="M344">
        <v>1.85</v>
      </c>
      <c r="N344">
        <v>1.79</v>
      </c>
      <c r="O344">
        <v>1.77</v>
      </c>
      <c r="P344">
        <v>1.73</v>
      </c>
      <c r="Q344">
        <v>1.69</v>
      </c>
      <c r="R344">
        <v>1.65</v>
      </c>
      <c r="S344">
        <v>1.62</v>
      </c>
      <c r="T344">
        <v>1.59</v>
      </c>
      <c r="U344">
        <v>1.56</v>
      </c>
      <c r="V344">
        <v>1.53</v>
      </c>
      <c r="W344">
        <v>1.51</v>
      </c>
      <c r="X344">
        <v>1.47</v>
      </c>
      <c r="Y344">
        <v>1.47</v>
      </c>
      <c r="Z344">
        <v>1.47</v>
      </c>
      <c r="AA344">
        <v>1.75</v>
      </c>
    </row>
    <row r="346" spans="1:27">
      <c r="A346" t="s">
        <v>1068</v>
      </c>
      <c r="B346">
        <v>820706</v>
      </c>
      <c r="C346">
        <v>0.1</v>
      </c>
      <c r="D346">
        <v>0.1</v>
      </c>
      <c r="E346">
        <v>0.1</v>
      </c>
      <c r="F346">
        <v>0.1</v>
      </c>
      <c r="G346">
        <v>0.1</v>
      </c>
      <c r="H346">
        <v>0.1</v>
      </c>
      <c r="I346">
        <v>0.1</v>
      </c>
      <c r="J346">
        <v>0.1</v>
      </c>
      <c r="K346">
        <v>4</v>
      </c>
      <c r="L346">
        <v>3.86</v>
      </c>
      <c r="M346">
        <v>3.7</v>
      </c>
      <c r="N346">
        <v>3.7</v>
      </c>
      <c r="O346">
        <v>3.46</v>
      </c>
      <c r="P346">
        <v>3.27</v>
      </c>
      <c r="Q346">
        <v>3.27</v>
      </c>
      <c r="R346">
        <v>3.27</v>
      </c>
      <c r="S346">
        <v>3.27</v>
      </c>
      <c r="T346">
        <v>3.04</v>
      </c>
      <c r="U346">
        <v>3.04</v>
      </c>
      <c r="V346">
        <v>3.04</v>
      </c>
      <c r="W346">
        <v>2.79</v>
      </c>
      <c r="X346">
        <v>2.79</v>
      </c>
      <c r="Y346">
        <v>2.79</v>
      </c>
      <c r="Z346">
        <v>2.79</v>
      </c>
      <c r="AA346">
        <v>2.2000000000000002</v>
      </c>
    </row>
    <row r="348" spans="1:27">
      <c r="A348" t="s">
        <v>1069</v>
      </c>
      <c r="B348">
        <v>820711</v>
      </c>
      <c r="C348">
        <v>1.24</v>
      </c>
      <c r="D348">
        <v>1.24</v>
      </c>
      <c r="E348">
        <v>1.24</v>
      </c>
      <c r="F348">
        <v>1.24</v>
      </c>
      <c r="G348">
        <v>1.24</v>
      </c>
      <c r="H348">
        <v>1.24</v>
      </c>
      <c r="I348">
        <v>1.24</v>
      </c>
      <c r="J348">
        <v>1.24</v>
      </c>
      <c r="K348">
        <v>1.24</v>
      </c>
      <c r="L348">
        <v>1.08</v>
      </c>
      <c r="M348">
        <v>0.91</v>
      </c>
      <c r="N348">
        <v>0.75</v>
      </c>
      <c r="O348">
        <v>0.57999999999999996</v>
      </c>
      <c r="P348">
        <v>0.42</v>
      </c>
      <c r="Q348">
        <v>0.25</v>
      </c>
      <c r="R348">
        <v>0.09</v>
      </c>
      <c r="S348">
        <v>0.09</v>
      </c>
      <c r="T348">
        <v>0.09</v>
      </c>
      <c r="U348">
        <v>0.09</v>
      </c>
      <c r="V348">
        <v>0.09</v>
      </c>
      <c r="W348">
        <v>0.09</v>
      </c>
      <c r="X348">
        <v>0.09</v>
      </c>
      <c r="Y348">
        <v>0.09</v>
      </c>
      <c r="Z348">
        <v>0.09</v>
      </c>
      <c r="AA348">
        <v>0.67</v>
      </c>
    </row>
    <row r="349" spans="1:27">
      <c r="A349" t="s">
        <v>1070</v>
      </c>
      <c r="C349">
        <v>1.98</v>
      </c>
      <c r="D349">
        <v>1.98</v>
      </c>
      <c r="E349">
        <v>1.98</v>
      </c>
      <c r="F349">
        <v>1.98</v>
      </c>
      <c r="G349">
        <v>1.98</v>
      </c>
      <c r="H349">
        <v>1.98</v>
      </c>
      <c r="I349">
        <v>1.98</v>
      </c>
      <c r="J349">
        <v>1.98</v>
      </c>
      <c r="K349">
        <v>1.98</v>
      </c>
      <c r="L349">
        <v>1.82</v>
      </c>
      <c r="M349">
        <v>1.65</v>
      </c>
      <c r="N349">
        <v>1.49</v>
      </c>
      <c r="O349">
        <v>1.32</v>
      </c>
      <c r="P349">
        <v>1.1599999999999999</v>
      </c>
      <c r="Q349">
        <v>0.99</v>
      </c>
      <c r="R349">
        <v>0.83</v>
      </c>
      <c r="S349">
        <v>0.67</v>
      </c>
      <c r="T349">
        <v>0.5</v>
      </c>
      <c r="U349">
        <v>0.34</v>
      </c>
      <c r="V349">
        <v>0.17</v>
      </c>
      <c r="W349">
        <v>0.01</v>
      </c>
      <c r="X349">
        <v>0.01</v>
      </c>
      <c r="Y349">
        <v>0.01</v>
      </c>
      <c r="Z349">
        <v>0.01</v>
      </c>
      <c r="AA349">
        <v>1.2</v>
      </c>
    </row>
    <row r="350" spans="1:27">
      <c r="A350" t="s">
        <v>1071</v>
      </c>
      <c r="C350">
        <v>2.4700000000000002</v>
      </c>
      <c r="D350">
        <v>2.4700000000000002</v>
      </c>
      <c r="E350">
        <v>2.4700000000000002</v>
      </c>
      <c r="F350">
        <v>2.4700000000000002</v>
      </c>
      <c r="G350">
        <v>2.4700000000000002</v>
      </c>
      <c r="H350">
        <v>2.4700000000000002</v>
      </c>
      <c r="I350">
        <v>2.4700000000000002</v>
      </c>
      <c r="J350">
        <v>2.4700000000000002</v>
      </c>
      <c r="K350">
        <v>2.4700000000000002</v>
      </c>
      <c r="L350">
        <v>2.33</v>
      </c>
      <c r="M350">
        <v>2.1800000000000002</v>
      </c>
      <c r="N350">
        <v>2.04</v>
      </c>
      <c r="O350">
        <v>1.89</v>
      </c>
      <c r="P350">
        <v>1.75</v>
      </c>
      <c r="Q350">
        <v>1.6</v>
      </c>
      <c r="R350">
        <v>1.46</v>
      </c>
      <c r="S350">
        <v>1.32</v>
      </c>
      <c r="T350">
        <v>1.17</v>
      </c>
      <c r="U350">
        <v>1.03</v>
      </c>
      <c r="V350">
        <v>0.88</v>
      </c>
      <c r="W350">
        <v>0.74</v>
      </c>
      <c r="X350">
        <v>0.59</v>
      </c>
      <c r="Y350">
        <v>0.45</v>
      </c>
      <c r="Z350">
        <v>0.31</v>
      </c>
      <c r="AA350">
        <v>1.75</v>
      </c>
    </row>
    <row r="351" spans="1:27">
      <c r="A351" t="s">
        <v>1072</v>
      </c>
      <c r="C351">
        <v>3.44</v>
      </c>
      <c r="D351">
        <v>3.44</v>
      </c>
      <c r="E351">
        <v>3.44</v>
      </c>
      <c r="F351">
        <v>3.44</v>
      </c>
      <c r="G351">
        <v>3.44</v>
      </c>
      <c r="H351">
        <v>3.44</v>
      </c>
      <c r="I351">
        <v>3.44</v>
      </c>
      <c r="J351">
        <v>3.44</v>
      </c>
      <c r="K351">
        <v>3.44</v>
      </c>
      <c r="L351">
        <v>3.25</v>
      </c>
      <c r="M351">
        <v>3.05</v>
      </c>
      <c r="N351">
        <v>2.86</v>
      </c>
      <c r="O351">
        <v>2.66</v>
      </c>
      <c r="P351">
        <v>2.4700000000000002</v>
      </c>
      <c r="Q351">
        <v>2.27</v>
      </c>
      <c r="R351">
        <v>2.08</v>
      </c>
      <c r="S351">
        <v>1.89</v>
      </c>
      <c r="T351">
        <v>1.69</v>
      </c>
      <c r="U351">
        <v>1.5</v>
      </c>
      <c r="V351">
        <v>1.3</v>
      </c>
      <c r="W351">
        <v>1.1100000000000001</v>
      </c>
      <c r="X351">
        <v>0.91</v>
      </c>
      <c r="Y351">
        <v>0.72</v>
      </c>
      <c r="Z351">
        <v>0.53</v>
      </c>
      <c r="AA351">
        <v>2.4700000000000002</v>
      </c>
    </row>
    <row r="352" spans="1:27">
      <c r="A352" t="s">
        <v>1073</v>
      </c>
      <c r="C352">
        <v>3.68</v>
      </c>
      <c r="D352">
        <v>3.68</v>
      </c>
      <c r="E352">
        <v>3.68</v>
      </c>
      <c r="F352">
        <v>3.68</v>
      </c>
      <c r="G352">
        <v>3.68</v>
      </c>
      <c r="H352">
        <v>3.68</v>
      </c>
      <c r="I352">
        <v>3.68</v>
      </c>
      <c r="J352">
        <v>3.68</v>
      </c>
      <c r="K352">
        <v>3.68</v>
      </c>
      <c r="L352">
        <v>3.49</v>
      </c>
      <c r="M352">
        <v>3.29</v>
      </c>
      <c r="N352">
        <v>3.1</v>
      </c>
      <c r="O352">
        <v>2.9</v>
      </c>
      <c r="P352">
        <v>2.71</v>
      </c>
      <c r="Q352">
        <v>2.5099999999999998</v>
      </c>
      <c r="R352">
        <v>2.3199999999999998</v>
      </c>
      <c r="S352">
        <v>2.13</v>
      </c>
      <c r="T352">
        <v>1.93</v>
      </c>
      <c r="U352">
        <v>1.74</v>
      </c>
      <c r="V352">
        <v>1.54</v>
      </c>
      <c r="W352">
        <v>1.35</v>
      </c>
      <c r="X352">
        <v>1.1499999999999999</v>
      </c>
      <c r="Y352">
        <v>0.96</v>
      </c>
      <c r="Z352">
        <v>0.77</v>
      </c>
      <c r="AA352">
        <v>2.71</v>
      </c>
    </row>
    <row r="353" spans="1:27">
      <c r="A353" t="s">
        <v>1074</v>
      </c>
      <c r="C353">
        <v>3.68</v>
      </c>
      <c r="D353">
        <v>3.68</v>
      </c>
      <c r="E353">
        <v>3.68</v>
      </c>
      <c r="F353">
        <v>3.68</v>
      </c>
      <c r="G353">
        <v>3.68</v>
      </c>
      <c r="H353">
        <v>3.68</v>
      </c>
      <c r="I353">
        <v>3.68</v>
      </c>
      <c r="J353">
        <v>3.68</v>
      </c>
      <c r="K353">
        <v>3.68</v>
      </c>
      <c r="L353">
        <v>3.49</v>
      </c>
      <c r="M353">
        <v>3.29</v>
      </c>
      <c r="N353">
        <v>3.1</v>
      </c>
      <c r="O353">
        <v>2.9</v>
      </c>
      <c r="P353">
        <v>2.71</v>
      </c>
      <c r="Q353">
        <v>2.5099999999999998</v>
      </c>
      <c r="R353">
        <v>2.3199999999999998</v>
      </c>
      <c r="S353">
        <v>2.13</v>
      </c>
      <c r="T353">
        <v>1.93</v>
      </c>
      <c r="U353">
        <v>1.74</v>
      </c>
      <c r="V353">
        <v>1.54</v>
      </c>
      <c r="W353">
        <v>1.35</v>
      </c>
      <c r="X353">
        <v>1.1499999999999999</v>
      </c>
      <c r="Y353">
        <v>0.96</v>
      </c>
      <c r="Z353">
        <v>0.77</v>
      </c>
      <c r="AA353">
        <v>2.71</v>
      </c>
    </row>
    <row r="354" spans="1:27">
      <c r="A354" t="s">
        <v>1075</v>
      </c>
      <c r="C354">
        <v>3.92</v>
      </c>
      <c r="D354">
        <v>3.92</v>
      </c>
      <c r="E354">
        <v>3.92</v>
      </c>
      <c r="F354">
        <v>3.92</v>
      </c>
      <c r="G354">
        <v>3.92</v>
      </c>
      <c r="H354">
        <v>3.92</v>
      </c>
      <c r="I354">
        <v>3.92</v>
      </c>
      <c r="J354">
        <v>3.92</v>
      </c>
      <c r="K354">
        <v>3.92</v>
      </c>
      <c r="L354">
        <v>3.73</v>
      </c>
      <c r="M354">
        <v>3.53</v>
      </c>
      <c r="N354">
        <v>3.34</v>
      </c>
      <c r="O354">
        <v>3.14</v>
      </c>
      <c r="P354">
        <v>2.95</v>
      </c>
      <c r="Q354">
        <v>2.75</v>
      </c>
      <c r="R354">
        <v>2.56</v>
      </c>
      <c r="S354">
        <v>2.37</v>
      </c>
      <c r="T354">
        <v>2.17</v>
      </c>
      <c r="U354">
        <v>1.98</v>
      </c>
      <c r="V354">
        <v>1.78</v>
      </c>
      <c r="W354">
        <v>1.59</v>
      </c>
      <c r="X354">
        <v>1.39</v>
      </c>
      <c r="Y354">
        <v>1.2</v>
      </c>
      <c r="Z354">
        <v>1.01</v>
      </c>
      <c r="AA354">
        <v>2.95</v>
      </c>
    </row>
    <row r="355" spans="1:27">
      <c r="A355" t="s">
        <v>12</v>
      </c>
      <c r="B355" t="s">
        <v>12</v>
      </c>
    </row>
    <row r="356" spans="1:27">
      <c r="A356" t="s">
        <v>1076</v>
      </c>
      <c r="C356">
        <v>3.23</v>
      </c>
      <c r="D356">
        <v>3.21</v>
      </c>
      <c r="E356">
        <v>3.21</v>
      </c>
      <c r="F356">
        <v>3.2</v>
      </c>
      <c r="G356">
        <v>3.19</v>
      </c>
      <c r="H356">
        <v>3.19</v>
      </c>
      <c r="I356">
        <v>3.2</v>
      </c>
      <c r="J356">
        <v>3.21</v>
      </c>
      <c r="K356">
        <v>3.22</v>
      </c>
      <c r="L356">
        <v>3.04</v>
      </c>
      <c r="M356">
        <v>2.84</v>
      </c>
      <c r="N356">
        <v>2.66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1.56</v>
      </c>
    </row>
    <row r="358" spans="1:27">
      <c r="A358" t="s">
        <v>1077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0.1</v>
      </c>
      <c r="L358">
        <v>0.1</v>
      </c>
      <c r="M358">
        <v>0.1</v>
      </c>
      <c r="N358">
        <v>0.1</v>
      </c>
      <c r="O358">
        <v>0.1</v>
      </c>
      <c r="P358">
        <v>0.1</v>
      </c>
      <c r="Q358">
        <v>0.1</v>
      </c>
      <c r="R358">
        <v>0.1</v>
      </c>
      <c r="S358">
        <v>0.1</v>
      </c>
      <c r="T358">
        <v>0.1</v>
      </c>
      <c r="U358">
        <v>0.1</v>
      </c>
      <c r="V358">
        <v>0.1</v>
      </c>
      <c r="W358">
        <v>0.1</v>
      </c>
      <c r="X358">
        <v>0.1</v>
      </c>
      <c r="Y358">
        <v>0.1</v>
      </c>
      <c r="Z358">
        <v>0.1</v>
      </c>
      <c r="AA358">
        <v>7.0000000000000007E-2</v>
      </c>
    </row>
    <row r="359" spans="1:27">
      <c r="A359" t="s">
        <v>1078</v>
      </c>
      <c r="B359">
        <v>820710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0.96</v>
      </c>
      <c r="M359">
        <v>0.92</v>
      </c>
      <c r="N359">
        <v>0.88</v>
      </c>
      <c r="O359">
        <v>0.84</v>
      </c>
      <c r="P359">
        <v>0.8</v>
      </c>
      <c r="Q359">
        <v>0.76</v>
      </c>
      <c r="R359">
        <v>0.72</v>
      </c>
      <c r="S359">
        <v>0.68</v>
      </c>
      <c r="T359">
        <v>0.64</v>
      </c>
      <c r="U359">
        <v>0.6</v>
      </c>
      <c r="V359">
        <v>0.56000000000000005</v>
      </c>
      <c r="W359">
        <v>0.52</v>
      </c>
      <c r="X359">
        <v>0.48</v>
      </c>
      <c r="Y359">
        <v>0.44</v>
      </c>
      <c r="Z359">
        <v>0.4</v>
      </c>
      <c r="AA359">
        <v>0.8</v>
      </c>
    </row>
    <row r="360" spans="1:27">
      <c r="A360" t="s">
        <v>1079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0.96</v>
      </c>
      <c r="M360">
        <v>0.92</v>
      </c>
      <c r="N360">
        <v>0.88</v>
      </c>
      <c r="O360">
        <v>0.84</v>
      </c>
      <c r="P360">
        <v>0.8</v>
      </c>
      <c r="Q360">
        <v>0.76</v>
      </c>
      <c r="R360">
        <v>0.72</v>
      </c>
      <c r="S360">
        <v>0.68</v>
      </c>
      <c r="T360">
        <v>0.64</v>
      </c>
      <c r="U360">
        <v>0.6</v>
      </c>
      <c r="V360">
        <v>0.56000000000000005</v>
      </c>
      <c r="W360">
        <v>0.52</v>
      </c>
      <c r="X360">
        <v>0.48</v>
      </c>
      <c r="Y360">
        <v>0.44</v>
      </c>
      <c r="Z360">
        <v>0.4</v>
      </c>
      <c r="AA360">
        <v>0.8</v>
      </c>
    </row>
    <row r="361" spans="1:27">
      <c r="A361" t="s">
        <v>1080</v>
      </c>
      <c r="C361">
        <v>1.49</v>
      </c>
      <c r="D361">
        <v>1.49</v>
      </c>
      <c r="E361">
        <v>1.49</v>
      </c>
      <c r="F361">
        <v>1.49</v>
      </c>
      <c r="G361">
        <v>1.49</v>
      </c>
      <c r="H361">
        <v>1.49</v>
      </c>
      <c r="I361">
        <v>1.49</v>
      </c>
      <c r="J361">
        <v>1.49</v>
      </c>
      <c r="K361">
        <v>1.49</v>
      </c>
      <c r="L361">
        <v>1.47</v>
      </c>
      <c r="M361">
        <v>1.45</v>
      </c>
      <c r="N361">
        <v>1.43</v>
      </c>
      <c r="O361">
        <v>1.41</v>
      </c>
      <c r="P361">
        <v>1.39</v>
      </c>
      <c r="Q361">
        <v>1.37</v>
      </c>
      <c r="R361">
        <v>1.35</v>
      </c>
      <c r="S361">
        <v>1.33</v>
      </c>
      <c r="T361">
        <v>1.31</v>
      </c>
      <c r="U361">
        <v>1.29</v>
      </c>
      <c r="V361">
        <v>1.27</v>
      </c>
      <c r="W361">
        <v>1.25</v>
      </c>
      <c r="X361">
        <v>1.23</v>
      </c>
      <c r="Y361">
        <v>1.21</v>
      </c>
      <c r="Z361">
        <v>1.19</v>
      </c>
      <c r="AA361">
        <v>1.39</v>
      </c>
    </row>
    <row r="362" spans="1:27">
      <c r="A362" t="s">
        <v>1081</v>
      </c>
      <c r="C362">
        <v>2.4700000000000002</v>
      </c>
      <c r="D362">
        <v>2.4700000000000002</v>
      </c>
      <c r="E362">
        <v>2.4700000000000002</v>
      </c>
      <c r="F362">
        <v>2.4700000000000002</v>
      </c>
      <c r="G362">
        <v>2.4700000000000002</v>
      </c>
      <c r="H362">
        <v>2.4700000000000002</v>
      </c>
      <c r="I362">
        <v>2.4700000000000002</v>
      </c>
      <c r="J362">
        <v>2.4700000000000002</v>
      </c>
      <c r="K362">
        <v>2.4700000000000002</v>
      </c>
      <c r="L362">
        <v>2.4</v>
      </c>
      <c r="M362">
        <v>2.33</v>
      </c>
      <c r="N362">
        <v>2.2599999999999998</v>
      </c>
      <c r="O362">
        <v>2.19</v>
      </c>
      <c r="P362">
        <v>2.12</v>
      </c>
      <c r="Q362">
        <v>2.0499999999999998</v>
      </c>
      <c r="R362">
        <v>1.98</v>
      </c>
      <c r="S362">
        <v>1.91</v>
      </c>
      <c r="T362">
        <v>1.84</v>
      </c>
      <c r="U362">
        <v>1.77</v>
      </c>
      <c r="V362">
        <v>1.7</v>
      </c>
      <c r="W362">
        <v>1.63</v>
      </c>
      <c r="X362">
        <v>1.56</v>
      </c>
      <c r="Y362">
        <v>1.49</v>
      </c>
      <c r="Z362">
        <v>1.42</v>
      </c>
      <c r="AA362">
        <v>2.12</v>
      </c>
    </row>
    <row r="363" spans="1:27">
      <c r="A363" t="s">
        <v>1082</v>
      </c>
      <c r="C363">
        <v>2.71</v>
      </c>
      <c r="D363">
        <v>2.71</v>
      </c>
      <c r="E363">
        <v>2.71</v>
      </c>
      <c r="F363">
        <v>2.71</v>
      </c>
      <c r="G363">
        <v>2.71</v>
      </c>
      <c r="H363">
        <v>2.71</v>
      </c>
      <c r="I363">
        <v>2.71</v>
      </c>
      <c r="J363">
        <v>2.71</v>
      </c>
      <c r="K363">
        <v>2.71</v>
      </c>
      <c r="L363">
        <v>2.64</v>
      </c>
      <c r="M363">
        <v>2.57</v>
      </c>
      <c r="N363">
        <v>2.5</v>
      </c>
      <c r="O363">
        <v>2.4300000000000002</v>
      </c>
      <c r="P363">
        <v>2.36</v>
      </c>
      <c r="Q363">
        <v>2.29</v>
      </c>
      <c r="R363">
        <v>2.2200000000000002</v>
      </c>
      <c r="S363">
        <v>2.15</v>
      </c>
      <c r="T363">
        <v>2.08</v>
      </c>
      <c r="U363">
        <v>2.0099999999999998</v>
      </c>
      <c r="V363">
        <v>1.94</v>
      </c>
      <c r="W363">
        <v>1.87</v>
      </c>
      <c r="X363">
        <v>1.8</v>
      </c>
      <c r="Y363">
        <v>1.73</v>
      </c>
      <c r="Z363">
        <v>1.66</v>
      </c>
      <c r="AA363">
        <v>2.36</v>
      </c>
    </row>
    <row r="364" spans="1:27">
      <c r="A364" t="s">
        <v>1083</v>
      </c>
      <c r="C364">
        <v>2.96</v>
      </c>
      <c r="D364">
        <v>2.96</v>
      </c>
      <c r="E364">
        <v>2.96</v>
      </c>
      <c r="F364">
        <v>2.96</v>
      </c>
      <c r="G364">
        <v>2.96</v>
      </c>
      <c r="H364">
        <v>2.96</v>
      </c>
      <c r="I364">
        <v>2.96</v>
      </c>
      <c r="J364">
        <v>2.96</v>
      </c>
      <c r="K364">
        <v>2.96</v>
      </c>
      <c r="L364">
        <v>2.77</v>
      </c>
      <c r="M364">
        <v>2.57</v>
      </c>
      <c r="N364">
        <v>2.38</v>
      </c>
      <c r="O364">
        <v>2.1800000000000002</v>
      </c>
      <c r="P364">
        <v>1.99</v>
      </c>
      <c r="Q364">
        <v>1.79</v>
      </c>
      <c r="R364">
        <v>1.6</v>
      </c>
      <c r="S364">
        <v>1.41</v>
      </c>
      <c r="T364">
        <v>1.21</v>
      </c>
      <c r="U364">
        <v>1.02</v>
      </c>
      <c r="V364">
        <v>0.82</v>
      </c>
      <c r="W364">
        <v>0.63</v>
      </c>
      <c r="X364">
        <v>0.43</v>
      </c>
      <c r="Y364">
        <v>0.24</v>
      </c>
      <c r="Z364">
        <v>0.1</v>
      </c>
      <c r="AA364">
        <v>1.99</v>
      </c>
    </row>
    <row r="365" spans="1:27">
      <c r="A365" t="s">
        <v>1084</v>
      </c>
      <c r="C365">
        <v>3.44</v>
      </c>
      <c r="D365">
        <v>3.44</v>
      </c>
      <c r="E365">
        <v>3.44</v>
      </c>
      <c r="F365">
        <v>3.44</v>
      </c>
      <c r="G365">
        <v>3.44</v>
      </c>
      <c r="H365">
        <v>3.44</v>
      </c>
      <c r="I365">
        <v>3.44</v>
      </c>
      <c r="J365">
        <v>3.44</v>
      </c>
      <c r="K365">
        <v>3.44</v>
      </c>
      <c r="L365">
        <v>3.25</v>
      </c>
      <c r="M365">
        <v>3.05</v>
      </c>
      <c r="N365">
        <v>2.86</v>
      </c>
      <c r="O365">
        <v>2.66</v>
      </c>
      <c r="P365">
        <v>2.4700000000000002</v>
      </c>
      <c r="Q365">
        <v>2.27</v>
      </c>
      <c r="R365">
        <v>2.08</v>
      </c>
      <c r="S365">
        <v>1.89</v>
      </c>
      <c r="T365">
        <v>1.69</v>
      </c>
      <c r="U365">
        <v>1.5</v>
      </c>
      <c r="V365">
        <v>1.3</v>
      </c>
      <c r="W365">
        <v>1.1100000000000001</v>
      </c>
      <c r="X365">
        <v>0.91</v>
      </c>
      <c r="Y365">
        <v>0.72</v>
      </c>
      <c r="Z365">
        <v>0.53</v>
      </c>
      <c r="AA365">
        <v>2.4700000000000002</v>
      </c>
    </row>
    <row r="366" spans="1:27">
      <c r="A366" t="s">
        <v>12</v>
      </c>
      <c r="B366" t="s">
        <v>12</v>
      </c>
    </row>
    <row r="367" spans="1:27">
      <c r="A367" t="s">
        <v>1085</v>
      </c>
      <c r="C367">
        <v>2.06</v>
      </c>
      <c r="D367">
        <v>2.0699999999999998</v>
      </c>
      <c r="E367">
        <v>2.06</v>
      </c>
      <c r="F367">
        <v>2.0499999999999998</v>
      </c>
      <c r="G367">
        <v>2.0299999999999998</v>
      </c>
      <c r="H367">
        <v>2.0099999999999998</v>
      </c>
      <c r="I367">
        <v>1.99</v>
      </c>
      <c r="J367">
        <v>2</v>
      </c>
      <c r="K367">
        <v>2.0099999999999998</v>
      </c>
      <c r="L367">
        <v>1.95</v>
      </c>
      <c r="M367">
        <v>1.88</v>
      </c>
      <c r="N367">
        <v>1.82</v>
      </c>
      <c r="O367">
        <v>1.75</v>
      </c>
      <c r="P367">
        <v>1.69</v>
      </c>
      <c r="Q367">
        <v>1.63</v>
      </c>
      <c r="R367">
        <v>1.56</v>
      </c>
      <c r="S367">
        <v>1.5</v>
      </c>
      <c r="T367">
        <v>1.43</v>
      </c>
      <c r="U367">
        <v>1.37</v>
      </c>
      <c r="V367">
        <v>1.31</v>
      </c>
      <c r="W367">
        <v>1.24</v>
      </c>
      <c r="X367">
        <v>1.18</v>
      </c>
      <c r="Y367">
        <v>1.1200000000000001</v>
      </c>
      <c r="Z367">
        <v>1.06</v>
      </c>
      <c r="AA367">
        <v>1.7</v>
      </c>
    </row>
    <row r="369" spans="1:27">
      <c r="A369" t="s">
        <v>1086</v>
      </c>
      <c r="B369">
        <v>820709</v>
      </c>
      <c r="C369">
        <v>0.1</v>
      </c>
      <c r="D369">
        <v>0.1</v>
      </c>
      <c r="E369">
        <v>0.1</v>
      </c>
      <c r="F369">
        <v>0.1</v>
      </c>
      <c r="G369">
        <v>0.1</v>
      </c>
      <c r="H369">
        <v>0.1</v>
      </c>
      <c r="I369">
        <v>0.1</v>
      </c>
      <c r="J369">
        <v>0.1</v>
      </c>
      <c r="K369">
        <v>3.93</v>
      </c>
      <c r="L369">
        <v>3.86</v>
      </c>
      <c r="M369">
        <v>3.79</v>
      </c>
      <c r="N369">
        <v>3.72</v>
      </c>
      <c r="O369">
        <v>3.72</v>
      </c>
      <c r="P369">
        <v>3.72</v>
      </c>
      <c r="Q369">
        <v>3.51</v>
      </c>
      <c r="R369">
        <v>3.51</v>
      </c>
      <c r="S369">
        <v>3.51</v>
      </c>
      <c r="T369">
        <v>3.3</v>
      </c>
      <c r="U369">
        <v>3.3</v>
      </c>
      <c r="V369">
        <v>3.3</v>
      </c>
      <c r="W369">
        <v>3.09</v>
      </c>
      <c r="X369">
        <v>3.02</v>
      </c>
      <c r="Y369">
        <v>3.02</v>
      </c>
      <c r="Z369">
        <v>2.98</v>
      </c>
      <c r="AA369">
        <v>2.34</v>
      </c>
    </row>
    <row r="371" spans="1:27">
      <c r="A371" t="s">
        <v>1087</v>
      </c>
      <c r="B371">
        <v>820712</v>
      </c>
      <c r="C371">
        <v>1.98</v>
      </c>
      <c r="D371">
        <v>1.98</v>
      </c>
      <c r="E371">
        <v>1.98</v>
      </c>
      <c r="F371">
        <v>1.98</v>
      </c>
      <c r="G371">
        <v>1.98</v>
      </c>
      <c r="H371">
        <v>1.98</v>
      </c>
      <c r="I371">
        <v>1.98</v>
      </c>
      <c r="J371">
        <v>1.98</v>
      </c>
      <c r="K371">
        <v>1.98</v>
      </c>
      <c r="L371">
        <v>1.82</v>
      </c>
      <c r="M371">
        <v>1.65</v>
      </c>
      <c r="N371">
        <v>1.49</v>
      </c>
      <c r="O371">
        <v>1.32</v>
      </c>
      <c r="P371">
        <v>1.1599999999999999</v>
      </c>
      <c r="Q371">
        <v>0.99</v>
      </c>
      <c r="R371">
        <v>0.83</v>
      </c>
      <c r="S371">
        <v>0.67</v>
      </c>
      <c r="T371">
        <v>0.5</v>
      </c>
      <c r="U371">
        <v>0.34</v>
      </c>
      <c r="V371">
        <v>0.17</v>
      </c>
      <c r="W371">
        <v>0.01</v>
      </c>
      <c r="X371">
        <v>0.01</v>
      </c>
      <c r="Y371">
        <v>0.01</v>
      </c>
      <c r="Z371">
        <v>0.01</v>
      </c>
      <c r="AA371">
        <v>1.2</v>
      </c>
    </row>
    <row r="372" spans="1:27">
      <c r="A372" t="s">
        <v>1088</v>
      </c>
      <c r="C372">
        <v>2.4700000000000002</v>
      </c>
      <c r="D372">
        <v>2.4700000000000002</v>
      </c>
      <c r="E372">
        <v>2.4700000000000002</v>
      </c>
      <c r="F372">
        <v>2.4700000000000002</v>
      </c>
      <c r="G372">
        <v>2.4700000000000002</v>
      </c>
      <c r="H372">
        <v>2.4700000000000002</v>
      </c>
      <c r="I372">
        <v>2.4700000000000002</v>
      </c>
      <c r="J372">
        <v>2.4700000000000002</v>
      </c>
      <c r="K372">
        <v>2.4700000000000002</v>
      </c>
      <c r="L372">
        <v>2.31</v>
      </c>
      <c r="M372">
        <v>2.14</v>
      </c>
      <c r="N372">
        <v>1.98</v>
      </c>
      <c r="O372">
        <v>1.81</v>
      </c>
      <c r="P372">
        <v>1.65</v>
      </c>
      <c r="Q372">
        <v>1.48</v>
      </c>
      <c r="R372">
        <v>1.32</v>
      </c>
      <c r="S372">
        <v>1.1599999999999999</v>
      </c>
      <c r="T372">
        <v>0.99</v>
      </c>
      <c r="U372">
        <v>0.83</v>
      </c>
      <c r="V372">
        <v>0.66</v>
      </c>
      <c r="W372">
        <v>0.5</v>
      </c>
      <c r="X372">
        <v>0.33</v>
      </c>
      <c r="Y372">
        <v>0.17</v>
      </c>
      <c r="Z372">
        <v>0.01</v>
      </c>
      <c r="AA372">
        <v>1.65</v>
      </c>
    </row>
    <row r="373" spans="1:27">
      <c r="A373" t="s">
        <v>1089</v>
      </c>
      <c r="C373">
        <v>3.68</v>
      </c>
      <c r="D373">
        <v>3.68</v>
      </c>
      <c r="E373">
        <v>3.68</v>
      </c>
      <c r="F373">
        <v>3.68</v>
      </c>
      <c r="G373">
        <v>3.68</v>
      </c>
      <c r="H373">
        <v>3.68</v>
      </c>
      <c r="I373">
        <v>3.68</v>
      </c>
      <c r="J373">
        <v>3.68</v>
      </c>
      <c r="K373">
        <v>3.68</v>
      </c>
      <c r="L373">
        <v>3.54</v>
      </c>
      <c r="M373">
        <v>3.39</v>
      </c>
      <c r="N373">
        <v>3.25</v>
      </c>
      <c r="O373">
        <v>3.1</v>
      </c>
      <c r="P373">
        <v>2.96</v>
      </c>
      <c r="Q373">
        <v>2.81</v>
      </c>
      <c r="R373">
        <v>2.67</v>
      </c>
      <c r="S373">
        <v>2.5299999999999998</v>
      </c>
      <c r="T373">
        <v>2.38</v>
      </c>
      <c r="U373">
        <v>2.2400000000000002</v>
      </c>
      <c r="V373">
        <v>2.09</v>
      </c>
      <c r="W373">
        <v>1.95</v>
      </c>
      <c r="X373">
        <v>1.8</v>
      </c>
      <c r="Y373">
        <v>1.66</v>
      </c>
      <c r="Z373">
        <v>1.52</v>
      </c>
      <c r="AA373">
        <v>2.96</v>
      </c>
    </row>
    <row r="374" spans="1:27">
      <c r="A374" t="s">
        <v>1090</v>
      </c>
      <c r="C374">
        <v>3.68</v>
      </c>
      <c r="D374">
        <v>3.68</v>
      </c>
      <c r="E374">
        <v>3.68</v>
      </c>
      <c r="F374">
        <v>3.68</v>
      </c>
      <c r="G374">
        <v>3.68</v>
      </c>
      <c r="H374">
        <v>3.68</v>
      </c>
      <c r="I374">
        <v>3.68</v>
      </c>
      <c r="J374">
        <v>3.68</v>
      </c>
      <c r="K374">
        <v>3.68</v>
      </c>
      <c r="L374">
        <v>3.49</v>
      </c>
      <c r="M374">
        <v>3.29</v>
      </c>
      <c r="N374">
        <v>3.1</v>
      </c>
      <c r="O374">
        <v>2.9</v>
      </c>
      <c r="P374">
        <v>2.71</v>
      </c>
      <c r="Q374">
        <v>2.5099999999999998</v>
      </c>
      <c r="R374">
        <v>2.3199999999999998</v>
      </c>
      <c r="S374">
        <v>2.13</v>
      </c>
      <c r="T374">
        <v>1.93</v>
      </c>
      <c r="U374">
        <v>1.74</v>
      </c>
      <c r="V374">
        <v>1.54</v>
      </c>
      <c r="W374">
        <v>1.35</v>
      </c>
      <c r="X374">
        <v>1.1499999999999999</v>
      </c>
      <c r="Y374">
        <v>0.96</v>
      </c>
      <c r="Z374">
        <v>0.77</v>
      </c>
      <c r="AA374">
        <v>2.71</v>
      </c>
    </row>
    <row r="375" spans="1:27">
      <c r="A375" t="s">
        <v>1091</v>
      </c>
      <c r="C375">
        <v>3.68</v>
      </c>
      <c r="D375">
        <v>3.68</v>
      </c>
      <c r="E375">
        <v>3.68</v>
      </c>
      <c r="F375">
        <v>3.68</v>
      </c>
      <c r="G375">
        <v>3.68</v>
      </c>
      <c r="H375">
        <v>3.68</v>
      </c>
      <c r="I375">
        <v>3.68</v>
      </c>
      <c r="J375">
        <v>3.68</v>
      </c>
      <c r="K375">
        <v>3.68</v>
      </c>
      <c r="L375">
        <v>3.49</v>
      </c>
      <c r="M375">
        <v>3.29</v>
      </c>
      <c r="N375">
        <v>3.1</v>
      </c>
      <c r="O375">
        <v>2.9</v>
      </c>
      <c r="P375">
        <v>2.71</v>
      </c>
      <c r="Q375">
        <v>2.5099999999999998</v>
      </c>
      <c r="R375">
        <v>2.3199999999999998</v>
      </c>
      <c r="S375">
        <v>2.13</v>
      </c>
      <c r="T375">
        <v>1.93</v>
      </c>
      <c r="U375">
        <v>1.74</v>
      </c>
      <c r="V375">
        <v>1.54</v>
      </c>
      <c r="W375">
        <v>1.35</v>
      </c>
      <c r="X375">
        <v>1.1499999999999999</v>
      </c>
      <c r="Y375">
        <v>0.96</v>
      </c>
      <c r="Z375">
        <v>0.77</v>
      </c>
      <c r="AA375">
        <v>2.71</v>
      </c>
    </row>
    <row r="376" spans="1:27">
      <c r="A376" t="s">
        <v>1092</v>
      </c>
      <c r="C376">
        <v>3.37</v>
      </c>
      <c r="D376">
        <v>3.37</v>
      </c>
      <c r="E376">
        <v>3.37</v>
      </c>
      <c r="F376">
        <v>3.37</v>
      </c>
      <c r="G376">
        <v>3.37</v>
      </c>
      <c r="H376">
        <v>3.37</v>
      </c>
      <c r="I376">
        <v>3.37</v>
      </c>
      <c r="J376">
        <v>3.37</v>
      </c>
      <c r="K376">
        <v>3.37</v>
      </c>
      <c r="L376">
        <v>3.18</v>
      </c>
      <c r="M376">
        <v>2.98</v>
      </c>
      <c r="N376">
        <v>2.79</v>
      </c>
      <c r="O376">
        <v>2.59</v>
      </c>
      <c r="P376">
        <v>2.4</v>
      </c>
      <c r="Q376">
        <v>2.2000000000000002</v>
      </c>
      <c r="R376">
        <v>2.0099999999999998</v>
      </c>
      <c r="S376">
        <v>1.82</v>
      </c>
      <c r="T376">
        <v>1.62</v>
      </c>
      <c r="U376">
        <v>1.43</v>
      </c>
      <c r="V376">
        <v>1.23</v>
      </c>
      <c r="W376">
        <v>1.04</v>
      </c>
      <c r="X376">
        <v>0.84</v>
      </c>
      <c r="Y376">
        <v>0.65</v>
      </c>
      <c r="Z376">
        <v>0.46</v>
      </c>
      <c r="AA376">
        <v>2.4</v>
      </c>
    </row>
    <row r="377" spans="1:27">
      <c r="A377" t="s">
        <v>12</v>
      </c>
      <c r="B377" t="s">
        <v>12</v>
      </c>
    </row>
    <row r="378" spans="1:27">
      <c r="A378" t="s">
        <v>1093</v>
      </c>
      <c r="C378">
        <v>2.75</v>
      </c>
      <c r="D378">
        <v>2.76</v>
      </c>
      <c r="E378">
        <v>2.75</v>
      </c>
      <c r="F378">
        <v>2.76</v>
      </c>
      <c r="G378">
        <v>2.76</v>
      </c>
      <c r="H378">
        <v>2.78</v>
      </c>
      <c r="I378">
        <v>2.8</v>
      </c>
      <c r="J378">
        <v>2.8</v>
      </c>
      <c r="K378">
        <v>2.83</v>
      </c>
      <c r="L378">
        <v>2.68</v>
      </c>
      <c r="M378">
        <v>2.5299999999999998</v>
      </c>
      <c r="N378">
        <v>2.38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1.36</v>
      </c>
    </row>
    <row r="379" spans="1:27">
      <c r="A379" t="s">
        <v>12</v>
      </c>
      <c r="B379" t="s">
        <v>12</v>
      </c>
    </row>
    <row r="380" spans="1:27">
      <c r="A380" t="s">
        <v>1094</v>
      </c>
      <c r="C380">
        <v>2.46</v>
      </c>
      <c r="D380">
        <v>2.4700000000000002</v>
      </c>
      <c r="E380">
        <v>2.4700000000000002</v>
      </c>
      <c r="F380">
        <v>2.4900000000000002</v>
      </c>
      <c r="G380">
        <v>2.5099999999999998</v>
      </c>
      <c r="H380">
        <v>2.46</v>
      </c>
      <c r="I380">
        <v>2.34</v>
      </c>
      <c r="J380">
        <v>2.23</v>
      </c>
      <c r="K380">
        <v>2.83</v>
      </c>
      <c r="L380">
        <v>2.71</v>
      </c>
      <c r="M380">
        <v>2.67</v>
      </c>
      <c r="N380">
        <v>2.82</v>
      </c>
      <c r="O380">
        <v>2.86</v>
      </c>
      <c r="P380">
        <v>2.73</v>
      </c>
      <c r="Q380">
        <v>2.71</v>
      </c>
      <c r="R380">
        <v>2.69</v>
      </c>
      <c r="S380">
        <v>2.68</v>
      </c>
      <c r="T380">
        <v>2.52</v>
      </c>
      <c r="U380">
        <v>2.5099999999999998</v>
      </c>
      <c r="V380">
        <v>2.5</v>
      </c>
      <c r="W380">
        <v>2.33</v>
      </c>
      <c r="X380">
        <v>2.3199999999999998</v>
      </c>
      <c r="Y380">
        <v>2.3199999999999998</v>
      </c>
      <c r="Z380">
        <v>2.3199999999999998</v>
      </c>
      <c r="AA380">
        <v>2.54</v>
      </c>
    </row>
    <row r="382" spans="1:27">
      <c r="A382" t="s">
        <v>12</v>
      </c>
      <c r="B382" t="s">
        <v>12</v>
      </c>
    </row>
    <row r="383" spans="1:27">
      <c r="A383" t="s">
        <v>1095</v>
      </c>
      <c r="C383">
        <v>1.67</v>
      </c>
      <c r="D383">
        <v>1.76</v>
      </c>
      <c r="E383">
        <v>1.81</v>
      </c>
      <c r="F383">
        <v>1.81</v>
      </c>
      <c r="G383">
        <v>1.8</v>
      </c>
      <c r="H383">
        <v>1.77</v>
      </c>
      <c r="I383">
        <v>1.68</v>
      </c>
      <c r="J383">
        <v>1.54</v>
      </c>
      <c r="K383">
        <v>2.06</v>
      </c>
      <c r="L383">
        <v>2</v>
      </c>
      <c r="M383">
        <v>1.99</v>
      </c>
      <c r="N383">
        <v>2.0499999999999998</v>
      </c>
      <c r="O383">
        <v>2.02</v>
      </c>
      <c r="P383">
        <v>1.99</v>
      </c>
      <c r="Q383">
        <v>1.98</v>
      </c>
      <c r="R383">
        <v>1.99</v>
      </c>
      <c r="S383">
        <v>1.98</v>
      </c>
      <c r="T383">
        <v>1.94</v>
      </c>
      <c r="U383">
        <v>1.93</v>
      </c>
      <c r="V383">
        <v>1.93</v>
      </c>
      <c r="W383">
        <v>1.88</v>
      </c>
      <c r="X383">
        <v>1.88</v>
      </c>
      <c r="Y383">
        <v>1.89</v>
      </c>
      <c r="Z383">
        <v>1.89</v>
      </c>
      <c r="AA383">
        <v>1.89</v>
      </c>
    </row>
    <row r="385" spans="1:27">
      <c r="A385" t="s">
        <v>1096</v>
      </c>
      <c r="B385">
        <v>820715</v>
      </c>
      <c r="C385">
        <v>4.5</v>
      </c>
      <c r="D385">
        <v>4.5</v>
      </c>
      <c r="E385">
        <v>4.5</v>
      </c>
      <c r="F385">
        <v>4.5</v>
      </c>
      <c r="G385">
        <v>4.5</v>
      </c>
      <c r="H385">
        <v>4.5</v>
      </c>
      <c r="I385">
        <v>4.5</v>
      </c>
      <c r="J385">
        <v>4.5</v>
      </c>
      <c r="K385">
        <v>4.13</v>
      </c>
      <c r="L385">
        <v>3.88</v>
      </c>
      <c r="M385">
        <v>3.88</v>
      </c>
      <c r="N385">
        <v>3.63</v>
      </c>
      <c r="O385">
        <v>3.38</v>
      </c>
      <c r="P385">
        <v>3.38</v>
      </c>
      <c r="Q385">
        <v>3.38</v>
      </c>
      <c r="R385">
        <v>3.38</v>
      </c>
      <c r="S385">
        <v>3.38</v>
      </c>
      <c r="T385">
        <v>3.13</v>
      </c>
      <c r="U385">
        <v>3.13</v>
      </c>
      <c r="V385">
        <v>3.13</v>
      </c>
      <c r="W385">
        <v>2.88</v>
      </c>
      <c r="X385">
        <v>2.88</v>
      </c>
      <c r="Y385">
        <v>2.88</v>
      </c>
      <c r="Z385">
        <v>2.88</v>
      </c>
      <c r="AA385">
        <v>3.72</v>
      </c>
    </row>
    <row r="386" spans="1:27">
      <c r="A386" t="s">
        <v>1097</v>
      </c>
      <c r="B386">
        <v>820716</v>
      </c>
      <c r="C386">
        <v>5.5</v>
      </c>
      <c r="D386">
        <v>5.5</v>
      </c>
      <c r="E386">
        <v>5.5</v>
      </c>
      <c r="F386">
        <v>5.5</v>
      </c>
      <c r="G386">
        <v>5.5</v>
      </c>
      <c r="H386">
        <v>5.5</v>
      </c>
      <c r="I386">
        <v>5.5</v>
      </c>
      <c r="J386">
        <v>5.5</v>
      </c>
      <c r="K386">
        <v>4.13</v>
      </c>
      <c r="L386">
        <v>3.88</v>
      </c>
      <c r="M386">
        <v>3.88</v>
      </c>
      <c r="N386">
        <v>3.63</v>
      </c>
      <c r="O386">
        <v>3.38</v>
      </c>
      <c r="P386">
        <v>3.38</v>
      </c>
      <c r="Q386">
        <v>3.38</v>
      </c>
      <c r="R386">
        <v>3.38</v>
      </c>
      <c r="S386">
        <v>3.38</v>
      </c>
      <c r="T386">
        <v>3.13</v>
      </c>
      <c r="U386">
        <v>3.13</v>
      </c>
      <c r="V386">
        <v>3.13</v>
      </c>
      <c r="W386">
        <v>2.88</v>
      </c>
      <c r="X386">
        <v>2.88</v>
      </c>
      <c r="Y386">
        <v>2.88</v>
      </c>
      <c r="Z386">
        <v>2.88</v>
      </c>
      <c r="AA386">
        <v>4.0599999999999996</v>
      </c>
    </row>
    <row r="387" spans="1:27">
      <c r="A387" t="s">
        <v>1098</v>
      </c>
      <c r="B387">
        <v>820717</v>
      </c>
      <c r="C387">
        <v>5</v>
      </c>
      <c r="D387">
        <v>5</v>
      </c>
      <c r="E387">
        <v>5</v>
      </c>
      <c r="F387">
        <v>5</v>
      </c>
      <c r="G387">
        <v>5</v>
      </c>
      <c r="H387">
        <v>5</v>
      </c>
      <c r="I387">
        <v>5</v>
      </c>
      <c r="J387">
        <v>5</v>
      </c>
      <c r="K387">
        <v>72.75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4.7</v>
      </c>
    </row>
    <row r="388" spans="1:27">
      <c r="A388" t="s">
        <v>1099</v>
      </c>
      <c r="B388">
        <v>820725</v>
      </c>
      <c r="C388">
        <v>4.49</v>
      </c>
      <c r="D388">
        <v>4.49</v>
      </c>
      <c r="E388">
        <v>4.49</v>
      </c>
      <c r="F388">
        <v>4.49</v>
      </c>
      <c r="G388">
        <v>4.49</v>
      </c>
      <c r="H388">
        <v>4.49</v>
      </c>
      <c r="I388">
        <v>4.49</v>
      </c>
      <c r="J388">
        <v>4.49</v>
      </c>
      <c r="K388">
        <v>4.13</v>
      </c>
      <c r="L388">
        <v>3.63</v>
      </c>
      <c r="M388">
        <v>3.63</v>
      </c>
      <c r="N388">
        <v>3.63</v>
      </c>
      <c r="O388">
        <v>3.38</v>
      </c>
      <c r="P388">
        <v>3.38</v>
      </c>
      <c r="Q388">
        <v>3.38</v>
      </c>
      <c r="R388">
        <v>3.13</v>
      </c>
      <c r="S388">
        <v>3.13</v>
      </c>
      <c r="T388">
        <v>3.13</v>
      </c>
      <c r="U388">
        <v>3.13</v>
      </c>
      <c r="V388">
        <v>3.13</v>
      </c>
      <c r="W388">
        <v>3.13</v>
      </c>
      <c r="X388">
        <v>3</v>
      </c>
      <c r="Y388">
        <v>3</v>
      </c>
      <c r="Z388">
        <v>3</v>
      </c>
      <c r="AA388">
        <v>3.7</v>
      </c>
    </row>
    <row r="389" spans="1:27">
      <c r="A389" t="s">
        <v>608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40</v>
      </c>
      <c r="L389">
        <v>20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2.5</v>
      </c>
    </row>
    <row r="390" spans="1:27">
      <c r="A390" t="s">
        <v>12</v>
      </c>
      <c r="B390" t="s">
        <v>12</v>
      </c>
    </row>
    <row r="391" spans="1:27">
      <c r="A391" t="s">
        <v>520</v>
      </c>
      <c r="C391">
        <v>4.7</v>
      </c>
      <c r="D391">
        <v>4.49</v>
      </c>
      <c r="E391">
        <v>4.49</v>
      </c>
      <c r="F391">
        <v>4.49</v>
      </c>
      <c r="G391">
        <v>4.49</v>
      </c>
      <c r="H391">
        <v>4.49</v>
      </c>
      <c r="I391">
        <v>4.49</v>
      </c>
      <c r="J391">
        <v>4.49</v>
      </c>
      <c r="K391">
        <v>9.31</v>
      </c>
      <c r="L391">
        <v>7.76</v>
      </c>
      <c r="M391">
        <v>3.11</v>
      </c>
      <c r="N391">
        <v>3.63</v>
      </c>
      <c r="O391">
        <v>3.38</v>
      </c>
      <c r="P391">
        <v>3.38</v>
      </c>
      <c r="Q391">
        <v>3.38</v>
      </c>
      <c r="R391">
        <v>3.13</v>
      </c>
      <c r="S391">
        <v>3.13</v>
      </c>
      <c r="T391">
        <v>3.13</v>
      </c>
      <c r="U391">
        <v>3.13</v>
      </c>
      <c r="V391">
        <v>3.13</v>
      </c>
      <c r="W391">
        <v>3.13</v>
      </c>
      <c r="X391">
        <v>3</v>
      </c>
      <c r="Y391">
        <v>3</v>
      </c>
      <c r="Z391">
        <v>3</v>
      </c>
      <c r="AA391">
        <v>4.08</v>
      </c>
    </row>
    <row r="392" spans="1:27">
      <c r="A392" t="s">
        <v>12</v>
      </c>
      <c r="B392" t="s">
        <v>12</v>
      </c>
    </row>
    <row r="393" spans="1:27">
      <c r="A393" t="s">
        <v>1100</v>
      </c>
      <c r="C393">
        <v>1.81</v>
      </c>
      <c r="D393">
        <v>1.88</v>
      </c>
      <c r="E393">
        <v>1.93</v>
      </c>
      <c r="F393">
        <v>1.94</v>
      </c>
      <c r="G393">
        <v>1.94</v>
      </c>
      <c r="H393">
        <v>1.91</v>
      </c>
      <c r="I393">
        <v>1.8</v>
      </c>
      <c r="J393">
        <v>1.65</v>
      </c>
      <c r="K393">
        <v>2.31</v>
      </c>
      <c r="L393">
        <v>2.2200000000000002</v>
      </c>
      <c r="M393">
        <v>2</v>
      </c>
      <c r="N393">
        <v>2.09</v>
      </c>
      <c r="O393">
        <v>2.0499999999999998</v>
      </c>
      <c r="P393">
        <v>2.02</v>
      </c>
      <c r="Q393">
        <v>2.02</v>
      </c>
      <c r="R393">
        <v>2.0099999999999998</v>
      </c>
      <c r="S393">
        <v>2.0099999999999998</v>
      </c>
      <c r="T393">
        <v>1.96</v>
      </c>
      <c r="U393">
        <v>1.96</v>
      </c>
      <c r="V393">
        <v>1.96</v>
      </c>
      <c r="W393">
        <v>1.91</v>
      </c>
      <c r="X393">
        <v>1.91</v>
      </c>
      <c r="Y393">
        <v>1.91</v>
      </c>
      <c r="Z393">
        <v>1.92</v>
      </c>
      <c r="AA393">
        <v>1.96</v>
      </c>
    </row>
    <row r="395" spans="1:27">
      <c r="A395" t="s">
        <v>12</v>
      </c>
      <c r="B395" t="s">
        <v>12</v>
      </c>
    </row>
    <row r="396" spans="1:27">
      <c r="A396" t="s">
        <v>1101</v>
      </c>
      <c r="C396">
        <v>1.71</v>
      </c>
      <c r="D396">
        <v>1.78</v>
      </c>
      <c r="E396">
        <v>1.81</v>
      </c>
      <c r="F396">
        <v>1.82</v>
      </c>
      <c r="G396">
        <v>1.83</v>
      </c>
      <c r="H396">
        <v>1.79</v>
      </c>
      <c r="I396">
        <v>1.69</v>
      </c>
      <c r="J396">
        <v>1.55</v>
      </c>
      <c r="K396">
        <v>2.17</v>
      </c>
      <c r="L396">
        <v>2.08</v>
      </c>
      <c r="M396">
        <v>1.88</v>
      </c>
      <c r="N396">
        <v>1.95</v>
      </c>
      <c r="O396">
        <v>1.92</v>
      </c>
      <c r="P396">
        <v>1.89</v>
      </c>
      <c r="Q396">
        <v>1.89</v>
      </c>
      <c r="R396">
        <v>1.88</v>
      </c>
      <c r="S396">
        <v>1.87</v>
      </c>
      <c r="T396">
        <v>1.83</v>
      </c>
      <c r="U396">
        <v>1.82</v>
      </c>
      <c r="V396">
        <v>1.83</v>
      </c>
      <c r="W396">
        <v>1.78</v>
      </c>
      <c r="X396">
        <v>1.77</v>
      </c>
      <c r="Y396">
        <v>1.78</v>
      </c>
      <c r="Z396">
        <v>1.78</v>
      </c>
      <c r="AA396">
        <v>1.84</v>
      </c>
    </row>
    <row r="397" spans="1:27">
      <c r="A397" t="s">
        <v>1013</v>
      </c>
      <c r="B397" t="s">
        <v>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4427-1718-4E20-A58D-282E608D6D42}">
  <dimension ref="A1:AA453"/>
  <sheetViews>
    <sheetView workbookViewId="0">
      <pane xSplit="2" ySplit="2" topLeftCell="C3" activePane="bottomRight" state="frozen"/>
      <selection pane="bottomRight" activeCell="C3" sqref="C3"/>
      <selection pane="bottomLeft" activeCell="A3" sqref="A3"/>
      <selection pane="topRight" activeCell="C1" sqref="C1"/>
    </sheetView>
  </sheetViews>
  <sheetFormatPr defaultRowHeight="15"/>
  <cols>
    <col min="1" max="1" width="17.7109375" bestFit="1" customWidth="1"/>
    <col min="2" max="2" width="10.5703125" bestFit="1" customWidth="1"/>
    <col min="3" max="5" width="6.5703125" bestFit="1" customWidth="1"/>
    <col min="6" max="13" width="8.5703125" bestFit="1" customWidth="1"/>
    <col min="14" max="14" width="8.5703125" style="14" bestFit="1" customWidth="1"/>
    <col min="15" max="21" width="8.5703125" bestFit="1" customWidth="1"/>
    <col min="22" max="22" width="7.28515625" bestFit="1" customWidth="1"/>
    <col min="24" max="24" width="11" bestFit="1" customWidth="1"/>
  </cols>
  <sheetData>
    <row r="1" spans="1:27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1</v>
      </c>
      <c r="L1" t="s">
        <v>1</v>
      </c>
      <c r="M1" t="s">
        <v>1</v>
      </c>
      <c r="N1" s="14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</row>
    <row r="2" spans="1:27">
      <c r="B2" t="s">
        <v>2</v>
      </c>
      <c r="C2" s="2">
        <v>45682</v>
      </c>
      <c r="D2" s="2">
        <v>45713</v>
      </c>
      <c r="E2" s="2">
        <v>45741</v>
      </c>
      <c r="F2" s="2">
        <v>45772</v>
      </c>
      <c r="G2" s="2">
        <v>45802</v>
      </c>
      <c r="H2" s="2">
        <v>45833</v>
      </c>
      <c r="I2" s="2">
        <v>45863</v>
      </c>
      <c r="J2" s="2">
        <v>45894</v>
      </c>
      <c r="K2" s="2">
        <v>45925</v>
      </c>
      <c r="L2" s="2">
        <v>45955</v>
      </c>
      <c r="M2" s="2">
        <v>45986</v>
      </c>
      <c r="N2" s="43">
        <v>46016</v>
      </c>
      <c r="O2" s="2">
        <v>45683</v>
      </c>
      <c r="P2" s="2">
        <v>45714</v>
      </c>
      <c r="Q2" s="2">
        <v>45742</v>
      </c>
      <c r="R2" s="2">
        <v>45773</v>
      </c>
      <c r="S2" s="2">
        <v>45803</v>
      </c>
      <c r="T2" s="2">
        <v>45834</v>
      </c>
      <c r="U2" s="2">
        <v>45864</v>
      </c>
      <c r="V2" s="2">
        <v>45895</v>
      </c>
      <c r="W2" s="2">
        <v>45926</v>
      </c>
      <c r="X2" s="2">
        <v>45956</v>
      </c>
      <c r="Y2" s="2">
        <v>45987</v>
      </c>
      <c r="Z2" s="2">
        <v>46017</v>
      </c>
      <c r="AA2" t="s">
        <v>925</v>
      </c>
    </row>
    <row r="3" spans="1:27">
      <c r="A3" t="s">
        <v>926</v>
      </c>
      <c r="B3">
        <v>700130</v>
      </c>
      <c r="C3" s="27">
        <v>4.4000000000000004</v>
      </c>
      <c r="D3" s="27">
        <v>4.4000000000000004</v>
      </c>
      <c r="E3" s="27">
        <v>4.4000000000000004</v>
      </c>
      <c r="F3" s="27">
        <v>4.4000000000000004</v>
      </c>
      <c r="G3" s="27">
        <v>4.4000000000000004</v>
      </c>
      <c r="H3" s="27">
        <v>4.4000000000000004</v>
      </c>
      <c r="I3" s="27">
        <v>4.4000000000000004</v>
      </c>
      <c r="J3" s="27">
        <v>4.4000000000000004</v>
      </c>
      <c r="K3" s="27">
        <v>4.13</v>
      </c>
      <c r="L3" s="27">
        <v>4.13</v>
      </c>
      <c r="M3" s="27">
        <v>4.13</v>
      </c>
      <c r="N3" s="44">
        <v>3.88</v>
      </c>
      <c r="O3" s="27">
        <v>3.88</v>
      </c>
      <c r="P3" s="27">
        <v>3.88</v>
      </c>
      <c r="Q3" s="27">
        <v>3.63</v>
      </c>
      <c r="R3" s="27">
        <v>3.63</v>
      </c>
      <c r="S3" s="27">
        <v>3.63</v>
      </c>
      <c r="T3" s="27">
        <v>3.38</v>
      </c>
      <c r="U3" s="27">
        <v>3.38</v>
      </c>
      <c r="V3" s="27">
        <v>3.38</v>
      </c>
      <c r="W3">
        <v>3.13</v>
      </c>
      <c r="X3">
        <v>3.13</v>
      </c>
      <c r="Y3">
        <v>3.13</v>
      </c>
      <c r="Z3">
        <v>2.88</v>
      </c>
      <c r="AA3">
        <v>3.86</v>
      </c>
    </row>
    <row r="4" spans="1:27">
      <c r="A4" t="s">
        <v>927</v>
      </c>
      <c r="B4">
        <v>700135</v>
      </c>
      <c r="C4" s="27">
        <v>3.2</v>
      </c>
      <c r="D4" s="27">
        <v>3.16</v>
      </c>
      <c r="E4" s="27">
        <v>3.07</v>
      </c>
      <c r="F4" s="27">
        <v>3.07</v>
      </c>
      <c r="G4" s="27">
        <v>3.07</v>
      </c>
      <c r="H4" s="27">
        <v>3.07</v>
      </c>
      <c r="I4" s="27">
        <v>3.07</v>
      </c>
      <c r="J4" s="27">
        <v>3.07</v>
      </c>
      <c r="K4" s="27">
        <v>2.04</v>
      </c>
      <c r="L4" s="27">
        <v>2.04</v>
      </c>
      <c r="M4" s="27">
        <v>2.04</v>
      </c>
      <c r="N4" s="44">
        <v>1.7</v>
      </c>
      <c r="O4" s="27">
        <v>1.7</v>
      </c>
      <c r="P4" s="27">
        <v>1.7</v>
      </c>
      <c r="Q4" s="27">
        <v>1.45</v>
      </c>
      <c r="R4" s="27">
        <v>1.45</v>
      </c>
      <c r="S4" s="27">
        <v>1.45</v>
      </c>
      <c r="T4" s="27">
        <v>1.45</v>
      </c>
      <c r="U4" s="27">
        <v>1.45</v>
      </c>
      <c r="V4" s="27">
        <v>1.45</v>
      </c>
      <c r="W4">
        <v>1.2</v>
      </c>
      <c r="X4">
        <v>1.2</v>
      </c>
      <c r="Y4">
        <v>1.2</v>
      </c>
      <c r="Z4">
        <v>1.2</v>
      </c>
      <c r="AA4">
        <v>2.06</v>
      </c>
    </row>
    <row r="5" spans="1:27">
      <c r="A5" t="s">
        <v>928</v>
      </c>
      <c r="B5">
        <v>700140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0.01</v>
      </c>
      <c r="L5" s="27">
        <v>0.01</v>
      </c>
      <c r="M5" s="27">
        <v>0.01</v>
      </c>
      <c r="N5" s="44">
        <v>0.01</v>
      </c>
      <c r="O5" s="27">
        <v>0.01</v>
      </c>
      <c r="P5" s="27">
        <v>0.01</v>
      </c>
      <c r="Q5" s="27">
        <v>0.01</v>
      </c>
      <c r="R5" s="27">
        <v>0.01</v>
      </c>
      <c r="S5" s="27">
        <v>0.01</v>
      </c>
      <c r="T5" s="27">
        <v>0.01</v>
      </c>
      <c r="U5" s="27">
        <v>0.01</v>
      </c>
      <c r="V5" s="27">
        <v>0.01</v>
      </c>
      <c r="W5">
        <v>0.01</v>
      </c>
      <c r="X5">
        <v>0.01</v>
      </c>
      <c r="Y5">
        <v>0.01</v>
      </c>
      <c r="Z5">
        <v>0.01</v>
      </c>
      <c r="AA5">
        <v>0.01</v>
      </c>
    </row>
    <row r="6" spans="1:27">
      <c r="A6" t="s">
        <v>17</v>
      </c>
      <c r="B6">
        <v>730055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0.01</v>
      </c>
      <c r="L6" s="27">
        <v>0.01</v>
      </c>
      <c r="M6" s="27">
        <v>0.01</v>
      </c>
      <c r="N6" s="44">
        <v>0.01</v>
      </c>
      <c r="O6" s="27">
        <v>0.01</v>
      </c>
      <c r="P6" s="27">
        <v>0.01</v>
      </c>
      <c r="Q6" s="27">
        <v>0.01</v>
      </c>
      <c r="R6" s="27">
        <v>0.01</v>
      </c>
      <c r="S6" s="27">
        <v>0.01</v>
      </c>
      <c r="T6" s="27">
        <v>0.01</v>
      </c>
      <c r="U6" s="27">
        <v>0.01</v>
      </c>
      <c r="V6" s="27">
        <v>0.01</v>
      </c>
      <c r="W6">
        <v>0.01</v>
      </c>
      <c r="X6">
        <v>0.01</v>
      </c>
      <c r="Y6">
        <v>0.01</v>
      </c>
      <c r="Z6">
        <v>0.01</v>
      </c>
      <c r="AA6">
        <v>0.01</v>
      </c>
    </row>
    <row r="7" spans="1:27">
      <c r="A7" t="s">
        <v>18</v>
      </c>
      <c r="B7">
        <v>730060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0.01</v>
      </c>
      <c r="L7" s="27">
        <v>0.01</v>
      </c>
      <c r="M7" s="27">
        <v>0.01</v>
      </c>
      <c r="N7" s="44">
        <v>0.01</v>
      </c>
      <c r="O7" s="27">
        <v>0.01</v>
      </c>
      <c r="P7" s="27">
        <v>0.01</v>
      </c>
      <c r="Q7" s="27">
        <v>0.01</v>
      </c>
      <c r="R7" s="27">
        <v>0.01</v>
      </c>
      <c r="S7" s="27">
        <v>0.01</v>
      </c>
      <c r="T7" s="27">
        <v>0.01</v>
      </c>
      <c r="U7" s="27">
        <v>0.01</v>
      </c>
      <c r="V7" s="27">
        <v>0.01</v>
      </c>
      <c r="W7">
        <v>0.01</v>
      </c>
      <c r="X7">
        <v>0.01</v>
      </c>
      <c r="Y7">
        <v>0.01</v>
      </c>
      <c r="Z7">
        <v>0.01</v>
      </c>
      <c r="AA7">
        <v>0.01</v>
      </c>
    </row>
    <row r="8" spans="1:27">
      <c r="A8" t="s">
        <v>929</v>
      </c>
      <c r="B8">
        <v>730040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0.01</v>
      </c>
      <c r="L8" s="27">
        <v>0.01</v>
      </c>
      <c r="M8" s="27">
        <v>0.01</v>
      </c>
      <c r="N8" s="44">
        <v>0.01</v>
      </c>
      <c r="O8" s="27">
        <v>0.01</v>
      </c>
      <c r="P8" s="27">
        <v>0.01</v>
      </c>
      <c r="Q8" s="27">
        <v>0.01</v>
      </c>
      <c r="R8" s="27">
        <v>0.01</v>
      </c>
      <c r="S8" s="27">
        <v>0.01</v>
      </c>
      <c r="T8" s="27">
        <v>0.01</v>
      </c>
      <c r="U8" s="27">
        <v>0.01</v>
      </c>
      <c r="V8" s="27">
        <v>0.01</v>
      </c>
      <c r="W8">
        <v>0.01</v>
      </c>
      <c r="X8">
        <v>0.01</v>
      </c>
      <c r="Y8">
        <v>0.01</v>
      </c>
      <c r="Z8">
        <v>0.01</v>
      </c>
      <c r="AA8">
        <v>0.01</v>
      </c>
    </row>
    <row r="9" spans="1:27">
      <c r="A9" t="s">
        <v>930</v>
      </c>
      <c r="B9">
        <v>730045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0.01</v>
      </c>
      <c r="L9" s="27">
        <v>0.01</v>
      </c>
      <c r="M9" s="27">
        <v>0.01</v>
      </c>
      <c r="N9" s="44">
        <v>0.01</v>
      </c>
      <c r="O9" s="27">
        <v>0.01</v>
      </c>
      <c r="P9" s="27">
        <v>0.01</v>
      </c>
      <c r="Q9" s="27">
        <v>0.01</v>
      </c>
      <c r="R9" s="27">
        <v>0.01</v>
      </c>
      <c r="S9" s="27">
        <v>0.01</v>
      </c>
      <c r="T9" s="27">
        <v>0.01</v>
      </c>
      <c r="U9" s="27">
        <v>0.01</v>
      </c>
      <c r="V9" s="27">
        <v>0.01</v>
      </c>
      <c r="W9">
        <v>0.01</v>
      </c>
      <c r="X9">
        <v>0.01</v>
      </c>
      <c r="Y9">
        <v>0.01</v>
      </c>
      <c r="Z9">
        <v>0.01</v>
      </c>
      <c r="AA9">
        <v>0.01</v>
      </c>
    </row>
    <row r="10" spans="1:27">
      <c r="A10" t="s">
        <v>931</v>
      </c>
      <c r="B10">
        <v>700501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0.01</v>
      </c>
      <c r="L10" s="27">
        <v>0.01</v>
      </c>
      <c r="M10" s="27">
        <v>0.01</v>
      </c>
      <c r="N10" s="44">
        <v>0.01</v>
      </c>
      <c r="O10" s="27">
        <v>0.01</v>
      </c>
      <c r="P10" s="27">
        <v>0.01</v>
      </c>
      <c r="Q10" s="27">
        <v>0.01</v>
      </c>
      <c r="R10" s="27">
        <v>0.01</v>
      </c>
      <c r="S10" s="27">
        <v>0.01</v>
      </c>
      <c r="T10" s="27">
        <v>0.01</v>
      </c>
      <c r="U10" s="27">
        <v>0.01</v>
      </c>
      <c r="V10" s="27">
        <v>0.01</v>
      </c>
      <c r="W10">
        <v>0.01</v>
      </c>
      <c r="X10">
        <v>0.01</v>
      </c>
      <c r="Y10">
        <v>0.01</v>
      </c>
      <c r="Z10">
        <v>0.01</v>
      </c>
      <c r="AA10">
        <v>0.01</v>
      </c>
    </row>
    <row r="11" spans="1:27">
      <c r="A11" t="s">
        <v>12</v>
      </c>
      <c r="B11" t="s">
        <v>12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44"/>
      <c r="O11" s="27"/>
      <c r="P11" s="27"/>
      <c r="Q11" s="27"/>
      <c r="R11" s="27"/>
      <c r="S11" s="27"/>
      <c r="T11" s="27"/>
      <c r="U11" s="27"/>
      <c r="V11" s="27"/>
    </row>
    <row r="12" spans="1:27">
      <c r="A12" t="s">
        <v>12</v>
      </c>
      <c r="B12" t="s">
        <v>12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44"/>
      <c r="O12" s="27"/>
      <c r="P12" s="27"/>
      <c r="Q12" s="27"/>
      <c r="R12" s="27"/>
      <c r="S12" s="27"/>
      <c r="T12" s="27"/>
      <c r="U12" s="27"/>
      <c r="V12" s="27"/>
    </row>
    <row r="13" spans="1:27">
      <c r="A13" t="s">
        <v>22</v>
      </c>
      <c r="C13" s="27">
        <v>4.25</v>
      </c>
      <c r="D13" s="27">
        <v>4.26</v>
      </c>
      <c r="E13" s="27">
        <v>4.2</v>
      </c>
      <c r="F13" s="27">
        <v>4.13</v>
      </c>
      <c r="G13" s="27">
        <v>4.1500000000000004</v>
      </c>
      <c r="H13" s="27">
        <v>4.1500000000000004</v>
      </c>
      <c r="I13" s="27">
        <v>3.96</v>
      </c>
      <c r="J13" s="27">
        <v>4.09</v>
      </c>
      <c r="K13" s="27">
        <v>3.89</v>
      </c>
      <c r="L13" s="27">
        <v>3.9</v>
      </c>
      <c r="M13" s="27">
        <v>3.91</v>
      </c>
      <c r="N13" s="44">
        <v>3.67</v>
      </c>
      <c r="O13" s="27">
        <v>3.65</v>
      </c>
      <c r="P13" s="27">
        <v>3.65</v>
      </c>
      <c r="Q13" s="27">
        <v>3.39</v>
      </c>
      <c r="R13" s="27">
        <v>3.37</v>
      </c>
      <c r="S13" s="27">
        <v>3.35</v>
      </c>
      <c r="T13" s="27">
        <v>3.12</v>
      </c>
      <c r="U13" s="27">
        <v>3.11</v>
      </c>
      <c r="V13" s="27">
        <v>3.1</v>
      </c>
      <c r="W13">
        <v>2.85</v>
      </c>
      <c r="X13">
        <v>2.86</v>
      </c>
      <c r="Y13">
        <v>2.88</v>
      </c>
      <c r="Z13">
        <v>2.67</v>
      </c>
      <c r="AA13">
        <v>3.61</v>
      </c>
    </row>
    <row r="14" spans="1:27"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44"/>
      <c r="O14" s="27"/>
      <c r="P14" s="27"/>
      <c r="Q14" s="27"/>
      <c r="R14" s="27"/>
      <c r="S14" s="27"/>
      <c r="T14" s="27"/>
      <c r="U14" s="27"/>
      <c r="V14" s="27"/>
    </row>
    <row r="15" spans="1:27">
      <c r="A15" t="s">
        <v>932</v>
      </c>
      <c r="B15">
        <v>730005</v>
      </c>
      <c r="C15" s="27">
        <v>1.83</v>
      </c>
      <c r="D15" s="27">
        <v>1.83</v>
      </c>
      <c r="E15" s="27">
        <v>1.83</v>
      </c>
      <c r="F15" s="27">
        <v>1.83</v>
      </c>
      <c r="G15" s="27">
        <v>1.83</v>
      </c>
      <c r="H15" s="27">
        <v>1.83</v>
      </c>
      <c r="I15" s="27">
        <v>1.83</v>
      </c>
      <c r="J15" s="27">
        <v>1.83</v>
      </c>
      <c r="K15" s="27">
        <v>1.86</v>
      </c>
      <c r="L15" s="27">
        <v>1.86</v>
      </c>
      <c r="M15" s="27">
        <v>1.86</v>
      </c>
      <c r="N15" s="44">
        <v>1.86</v>
      </c>
      <c r="O15" s="27">
        <v>1.86</v>
      </c>
      <c r="P15" s="27">
        <v>1.86</v>
      </c>
      <c r="Q15" s="27">
        <v>1.86</v>
      </c>
      <c r="R15" s="27">
        <v>1.86</v>
      </c>
      <c r="S15" s="27">
        <v>1.86</v>
      </c>
      <c r="T15" s="27">
        <v>1.86</v>
      </c>
      <c r="U15" s="27">
        <v>1.86</v>
      </c>
      <c r="V15" s="27">
        <v>1.86</v>
      </c>
      <c r="W15">
        <v>1.86</v>
      </c>
      <c r="X15">
        <v>1.86</v>
      </c>
      <c r="Y15">
        <v>1.86</v>
      </c>
      <c r="Z15">
        <v>1.86</v>
      </c>
      <c r="AA15">
        <v>1.85</v>
      </c>
    </row>
    <row r="16" spans="1:27">
      <c r="A16" t="s">
        <v>12</v>
      </c>
      <c r="B16" t="s">
        <v>12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44"/>
      <c r="O16" s="27"/>
      <c r="P16" s="27"/>
      <c r="Q16" s="27"/>
      <c r="R16" s="27"/>
      <c r="S16" s="27"/>
      <c r="T16" s="27"/>
      <c r="U16" s="27"/>
      <c r="V16" s="27"/>
    </row>
    <row r="17" spans="1:27">
      <c r="A17" t="s">
        <v>933</v>
      </c>
      <c r="C17" s="27">
        <v>1.83</v>
      </c>
      <c r="D17" s="27">
        <v>1.83</v>
      </c>
      <c r="E17" s="27">
        <v>1.83</v>
      </c>
      <c r="F17" s="27">
        <v>1.83</v>
      </c>
      <c r="G17" s="27">
        <v>1.83</v>
      </c>
      <c r="H17" s="27">
        <v>1.83</v>
      </c>
      <c r="I17" s="27">
        <v>1.83</v>
      </c>
      <c r="J17" s="27">
        <v>1.83</v>
      </c>
      <c r="K17" s="27">
        <v>1.86</v>
      </c>
      <c r="L17" s="27">
        <v>1.86</v>
      </c>
      <c r="M17" s="27">
        <v>1.86</v>
      </c>
      <c r="N17" s="44">
        <v>1.86</v>
      </c>
      <c r="O17" s="27">
        <v>1.86</v>
      </c>
      <c r="P17" s="27">
        <v>1.86</v>
      </c>
      <c r="Q17" s="27">
        <v>1.86</v>
      </c>
      <c r="R17" s="27">
        <v>1.86</v>
      </c>
      <c r="S17" s="27">
        <v>1.86</v>
      </c>
      <c r="T17" s="27">
        <v>1.86</v>
      </c>
      <c r="U17" s="27">
        <v>1.86</v>
      </c>
      <c r="V17" s="27">
        <v>1.86</v>
      </c>
      <c r="W17">
        <v>1.86</v>
      </c>
      <c r="X17">
        <v>1.86</v>
      </c>
      <c r="Y17">
        <v>1.86</v>
      </c>
      <c r="Z17">
        <v>1.86</v>
      </c>
      <c r="AA17">
        <v>1.85</v>
      </c>
    </row>
    <row r="18" spans="1:27"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44"/>
      <c r="O18" s="27"/>
      <c r="P18" s="27"/>
      <c r="Q18" s="27"/>
      <c r="R18" s="27"/>
      <c r="S18" s="27"/>
      <c r="T18" s="27"/>
      <c r="U18" s="27"/>
      <c r="V18" s="27"/>
    </row>
    <row r="19" spans="1:27">
      <c r="A19" t="s">
        <v>37</v>
      </c>
      <c r="B19">
        <v>730029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4.1500000000000004</v>
      </c>
      <c r="L19" s="27">
        <v>4.08</v>
      </c>
      <c r="M19" s="27">
        <v>4.01</v>
      </c>
      <c r="N19" s="44">
        <v>3.94</v>
      </c>
      <c r="O19" s="27">
        <v>3.86</v>
      </c>
      <c r="P19" s="27">
        <v>3.79</v>
      </c>
      <c r="Q19" s="27">
        <v>3.72</v>
      </c>
      <c r="R19" s="27">
        <v>3.65</v>
      </c>
      <c r="S19" s="27">
        <v>3.58</v>
      </c>
      <c r="T19" s="27">
        <v>3.51</v>
      </c>
      <c r="U19" s="27">
        <v>3.44</v>
      </c>
      <c r="V19" s="27">
        <v>3.37</v>
      </c>
      <c r="W19">
        <v>3.29</v>
      </c>
      <c r="X19">
        <v>3.22</v>
      </c>
      <c r="Y19">
        <v>3.15</v>
      </c>
      <c r="Z19">
        <v>3.08</v>
      </c>
      <c r="AA19">
        <v>2.41</v>
      </c>
    </row>
    <row r="20" spans="1:27">
      <c r="A20" t="s">
        <v>934</v>
      </c>
      <c r="B20">
        <v>730026</v>
      </c>
      <c r="C20" s="27">
        <v>3.09</v>
      </c>
      <c r="D20" s="27">
        <v>3.09</v>
      </c>
      <c r="E20" s="27">
        <v>3.09</v>
      </c>
      <c r="F20" s="27">
        <v>3.09</v>
      </c>
      <c r="G20" s="27">
        <v>3.09</v>
      </c>
      <c r="H20" s="27">
        <v>3.09</v>
      </c>
      <c r="I20" s="27">
        <v>3.09</v>
      </c>
      <c r="J20" s="27">
        <v>3.09</v>
      </c>
      <c r="K20" s="27">
        <v>3.09</v>
      </c>
      <c r="L20" s="27">
        <v>3.09</v>
      </c>
      <c r="M20" s="27">
        <v>3.09</v>
      </c>
      <c r="N20" s="44">
        <v>3.09</v>
      </c>
      <c r="O20" s="27">
        <v>3.09</v>
      </c>
      <c r="P20" s="27">
        <v>3.09</v>
      </c>
      <c r="Q20" s="27">
        <v>3.09</v>
      </c>
      <c r="R20" s="27">
        <v>3.09</v>
      </c>
      <c r="S20" s="27">
        <v>3.09</v>
      </c>
      <c r="T20" s="27">
        <v>3.09</v>
      </c>
      <c r="U20" s="27">
        <v>3.09</v>
      </c>
      <c r="V20" s="27">
        <v>3.09</v>
      </c>
      <c r="W20">
        <v>3.09</v>
      </c>
      <c r="X20">
        <v>3.09</v>
      </c>
      <c r="Y20">
        <v>3.09</v>
      </c>
      <c r="Z20">
        <v>3.09</v>
      </c>
      <c r="AA20">
        <v>3.09</v>
      </c>
    </row>
    <row r="21" spans="1:27">
      <c r="A21" t="s">
        <v>935</v>
      </c>
      <c r="C21" s="27">
        <v>0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3.64</v>
      </c>
      <c r="L21" s="27">
        <v>3.18</v>
      </c>
      <c r="M21" s="27">
        <v>3.2</v>
      </c>
      <c r="N21" s="44">
        <v>3.23</v>
      </c>
      <c r="O21" s="27">
        <v>3.27</v>
      </c>
      <c r="P21" s="27">
        <v>3.28</v>
      </c>
      <c r="Q21" s="27">
        <v>3.29</v>
      </c>
      <c r="R21" s="27">
        <v>3.3</v>
      </c>
      <c r="S21" s="27">
        <v>3.3</v>
      </c>
      <c r="T21" s="27">
        <v>3.31</v>
      </c>
      <c r="U21" s="27">
        <v>3.33</v>
      </c>
      <c r="V21" s="27">
        <v>3.34</v>
      </c>
      <c r="W21">
        <v>3.36</v>
      </c>
      <c r="X21">
        <v>3.37</v>
      </c>
      <c r="Y21">
        <v>3.39</v>
      </c>
      <c r="Z21">
        <v>3.4</v>
      </c>
      <c r="AA21">
        <v>2.2200000000000002</v>
      </c>
    </row>
    <row r="22" spans="1:27">
      <c r="A22" t="s">
        <v>936</v>
      </c>
      <c r="B22">
        <v>730030</v>
      </c>
      <c r="C22" s="27">
        <v>0.87</v>
      </c>
      <c r="D22" s="27">
        <v>0.87</v>
      </c>
      <c r="E22" s="27">
        <v>0.87</v>
      </c>
      <c r="F22" s="27">
        <v>0.87</v>
      </c>
      <c r="G22" s="27">
        <v>0.87</v>
      </c>
      <c r="H22" s="27">
        <v>0.87</v>
      </c>
      <c r="I22" s="27">
        <v>0.87</v>
      </c>
      <c r="J22" s="27">
        <v>0.87</v>
      </c>
      <c r="K22" s="27">
        <v>0.87</v>
      </c>
      <c r="L22" s="27">
        <v>0.87</v>
      </c>
      <c r="M22" s="27">
        <v>0.87</v>
      </c>
      <c r="N22" s="44">
        <v>0.87</v>
      </c>
      <c r="O22" s="27">
        <v>0.87</v>
      </c>
      <c r="P22" s="27">
        <v>0.87</v>
      </c>
      <c r="Q22" s="27">
        <v>0.87</v>
      </c>
      <c r="R22" s="27">
        <v>0.87</v>
      </c>
      <c r="S22" s="27">
        <v>0.87</v>
      </c>
      <c r="T22" s="27">
        <v>0.87</v>
      </c>
      <c r="U22" s="27">
        <v>0.87</v>
      </c>
      <c r="V22" s="27">
        <v>0.87</v>
      </c>
      <c r="W22">
        <v>0.87</v>
      </c>
      <c r="X22">
        <v>0.87</v>
      </c>
      <c r="Y22">
        <v>0.87</v>
      </c>
      <c r="Z22">
        <v>0.87</v>
      </c>
      <c r="AA22">
        <v>0.87</v>
      </c>
    </row>
    <row r="23" spans="1:27">
      <c r="A23" t="s">
        <v>937</v>
      </c>
      <c r="B23">
        <v>730037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10</v>
      </c>
      <c r="L23" s="27">
        <v>0</v>
      </c>
      <c r="M23" s="27">
        <v>10</v>
      </c>
      <c r="N23" s="44">
        <v>0</v>
      </c>
      <c r="O23" s="27">
        <v>10</v>
      </c>
      <c r="P23" s="27">
        <v>0</v>
      </c>
      <c r="Q23" s="27">
        <v>10</v>
      </c>
      <c r="R23" s="27">
        <v>0</v>
      </c>
      <c r="S23" s="27">
        <v>10</v>
      </c>
      <c r="T23" s="27">
        <v>0</v>
      </c>
      <c r="U23" s="27">
        <v>10</v>
      </c>
      <c r="V23" s="27">
        <v>0</v>
      </c>
      <c r="W23">
        <v>10</v>
      </c>
      <c r="X23">
        <v>0</v>
      </c>
      <c r="Y23">
        <v>10</v>
      </c>
      <c r="Z23">
        <v>0</v>
      </c>
      <c r="AA23">
        <v>3.33</v>
      </c>
    </row>
    <row r="24" spans="1:27">
      <c r="A24" t="s">
        <v>12</v>
      </c>
      <c r="B24" t="s">
        <v>12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44"/>
      <c r="O24" s="27"/>
      <c r="P24" s="27"/>
      <c r="Q24" s="27"/>
      <c r="R24" s="27"/>
      <c r="S24" s="27"/>
      <c r="T24" s="27"/>
      <c r="U24" s="27"/>
      <c r="V24" s="27"/>
    </row>
    <row r="25" spans="1:27">
      <c r="A25" t="s">
        <v>938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2.7</v>
      </c>
      <c r="L25" s="27">
        <v>0.85</v>
      </c>
      <c r="M25" s="27">
        <v>2.96</v>
      </c>
      <c r="N25" s="44">
        <v>0.87</v>
      </c>
      <c r="O25" s="27">
        <v>2.86</v>
      </c>
      <c r="P25" s="27">
        <v>0.81</v>
      </c>
      <c r="Q25" s="27">
        <v>2.75</v>
      </c>
      <c r="R25" s="27">
        <v>0.75</v>
      </c>
      <c r="S25" s="27">
        <v>2.6</v>
      </c>
      <c r="T25" s="27">
        <v>0.69</v>
      </c>
      <c r="U25" s="27">
        <v>2.4900000000000002</v>
      </c>
      <c r="V25" s="27">
        <v>0.65</v>
      </c>
      <c r="W25">
        <v>2.46</v>
      </c>
      <c r="X25">
        <v>0.63</v>
      </c>
      <c r="Y25">
        <v>2.4900000000000002</v>
      </c>
      <c r="Z25">
        <v>0.62</v>
      </c>
      <c r="AA25">
        <v>1.1299999999999999</v>
      </c>
    </row>
    <row r="26" spans="1:27"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44"/>
      <c r="O26" s="27"/>
      <c r="P26" s="27"/>
      <c r="Q26" s="27"/>
      <c r="R26" s="27"/>
      <c r="S26" s="27"/>
      <c r="T26" s="27"/>
      <c r="U26" s="27"/>
      <c r="V26" s="27"/>
    </row>
    <row r="27" spans="1:27">
      <c r="A27" t="s">
        <v>12</v>
      </c>
      <c r="B27" t="s">
        <v>12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44"/>
      <c r="O27" s="27"/>
      <c r="P27" s="27"/>
      <c r="Q27" s="27"/>
      <c r="R27" s="27"/>
      <c r="S27" s="27"/>
      <c r="T27" s="27"/>
      <c r="U27" s="27"/>
      <c r="V27" s="27"/>
    </row>
    <row r="28" spans="1:27">
      <c r="A28" t="s">
        <v>57</v>
      </c>
      <c r="C28" s="27">
        <v>1.3</v>
      </c>
      <c r="D28" s="27">
        <v>1.34</v>
      </c>
      <c r="E28" s="27">
        <v>1.2</v>
      </c>
      <c r="F28" s="27">
        <v>1.0900000000000001</v>
      </c>
      <c r="G28" s="27">
        <v>1.21</v>
      </c>
      <c r="H28" s="27">
        <v>1.23</v>
      </c>
      <c r="I28" s="27">
        <v>1.1499999999999999</v>
      </c>
      <c r="J28" s="27">
        <v>1.42</v>
      </c>
      <c r="K28" s="27">
        <v>1.65</v>
      </c>
      <c r="L28" s="27">
        <v>1.48</v>
      </c>
      <c r="M28" s="27">
        <v>1.54</v>
      </c>
      <c r="N28" s="44">
        <v>1.41</v>
      </c>
      <c r="O28" s="27">
        <v>1.53</v>
      </c>
      <c r="P28" s="27">
        <v>1.4</v>
      </c>
      <c r="Q28" s="27">
        <v>1.44</v>
      </c>
      <c r="R28" s="27">
        <v>1.31</v>
      </c>
      <c r="S28" s="27">
        <v>1.41</v>
      </c>
      <c r="T28" s="27">
        <v>1.2</v>
      </c>
      <c r="U28" s="27">
        <v>1.31</v>
      </c>
      <c r="V28" s="27">
        <v>1.18</v>
      </c>
      <c r="W28">
        <v>1.24</v>
      </c>
      <c r="X28">
        <v>1.1200000000000001</v>
      </c>
      <c r="Y28">
        <v>1.28</v>
      </c>
      <c r="Z28">
        <v>1.1100000000000001</v>
      </c>
      <c r="AA28">
        <v>1.31</v>
      </c>
    </row>
    <row r="29" spans="1:27"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44"/>
      <c r="O29" s="27"/>
      <c r="P29" s="27"/>
      <c r="Q29" s="27"/>
      <c r="R29" s="27"/>
      <c r="S29" s="27"/>
      <c r="T29" s="27"/>
      <c r="U29" s="27"/>
      <c r="V29" s="27"/>
    </row>
    <row r="30" spans="1:27">
      <c r="A30" t="s">
        <v>939</v>
      </c>
      <c r="B30">
        <v>710005</v>
      </c>
      <c r="C30" s="27">
        <v>9.5399999999999991</v>
      </c>
      <c r="D30" s="27">
        <v>9.5399999999999991</v>
      </c>
      <c r="E30" s="27">
        <v>9.5399999999999991</v>
      </c>
      <c r="F30" s="27">
        <v>9.5399999999999991</v>
      </c>
      <c r="G30" s="27">
        <v>9.5399999999999991</v>
      </c>
      <c r="H30" s="27">
        <v>9.5399999999999991</v>
      </c>
      <c r="I30" s="27">
        <v>9.5399999999999991</v>
      </c>
      <c r="J30" s="27">
        <v>9.5399999999999991</v>
      </c>
      <c r="K30" s="27">
        <v>8.31</v>
      </c>
      <c r="L30" s="27">
        <v>7.81</v>
      </c>
      <c r="M30" s="27">
        <v>7.84</v>
      </c>
      <c r="N30" s="44">
        <v>7.86</v>
      </c>
      <c r="O30" s="27">
        <v>6.5</v>
      </c>
      <c r="P30" s="27">
        <v>6.5</v>
      </c>
      <c r="Q30" s="27">
        <v>6.5</v>
      </c>
      <c r="R30" s="27">
        <v>6.5</v>
      </c>
      <c r="S30" s="27">
        <v>6.5</v>
      </c>
      <c r="T30" s="27">
        <v>6.5</v>
      </c>
      <c r="U30" s="27">
        <v>6.5</v>
      </c>
      <c r="V30" s="27">
        <v>6.5</v>
      </c>
      <c r="W30">
        <v>6.5</v>
      </c>
      <c r="X30">
        <v>6.5</v>
      </c>
      <c r="Y30">
        <v>6.5</v>
      </c>
      <c r="Z30">
        <v>6.5</v>
      </c>
      <c r="AA30">
        <v>7.76</v>
      </c>
    </row>
    <row r="31" spans="1:27">
      <c r="A31" t="s">
        <v>940</v>
      </c>
      <c r="B31">
        <v>710015</v>
      </c>
      <c r="C31" s="27">
        <v>9.5399999999999991</v>
      </c>
      <c r="D31" s="27">
        <v>9.5399999999999991</v>
      </c>
      <c r="E31" s="27">
        <v>9.5399999999999991</v>
      </c>
      <c r="F31" s="27">
        <v>9.5399999999999991</v>
      </c>
      <c r="G31" s="27">
        <v>9.5399999999999991</v>
      </c>
      <c r="H31" s="27">
        <v>9.5399999999999991</v>
      </c>
      <c r="I31" s="27">
        <v>9.5399999999999991</v>
      </c>
      <c r="J31" s="27">
        <v>9.5399999999999991</v>
      </c>
      <c r="K31" s="27">
        <v>8.6199999999999992</v>
      </c>
      <c r="L31" s="27">
        <v>8.11</v>
      </c>
      <c r="M31" s="27">
        <v>8.14</v>
      </c>
      <c r="N31" s="44">
        <v>8.17</v>
      </c>
      <c r="O31" s="27">
        <v>7.75</v>
      </c>
      <c r="P31" s="27">
        <v>7.75</v>
      </c>
      <c r="Q31" s="27">
        <v>7.75</v>
      </c>
      <c r="R31" s="27">
        <v>7.75</v>
      </c>
      <c r="S31" s="27">
        <v>7.75</v>
      </c>
      <c r="T31" s="27">
        <v>7.75</v>
      </c>
      <c r="U31" s="27">
        <v>7.75</v>
      </c>
      <c r="V31" s="27">
        <v>7.75</v>
      </c>
      <c r="W31">
        <v>7.75</v>
      </c>
      <c r="X31">
        <v>7.75</v>
      </c>
      <c r="Y31">
        <v>7.75</v>
      </c>
      <c r="Z31">
        <v>7.75</v>
      </c>
      <c r="AA31">
        <v>8.43</v>
      </c>
    </row>
    <row r="32" spans="1:27">
      <c r="A32" t="s">
        <v>941</v>
      </c>
      <c r="B32">
        <v>710025</v>
      </c>
      <c r="C32" s="27">
        <v>9.7899999999999991</v>
      </c>
      <c r="D32" s="27">
        <v>9.7899999999999991</v>
      </c>
      <c r="E32" s="27">
        <v>9.7899999999999991</v>
      </c>
      <c r="F32" s="27">
        <v>9.7899999999999991</v>
      </c>
      <c r="G32" s="27">
        <v>9.7899999999999991</v>
      </c>
      <c r="H32" s="27">
        <v>9.7899999999999991</v>
      </c>
      <c r="I32" s="27">
        <v>9.7899999999999991</v>
      </c>
      <c r="J32" s="27">
        <v>9.7899999999999991</v>
      </c>
      <c r="K32" s="27">
        <v>8.91</v>
      </c>
      <c r="L32" s="27">
        <v>8.59</v>
      </c>
      <c r="M32" s="27">
        <v>8.61</v>
      </c>
      <c r="N32" s="44">
        <v>8.6300000000000008</v>
      </c>
      <c r="O32" s="27">
        <v>8.67</v>
      </c>
      <c r="P32" s="27">
        <v>8.68</v>
      </c>
      <c r="Q32" s="27">
        <v>8.69</v>
      </c>
      <c r="R32" s="27">
        <v>8.69</v>
      </c>
      <c r="S32" s="27">
        <v>8.6999999999999993</v>
      </c>
      <c r="T32" s="27">
        <v>8.7100000000000009</v>
      </c>
      <c r="U32" s="27">
        <v>8.7200000000000006</v>
      </c>
      <c r="V32" s="27">
        <v>8.74</v>
      </c>
      <c r="W32">
        <v>8.75</v>
      </c>
      <c r="X32">
        <v>8.76</v>
      </c>
      <c r="Y32">
        <v>8.7799999999999994</v>
      </c>
      <c r="Z32">
        <v>8.7899999999999991</v>
      </c>
      <c r="AA32">
        <v>9.07</v>
      </c>
    </row>
    <row r="33" spans="1:27">
      <c r="A33" t="s">
        <v>942</v>
      </c>
      <c r="B33">
        <v>710035</v>
      </c>
      <c r="C33" s="27">
        <v>9.7899999999999991</v>
      </c>
      <c r="D33" s="27">
        <v>9.7899999999999991</v>
      </c>
      <c r="E33" s="27">
        <v>9.7899999999999991</v>
      </c>
      <c r="F33" s="27">
        <v>9.7899999999999991</v>
      </c>
      <c r="G33" s="27">
        <v>9.7899999999999991</v>
      </c>
      <c r="H33" s="27">
        <v>9.7899999999999991</v>
      </c>
      <c r="I33" s="27">
        <v>9.7899999999999991</v>
      </c>
      <c r="J33" s="27">
        <v>9.7899999999999991</v>
      </c>
      <c r="K33" s="27">
        <v>8.86</v>
      </c>
      <c r="L33" s="27">
        <v>8.5399999999999991</v>
      </c>
      <c r="M33" s="27">
        <v>8.56</v>
      </c>
      <c r="N33" s="44">
        <v>8.58</v>
      </c>
      <c r="O33" s="27">
        <v>8.6199999999999992</v>
      </c>
      <c r="P33" s="27">
        <v>8.6300000000000008</v>
      </c>
      <c r="Q33" s="27">
        <v>8.64</v>
      </c>
      <c r="R33" s="27">
        <v>8.65</v>
      </c>
      <c r="S33" s="27">
        <v>8.66</v>
      </c>
      <c r="T33" s="27">
        <v>8.66</v>
      </c>
      <c r="U33" s="27">
        <v>8.68</v>
      </c>
      <c r="V33" s="27">
        <v>8.69</v>
      </c>
      <c r="W33">
        <v>8.7100000000000009</v>
      </c>
      <c r="X33">
        <v>8.7200000000000006</v>
      </c>
      <c r="Y33">
        <v>8.73</v>
      </c>
      <c r="Z33">
        <v>8.75</v>
      </c>
      <c r="AA33">
        <v>9.0399999999999991</v>
      </c>
    </row>
    <row r="34" spans="1:27">
      <c r="A34" t="s">
        <v>12</v>
      </c>
      <c r="B34" t="s">
        <v>12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44"/>
      <c r="O34" s="27"/>
      <c r="P34" s="27"/>
      <c r="Q34" s="27"/>
      <c r="R34" s="27"/>
      <c r="S34" s="27"/>
      <c r="T34" s="27"/>
      <c r="U34" s="27"/>
      <c r="V34" s="27"/>
    </row>
    <row r="35" spans="1:27">
      <c r="A35" t="s">
        <v>66</v>
      </c>
      <c r="C35" s="27">
        <v>9.42</v>
      </c>
      <c r="D35" s="27">
        <v>9.42</v>
      </c>
      <c r="E35" s="27">
        <v>9.42</v>
      </c>
      <c r="F35" s="27">
        <v>9.42</v>
      </c>
      <c r="G35" s="27">
        <v>9.42</v>
      </c>
      <c r="H35" s="27">
        <v>9.42</v>
      </c>
      <c r="I35" s="27">
        <v>9.42</v>
      </c>
      <c r="J35" s="27">
        <v>9.42</v>
      </c>
      <c r="K35" s="27">
        <v>8.43</v>
      </c>
      <c r="L35" s="27">
        <v>7.95</v>
      </c>
      <c r="M35" s="27">
        <v>7.98</v>
      </c>
      <c r="N35" s="44">
        <v>8.01</v>
      </c>
      <c r="O35" s="27">
        <v>7.42</v>
      </c>
      <c r="P35" s="27">
        <v>7.42</v>
      </c>
      <c r="Q35" s="27">
        <v>7.43</v>
      </c>
      <c r="R35" s="27">
        <v>7.43</v>
      </c>
      <c r="S35" s="27">
        <v>7.43</v>
      </c>
      <c r="T35" s="27">
        <v>7.42</v>
      </c>
      <c r="U35" s="27">
        <v>7.42</v>
      </c>
      <c r="V35" s="27">
        <v>7.42</v>
      </c>
      <c r="W35">
        <v>7.42</v>
      </c>
      <c r="X35">
        <v>7.42</v>
      </c>
      <c r="Y35">
        <v>7.42</v>
      </c>
      <c r="Z35">
        <v>7.42</v>
      </c>
      <c r="AA35">
        <v>8.1999999999999993</v>
      </c>
    </row>
    <row r="36" spans="1:27"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44"/>
      <c r="O36" s="27"/>
      <c r="P36" s="27"/>
      <c r="Q36" s="27"/>
      <c r="R36" s="27"/>
      <c r="S36" s="27"/>
      <c r="T36" s="27"/>
      <c r="U36" s="27"/>
      <c r="V36" s="27"/>
    </row>
    <row r="37" spans="1:27">
      <c r="A37" t="s">
        <v>943</v>
      </c>
      <c r="B37">
        <v>710105</v>
      </c>
      <c r="C37" s="27">
        <v>4.12</v>
      </c>
      <c r="D37" s="27">
        <v>4.12</v>
      </c>
      <c r="E37" s="27">
        <v>4.12</v>
      </c>
      <c r="F37" s="27">
        <v>4.12</v>
      </c>
      <c r="G37" s="27">
        <v>4.12</v>
      </c>
      <c r="H37" s="27">
        <v>4.12</v>
      </c>
      <c r="I37" s="27">
        <v>4.12</v>
      </c>
      <c r="J37" s="27">
        <v>4.12</v>
      </c>
      <c r="K37" s="27">
        <v>4.12</v>
      </c>
      <c r="L37" s="27">
        <v>4.12</v>
      </c>
      <c r="M37" s="27">
        <v>4.12</v>
      </c>
      <c r="N37" s="44">
        <v>4.12</v>
      </c>
      <c r="O37" s="27">
        <v>4.12</v>
      </c>
      <c r="P37" s="27">
        <v>4.12</v>
      </c>
      <c r="Q37" s="27">
        <v>4.12</v>
      </c>
      <c r="R37" s="27">
        <v>4.12</v>
      </c>
      <c r="S37" s="27">
        <v>4.12</v>
      </c>
      <c r="T37" s="27">
        <v>4.12</v>
      </c>
      <c r="U37" s="27">
        <v>4.12</v>
      </c>
      <c r="V37" s="27">
        <v>4.12</v>
      </c>
      <c r="W37">
        <v>4.12</v>
      </c>
      <c r="X37">
        <v>4.12</v>
      </c>
      <c r="Y37">
        <v>4.12</v>
      </c>
      <c r="Z37">
        <v>4.12</v>
      </c>
      <c r="AA37">
        <v>4.12</v>
      </c>
    </row>
    <row r="38" spans="1:27">
      <c r="A38" t="s">
        <v>944</v>
      </c>
      <c r="B38">
        <v>710110</v>
      </c>
      <c r="C38" s="27">
        <v>5.12</v>
      </c>
      <c r="D38" s="27">
        <v>5.12</v>
      </c>
      <c r="E38" s="27">
        <v>5.12</v>
      </c>
      <c r="F38" s="27">
        <v>5.12</v>
      </c>
      <c r="G38" s="27">
        <v>5.12</v>
      </c>
      <c r="H38" s="27">
        <v>5.12</v>
      </c>
      <c r="I38" s="27">
        <v>5.12</v>
      </c>
      <c r="J38" s="27">
        <v>5.12</v>
      </c>
      <c r="K38" s="27">
        <v>5</v>
      </c>
      <c r="L38" s="27">
        <v>5</v>
      </c>
      <c r="M38" s="27">
        <v>5</v>
      </c>
      <c r="N38" s="44">
        <v>5</v>
      </c>
      <c r="O38" s="27">
        <v>5</v>
      </c>
      <c r="P38" s="27">
        <v>5</v>
      </c>
      <c r="Q38" s="27">
        <v>5</v>
      </c>
      <c r="R38" s="27">
        <v>5</v>
      </c>
      <c r="S38" s="27">
        <v>5</v>
      </c>
      <c r="T38" s="27">
        <v>5</v>
      </c>
      <c r="U38" s="27">
        <v>5</v>
      </c>
      <c r="V38" s="27">
        <v>5</v>
      </c>
      <c r="W38">
        <v>5</v>
      </c>
      <c r="X38">
        <v>5</v>
      </c>
      <c r="Y38">
        <v>5</v>
      </c>
      <c r="Z38">
        <v>5</v>
      </c>
      <c r="AA38">
        <v>5.04</v>
      </c>
    </row>
    <row r="39" spans="1:27">
      <c r="A39" t="s">
        <v>80</v>
      </c>
      <c r="B39">
        <v>710205</v>
      </c>
      <c r="C39" s="27">
        <v>9.5399999999999991</v>
      </c>
      <c r="D39" s="27">
        <v>9.5399999999999991</v>
      </c>
      <c r="E39" s="27">
        <v>9.5399999999999991</v>
      </c>
      <c r="F39" s="27">
        <v>9.5399999999999991</v>
      </c>
      <c r="G39" s="27">
        <v>9.5399999999999991</v>
      </c>
      <c r="H39" s="27">
        <v>9.5399999999999991</v>
      </c>
      <c r="I39" s="27">
        <v>9.5399999999999991</v>
      </c>
      <c r="J39" s="27">
        <v>9.5399999999999991</v>
      </c>
      <c r="K39" s="27">
        <v>7.55</v>
      </c>
      <c r="L39" s="27">
        <v>7.05</v>
      </c>
      <c r="M39" s="27">
        <v>7.08</v>
      </c>
      <c r="N39" s="44">
        <v>7.1</v>
      </c>
      <c r="O39" s="27">
        <v>7.16</v>
      </c>
      <c r="P39" s="27">
        <v>7.1</v>
      </c>
      <c r="Q39" s="27">
        <v>7.04</v>
      </c>
      <c r="R39" s="27">
        <v>6.98</v>
      </c>
      <c r="S39" s="27">
        <v>6.92</v>
      </c>
      <c r="T39" s="27">
        <v>6.86</v>
      </c>
      <c r="U39" s="27">
        <v>6.8</v>
      </c>
      <c r="V39" s="27">
        <v>6.74</v>
      </c>
      <c r="W39">
        <v>6.68</v>
      </c>
      <c r="X39">
        <v>6.62</v>
      </c>
      <c r="Y39">
        <v>6.56</v>
      </c>
      <c r="Z39">
        <v>6.5</v>
      </c>
      <c r="AA39">
        <v>7.79</v>
      </c>
    </row>
    <row r="40" spans="1:27">
      <c r="A40" t="s">
        <v>81</v>
      </c>
      <c r="B40">
        <v>710210</v>
      </c>
      <c r="C40" s="27">
        <v>9.5399999999999991</v>
      </c>
      <c r="D40" s="27">
        <v>9.5399999999999991</v>
      </c>
      <c r="E40" s="27">
        <v>9.5399999999999991</v>
      </c>
      <c r="F40" s="27">
        <v>9.5399999999999991</v>
      </c>
      <c r="G40" s="27">
        <v>9.5399999999999991</v>
      </c>
      <c r="H40" s="27">
        <v>9.5399999999999991</v>
      </c>
      <c r="I40" s="27">
        <v>9.5399999999999991</v>
      </c>
      <c r="J40" s="27">
        <v>9.5399999999999991</v>
      </c>
      <c r="K40" s="27">
        <v>7.75</v>
      </c>
      <c r="L40" s="27">
        <v>7.25</v>
      </c>
      <c r="M40" s="27">
        <v>7.27</v>
      </c>
      <c r="N40" s="44">
        <v>7.3</v>
      </c>
      <c r="O40" s="27">
        <v>7.35</v>
      </c>
      <c r="P40" s="27">
        <v>7.36</v>
      </c>
      <c r="Q40" s="27">
        <v>7.37</v>
      </c>
      <c r="R40" s="27">
        <v>7.38</v>
      </c>
      <c r="S40" s="27">
        <v>7.4</v>
      </c>
      <c r="T40" s="27">
        <v>7.41</v>
      </c>
      <c r="U40" s="27">
        <v>7.42</v>
      </c>
      <c r="V40" s="27">
        <v>7.44</v>
      </c>
      <c r="W40">
        <v>7.46</v>
      </c>
      <c r="X40">
        <v>7.48</v>
      </c>
      <c r="Y40">
        <v>7.49</v>
      </c>
      <c r="Z40">
        <v>7.51</v>
      </c>
      <c r="AA40">
        <v>8.1199999999999992</v>
      </c>
    </row>
    <row r="41" spans="1:27">
      <c r="A41" t="s">
        <v>82</v>
      </c>
      <c r="B41">
        <v>710215</v>
      </c>
      <c r="C41" s="27">
        <v>8</v>
      </c>
      <c r="D41" s="27">
        <v>8</v>
      </c>
      <c r="E41" s="27">
        <v>8</v>
      </c>
      <c r="F41" s="27">
        <v>8</v>
      </c>
      <c r="G41" s="27">
        <v>8</v>
      </c>
      <c r="H41" s="27">
        <v>8</v>
      </c>
      <c r="I41" s="27">
        <v>8</v>
      </c>
      <c r="J41" s="27">
        <v>8</v>
      </c>
      <c r="K41" s="27">
        <v>7.96</v>
      </c>
      <c r="L41" s="27">
        <v>7.46</v>
      </c>
      <c r="M41" s="27">
        <v>7.49</v>
      </c>
      <c r="N41" s="44">
        <v>7.51</v>
      </c>
      <c r="O41" s="27">
        <v>7.57</v>
      </c>
      <c r="P41" s="27">
        <v>7.58</v>
      </c>
      <c r="Q41" s="27">
        <v>7.59</v>
      </c>
      <c r="R41" s="27">
        <v>7.6</v>
      </c>
      <c r="S41" s="27">
        <v>7.61</v>
      </c>
      <c r="T41" s="27">
        <v>7.62</v>
      </c>
      <c r="U41" s="27">
        <v>7.64</v>
      </c>
      <c r="V41" s="27">
        <v>7.66</v>
      </c>
      <c r="W41">
        <v>7.67</v>
      </c>
      <c r="X41">
        <v>7.69</v>
      </c>
      <c r="Y41">
        <v>7.71</v>
      </c>
      <c r="Z41">
        <v>7.73</v>
      </c>
      <c r="AA41">
        <v>7.75</v>
      </c>
    </row>
    <row r="42" spans="1:27">
      <c r="A42" t="s">
        <v>83</v>
      </c>
      <c r="B42">
        <v>710220</v>
      </c>
      <c r="C42" s="27">
        <v>8.75</v>
      </c>
      <c r="D42" s="27">
        <v>8.75</v>
      </c>
      <c r="E42" s="27">
        <v>8.75</v>
      </c>
      <c r="F42" s="27">
        <v>8.75</v>
      </c>
      <c r="G42" s="27">
        <v>8.75</v>
      </c>
      <c r="H42" s="27">
        <v>8.75</v>
      </c>
      <c r="I42" s="27">
        <v>8.75</v>
      </c>
      <c r="J42" s="27">
        <v>8.75</v>
      </c>
      <c r="K42" s="27">
        <v>8.34</v>
      </c>
      <c r="L42" s="27">
        <v>7.84</v>
      </c>
      <c r="M42" s="27">
        <v>7.86</v>
      </c>
      <c r="N42" s="44">
        <v>7.89</v>
      </c>
      <c r="O42" s="27">
        <v>7.94</v>
      </c>
      <c r="P42" s="27">
        <v>7.95</v>
      </c>
      <c r="Q42" s="27">
        <v>7.96</v>
      </c>
      <c r="R42" s="27">
        <v>7.97</v>
      </c>
      <c r="S42" s="27">
        <v>7.98</v>
      </c>
      <c r="T42" s="27">
        <v>8</v>
      </c>
      <c r="U42" s="27">
        <v>8.01</v>
      </c>
      <c r="V42" s="27">
        <v>8.0299999999999994</v>
      </c>
      <c r="W42">
        <v>8.0500000000000007</v>
      </c>
      <c r="X42">
        <v>8.07</v>
      </c>
      <c r="Y42">
        <v>8.08</v>
      </c>
      <c r="Z42">
        <v>8.1</v>
      </c>
      <c r="AA42">
        <v>8.25</v>
      </c>
    </row>
    <row r="43" spans="1:27">
      <c r="A43" t="s">
        <v>84</v>
      </c>
      <c r="B43">
        <v>710225</v>
      </c>
      <c r="C43" s="27">
        <v>10.69</v>
      </c>
      <c r="D43" s="27">
        <v>10.69</v>
      </c>
      <c r="E43" s="27">
        <v>10.69</v>
      </c>
      <c r="F43" s="27">
        <v>10.69</v>
      </c>
      <c r="G43" s="27">
        <v>10.69</v>
      </c>
      <c r="H43" s="27">
        <v>10.69</v>
      </c>
      <c r="I43" s="27">
        <v>10.69</v>
      </c>
      <c r="J43" s="27">
        <v>10.69</v>
      </c>
      <c r="K43" s="27">
        <v>8.34</v>
      </c>
      <c r="L43" s="27">
        <v>7.84</v>
      </c>
      <c r="M43" s="27">
        <v>7.87</v>
      </c>
      <c r="N43" s="44">
        <v>7.89</v>
      </c>
      <c r="O43" s="27">
        <v>7.95</v>
      </c>
      <c r="P43" s="27">
        <v>7.96</v>
      </c>
      <c r="Q43" s="27">
        <v>7.97</v>
      </c>
      <c r="R43" s="27">
        <v>7.98</v>
      </c>
      <c r="S43" s="27">
        <v>7.99</v>
      </c>
      <c r="T43" s="27">
        <v>8</v>
      </c>
      <c r="U43" s="27">
        <v>8.02</v>
      </c>
      <c r="V43" s="27">
        <v>8.0299999999999994</v>
      </c>
      <c r="W43">
        <v>8.0500000000000007</v>
      </c>
      <c r="X43">
        <v>8.07</v>
      </c>
      <c r="Y43">
        <v>8.09</v>
      </c>
      <c r="Z43">
        <v>8.11</v>
      </c>
      <c r="AA43">
        <v>8.9</v>
      </c>
    </row>
    <row r="44" spans="1:27">
      <c r="A44" t="s">
        <v>85</v>
      </c>
      <c r="B44">
        <v>710230</v>
      </c>
      <c r="C44" s="27">
        <v>12.34</v>
      </c>
      <c r="D44" s="27">
        <v>12.34</v>
      </c>
      <c r="E44" s="27">
        <v>12.34</v>
      </c>
      <c r="F44" s="27">
        <v>12.34</v>
      </c>
      <c r="G44" s="27">
        <v>12.34</v>
      </c>
      <c r="H44" s="27">
        <v>12.34</v>
      </c>
      <c r="I44" s="27">
        <v>12.34</v>
      </c>
      <c r="J44" s="27">
        <v>12.34</v>
      </c>
      <c r="K44" s="27">
        <v>9.23</v>
      </c>
      <c r="L44" s="27">
        <v>8.73</v>
      </c>
      <c r="M44" s="27">
        <v>8.75</v>
      </c>
      <c r="N44" s="44">
        <v>8.7799999999999994</v>
      </c>
      <c r="O44" s="27">
        <v>8.83</v>
      </c>
      <c r="P44" s="27">
        <v>8.84</v>
      </c>
      <c r="Q44" s="27">
        <v>8.85</v>
      </c>
      <c r="R44" s="27">
        <v>8.86</v>
      </c>
      <c r="S44" s="27">
        <v>8.8699999999999992</v>
      </c>
      <c r="T44" s="27">
        <v>8.8800000000000008</v>
      </c>
      <c r="U44" s="27">
        <v>8.9</v>
      </c>
      <c r="V44" s="27">
        <v>8.92</v>
      </c>
      <c r="W44">
        <v>8.94</v>
      </c>
      <c r="X44">
        <v>8.9499999999999993</v>
      </c>
      <c r="Y44">
        <v>8.9700000000000006</v>
      </c>
      <c r="Z44">
        <v>8.99</v>
      </c>
      <c r="AA44">
        <v>10.039999999999999</v>
      </c>
    </row>
    <row r="45" spans="1:27">
      <c r="A45" t="s">
        <v>86</v>
      </c>
      <c r="B45">
        <v>710235</v>
      </c>
      <c r="C45" s="27">
        <v>8.75</v>
      </c>
      <c r="D45" s="27">
        <v>8.75</v>
      </c>
      <c r="E45" s="27">
        <v>8.75</v>
      </c>
      <c r="F45" s="27">
        <v>8.75</v>
      </c>
      <c r="G45" s="27">
        <v>8.75</v>
      </c>
      <c r="H45" s="27">
        <v>8.75</v>
      </c>
      <c r="I45" s="27">
        <v>8.75</v>
      </c>
      <c r="J45" s="27">
        <v>8.75</v>
      </c>
      <c r="K45" s="27">
        <v>8.34</v>
      </c>
      <c r="L45" s="27">
        <v>7.84</v>
      </c>
      <c r="M45" s="27">
        <v>7.86</v>
      </c>
      <c r="N45" s="44">
        <v>7.89</v>
      </c>
      <c r="O45" s="27">
        <v>7.94</v>
      </c>
      <c r="P45" s="27">
        <v>7.95</v>
      </c>
      <c r="Q45" s="27">
        <v>7.96</v>
      </c>
      <c r="R45" s="27">
        <v>7.97</v>
      </c>
      <c r="S45" s="27">
        <v>7.98</v>
      </c>
      <c r="T45" s="27">
        <v>8</v>
      </c>
      <c r="U45" s="27">
        <v>8.01</v>
      </c>
      <c r="V45" s="27">
        <v>8.0299999999999994</v>
      </c>
      <c r="W45">
        <v>8.0500000000000007</v>
      </c>
      <c r="X45">
        <v>8.07</v>
      </c>
      <c r="Y45">
        <v>8.08</v>
      </c>
      <c r="Z45">
        <v>8.1</v>
      </c>
      <c r="AA45">
        <v>8.25</v>
      </c>
    </row>
    <row r="46" spans="1:27">
      <c r="A46" t="s">
        <v>12</v>
      </c>
      <c r="B46" t="s">
        <v>12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44"/>
      <c r="O46" s="27"/>
      <c r="P46" s="27"/>
      <c r="Q46" s="27"/>
      <c r="R46" s="27"/>
      <c r="S46" s="27"/>
      <c r="T46" s="27"/>
      <c r="U46" s="27"/>
      <c r="V46" s="27"/>
    </row>
    <row r="47" spans="1:27">
      <c r="A47" t="s">
        <v>87</v>
      </c>
      <c r="C47" s="27">
        <v>10.130000000000001</v>
      </c>
      <c r="D47" s="27">
        <v>10.119999999999999</v>
      </c>
      <c r="E47" s="27">
        <v>10.11</v>
      </c>
      <c r="F47" s="27">
        <v>10.1</v>
      </c>
      <c r="G47" s="27">
        <v>10.1</v>
      </c>
      <c r="H47" s="27">
        <v>10.09</v>
      </c>
      <c r="I47" s="27">
        <v>10.09</v>
      </c>
      <c r="J47" s="27">
        <v>10.09</v>
      </c>
      <c r="K47" s="27">
        <v>8.11</v>
      </c>
      <c r="L47" s="27">
        <v>7.65</v>
      </c>
      <c r="M47" s="27">
        <v>7.67</v>
      </c>
      <c r="N47" s="44">
        <v>7.69</v>
      </c>
      <c r="O47" s="27">
        <v>7.73</v>
      </c>
      <c r="P47" s="27">
        <v>7.73</v>
      </c>
      <c r="Q47" s="27">
        <v>7.72</v>
      </c>
      <c r="R47" s="27">
        <v>7.71</v>
      </c>
      <c r="S47" s="27">
        <v>7.7</v>
      </c>
      <c r="T47" s="27">
        <v>7.69</v>
      </c>
      <c r="U47" s="27">
        <v>7.7</v>
      </c>
      <c r="V47" s="27">
        <v>7.7</v>
      </c>
      <c r="W47">
        <v>7.71</v>
      </c>
      <c r="X47">
        <v>7.72</v>
      </c>
      <c r="Y47">
        <v>7.73</v>
      </c>
      <c r="Z47">
        <v>7.74</v>
      </c>
      <c r="AA47">
        <v>8.52</v>
      </c>
    </row>
    <row r="48" spans="1:27"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44"/>
      <c r="O48" s="27"/>
      <c r="P48" s="27"/>
      <c r="Q48" s="27"/>
      <c r="R48" s="27"/>
      <c r="S48" s="27"/>
      <c r="T48" s="27"/>
      <c r="U48" s="27"/>
      <c r="V48" s="27"/>
    </row>
    <row r="49" spans="1:27">
      <c r="A49" t="s">
        <v>88</v>
      </c>
      <c r="B49">
        <v>710302</v>
      </c>
      <c r="C49" s="27">
        <v>0</v>
      </c>
      <c r="D49" s="27">
        <v>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2.2999999999999998</v>
      </c>
      <c r="L49" s="27">
        <v>2.2999999999999998</v>
      </c>
      <c r="M49" s="27">
        <v>2.2999999999999998</v>
      </c>
      <c r="N49" s="44">
        <v>2.2999999999999998</v>
      </c>
      <c r="O49" s="27">
        <v>2.2999999999999998</v>
      </c>
      <c r="P49" s="27">
        <v>2.2999999999999998</v>
      </c>
      <c r="Q49" s="27">
        <v>2.2999999999999998</v>
      </c>
      <c r="R49" s="27">
        <v>2.2999999999999998</v>
      </c>
      <c r="S49" s="27">
        <v>2.2999999999999998</v>
      </c>
      <c r="T49" s="27">
        <v>2.2999999999999998</v>
      </c>
      <c r="U49" s="27">
        <v>2.2999999999999998</v>
      </c>
      <c r="V49" s="27">
        <v>2.2999999999999998</v>
      </c>
      <c r="W49">
        <v>2.2999999999999998</v>
      </c>
      <c r="X49">
        <v>2.2999999999999998</v>
      </c>
      <c r="Y49">
        <v>2.2999999999999998</v>
      </c>
      <c r="Z49">
        <v>2.2999999999999998</v>
      </c>
      <c r="AA49">
        <v>1.53</v>
      </c>
    </row>
    <row r="50" spans="1:27">
      <c r="A50" t="s">
        <v>945</v>
      </c>
      <c r="B50">
        <v>710303</v>
      </c>
      <c r="C50" s="27">
        <v>7.39</v>
      </c>
      <c r="D50" s="27">
        <v>7.39</v>
      </c>
      <c r="E50" s="27">
        <v>7.39</v>
      </c>
      <c r="F50" s="27">
        <v>7.39</v>
      </c>
      <c r="G50" s="27">
        <v>7.39</v>
      </c>
      <c r="H50" s="27">
        <v>7.39</v>
      </c>
      <c r="I50" s="27">
        <v>7.39</v>
      </c>
      <c r="J50" s="27">
        <v>7.39</v>
      </c>
      <c r="K50" s="27">
        <v>7.4</v>
      </c>
      <c r="L50" s="27">
        <v>7.15</v>
      </c>
      <c r="M50" s="27">
        <v>7.16</v>
      </c>
      <c r="N50" s="44">
        <v>7.17</v>
      </c>
      <c r="O50" s="27">
        <v>7.19</v>
      </c>
      <c r="P50" s="27">
        <v>7.2</v>
      </c>
      <c r="Q50" s="27">
        <v>7.2</v>
      </c>
      <c r="R50" s="27">
        <v>7.21</v>
      </c>
      <c r="S50" s="27">
        <v>7.21</v>
      </c>
      <c r="T50" s="27">
        <v>7.21</v>
      </c>
      <c r="U50" s="27">
        <v>7.22</v>
      </c>
      <c r="V50" s="27">
        <v>7.23</v>
      </c>
      <c r="W50">
        <v>7.24</v>
      </c>
      <c r="X50">
        <v>7.24</v>
      </c>
      <c r="Y50">
        <v>7.25</v>
      </c>
      <c r="Z50">
        <v>7.26</v>
      </c>
      <c r="AA50">
        <v>7.28</v>
      </c>
    </row>
    <row r="51" spans="1:27">
      <c r="A51" t="s">
        <v>90</v>
      </c>
      <c r="B51">
        <v>710315</v>
      </c>
      <c r="C51" s="27">
        <v>7.39</v>
      </c>
      <c r="D51" s="27">
        <v>7.39</v>
      </c>
      <c r="E51" s="27">
        <v>7.39</v>
      </c>
      <c r="F51" s="27">
        <v>7.39</v>
      </c>
      <c r="G51" s="27">
        <v>7.39</v>
      </c>
      <c r="H51" s="27">
        <v>7.39</v>
      </c>
      <c r="I51" s="27">
        <v>7.39</v>
      </c>
      <c r="J51" s="27">
        <v>7.39</v>
      </c>
      <c r="K51" s="27">
        <v>7.4</v>
      </c>
      <c r="L51" s="27">
        <v>7.15</v>
      </c>
      <c r="M51" s="27">
        <v>7.16</v>
      </c>
      <c r="N51" s="44">
        <v>7.17</v>
      </c>
      <c r="O51" s="27">
        <v>7.19</v>
      </c>
      <c r="P51" s="27">
        <v>7.2</v>
      </c>
      <c r="Q51" s="27">
        <v>7.2</v>
      </c>
      <c r="R51" s="27">
        <v>7.21</v>
      </c>
      <c r="S51" s="27">
        <v>7.21</v>
      </c>
      <c r="T51" s="27">
        <v>7.21</v>
      </c>
      <c r="U51" s="27">
        <v>7.22</v>
      </c>
      <c r="V51" s="27">
        <v>7.23</v>
      </c>
      <c r="W51">
        <v>7.24</v>
      </c>
      <c r="X51">
        <v>7.24</v>
      </c>
      <c r="Y51">
        <v>7.25</v>
      </c>
      <c r="Z51">
        <v>7.26</v>
      </c>
      <c r="AA51">
        <v>7.28</v>
      </c>
    </row>
    <row r="52" spans="1:27">
      <c r="A52" t="s">
        <v>94</v>
      </c>
      <c r="B52">
        <v>710304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0</v>
      </c>
      <c r="J52" s="27">
        <v>0</v>
      </c>
      <c r="K52" s="27">
        <v>2.2999999999999998</v>
      </c>
      <c r="L52" s="27">
        <v>2.2999999999999998</v>
      </c>
      <c r="M52" s="27">
        <v>2.2999999999999998</v>
      </c>
      <c r="N52" s="44">
        <v>2.2999999999999998</v>
      </c>
      <c r="O52" s="27">
        <v>2.2999999999999998</v>
      </c>
      <c r="P52" s="27">
        <v>2.2999999999999998</v>
      </c>
      <c r="Q52" s="27">
        <v>2.2999999999999998</v>
      </c>
      <c r="R52" s="27">
        <v>2.2999999999999998</v>
      </c>
      <c r="S52" s="27">
        <v>2.2999999999999998</v>
      </c>
      <c r="T52" s="27">
        <v>2.2999999999999998</v>
      </c>
      <c r="U52" s="27">
        <v>2.2999999999999998</v>
      </c>
      <c r="V52" s="27">
        <v>2.2999999999999998</v>
      </c>
      <c r="W52">
        <v>2.2999999999999998</v>
      </c>
      <c r="X52">
        <v>2.2999999999999998</v>
      </c>
      <c r="Y52">
        <v>2.2999999999999998</v>
      </c>
      <c r="Z52">
        <v>2.2999999999999998</v>
      </c>
      <c r="AA52">
        <v>1.53</v>
      </c>
    </row>
    <row r="53" spans="1:27">
      <c r="A53" t="s">
        <v>95</v>
      </c>
      <c r="B53">
        <v>710306</v>
      </c>
      <c r="C53" s="27">
        <v>7.39</v>
      </c>
      <c r="D53" s="27">
        <v>7.39</v>
      </c>
      <c r="E53" s="27">
        <v>7.39</v>
      </c>
      <c r="F53" s="27">
        <v>7.39</v>
      </c>
      <c r="G53" s="27">
        <v>7.39</v>
      </c>
      <c r="H53" s="27">
        <v>7.39</v>
      </c>
      <c r="I53" s="27">
        <v>7.39</v>
      </c>
      <c r="J53" s="27">
        <v>7.39</v>
      </c>
      <c r="K53" s="27">
        <v>7.09</v>
      </c>
      <c r="L53" s="27">
        <v>6.85</v>
      </c>
      <c r="M53" s="27">
        <v>6.86</v>
      </c>
      <c r="N53" s="44">
        <v>6.87</v>
      </c>
      <c r="O53" s="27">
        <v>6.89</v>
      </c>
      <c r="P53" s="27">
        <v>6.89</v>
      </c>
      <c r="Q53" s="27">
        <v>6.9</v>
      </c>
      <c r="R53" s="27">
        <v>6.9</v>
      </c>
      <c r="S53" s="27">
        <v>6.91</v>
      </c>
      <c r="T53" s="27">
        <v>6.91</v>
      </c>
      <c r="U53" s="27">
        <v>6.92</v>
      </c>
      <c r="V53" s="27">
        <v>6.92</v>
      </c>
      <c r="W53">
        <v>6.93</v>
      </c>
      <c r="X53">
        <v>6.94</v>
      </c>
      <c r="Y53">
        <v>6.94</v>
      </c>
      <c r="Z53">
        <v>6.95</v>
      </c>
      <c r="AA53">
        <v>7.07</v>
      </c>
    </row>
    <row r="54" spans="1:27">
      <c r="A54" t="s">
        <v>97</v>
      </c>
      <c r="B54">
        <v>710307</v>
      </c>
      <c r="C54" s="27">
        <v>7.39</v>
      </c>
      <c r="D54" s="27">
        <v>7.39</v>
      </c>
      <c r="E54" s="27">
        <v>7.39</v>
      </c>
      <c r="F54" s="27">
        <v>7.39</v>
      </c>
      <c r="G54" s="27">
        <v>7.39</v>
      </c>
      <c r="H54" s="27">
        <v>7.39</v>
      </c>
      <c r="I54" s="27">
        <v>7.39</v>
      </c>
      <c r="J54" s="27">
        <v>7.39</v>
      </c>
      <c r="K54" s="27">
        <v>7.09</v>
      </c>
      <c r="L54" s="27">
        <v>6.85</v>
      </c>
      <c r="M54" s="27">
        <v>6.86</v>
      </c>
      <c r="N54" s="44">
        <v>6.87</v>
      </c>
      <c r="O54" s="27">
        <v>6.89</v>
      </c>
      <c r="P54" s="27">
        <v>6.89</v>
      </c>
      <c r="Q54" s="27">
        <v>6.9</v>
      </c>
      <c r="R54" s="27">
        <v>6.9</v>
      </c>
      <c r="S54" s="27">
        <v>6.91</v>
      </c>
      <c r="T54" s="27">
        <v>6.91</v>
      </c>
      <c r="U54" s="27">
        <v>6.92</v>
      </c>
      <c r="V54" s="27">
        <v>6.92</v>
      </c>
      <c r="W54">
        <v>6.93</v>
      </c>
      <c r="X54">
        <v>6.94</v>
      </c>
      <c r="Y54">
        <v>6.94</v>
      </c>
      <c r="Z54">
        <v>6.95</v>
      </c>
      <c r="AA54">
        <v>7.07</v>
      </c>
    </row>
    <row r="55" spans="1:27">
      <c r="A55" t="s">
        <v>98</v>
      </c>
      <c r="B55">
        <v>710316</v>
      </c>
      <c r="C55" s="27">
        <v>7.39</v>
      </c>
      <c r="D55" s="27">
        <v>7.39</v>
      </c>
      <c r="E55" s="27">
        <v>7.39</v>
      </c>
      <c r="F55" s="27">
        <v>7.39</v>
      </c>
      <c r="G55" s="27">
        <v>7.39</v>
      </c>
      <c r="H55" s="27">
        <v>7.39</v>
      </c>
      <c r="I55" s="27">
        <v>7.39</v>
      </c>
      <c r="J55" s="27">
        <v>7.39</v>
      </c>
      <c r="K55" s="27">
        <v>7.09</v>
      </c>
      <c r="L55" s="27">
        <v>6.85</v>
      </c>
      <c r="M55" s="27">
        <v>6.86</v>
      </c>
      <c r="N55" s="44">
        <v>6.87</v>
      </c>
      <c r="O55" s="27">
        <v>6.89</v>
      </c>
      <c r="P55" s="27">
        <v>6.89</v>
      </c>
      <c r="Q55" s="27">
        <v>6.9</v>
      </c>
      <c r="R55" s="27">
        <v>6.9</v>
      </c>
      <c r="S55" s="27">
        <v>6.91</v>
      </c>
      <c r="T55" s="27">
        <v>6.91</v>
      </c>
      <c r="U55" s="27">
        <v>6.92</v>
      </c>
      <c r="V55" s="27">
        <v>6.92</v>
      </c>
      <c r="W55">
        <v>6.93</v>
      </c>
      <c r="X55">
        <v>6.94</v>
      </c>
      <c r="Y55">
        <v>6.94</v>
      </c>
      <c r="Z55">
        <v>6.95</v>
      </c>
      <c r="AA55">
        <v>7.07</v>
      </c>
    </row>
    <row r="56" spans="1:27">
      <c r="A56" t="s">
        <v>101</v>
      </c>
      <c r="B56">
        <v>710308</v>
      </c>
      <c r="C56" s="27">
        <v>7.58</v>
      </c>
      <c r="D56" s="27">
        <v>7.58</v>
      </c>
      <c r="E56" s="27">
        <v>7.58</v>
      </c>
      <c r="F56" s="27">
        <v>7.58</v>
      </c>
      <c r="G56" s="27">
        <v>7.58</v>
      </c>
      <c r="H56" s="27">
        <v>7.58</v>
      </c>
      <c r="I56" s="27">
        <v>7.58</v>
      </c>
      <c r="J56" s="27">
        <v>7.58</v>
      </c>
      <c r="K56" s="27">
        <v>7.28</v>
      </c>
      <c r="L56" s="27">
        <v>7.04</v>
      </c>
      <c r="M56" s="27">
        <v>7.05</v>
      </c>
      <c r="N56" s="44">
        <v>7.06</v>
      </c>
      <c r="O56" s="27">
        <v>7.08</v>
      </c>
      <c r="P56" s="27">
        <v>7.08</v>
      </c>
      <c r="Q56" s="27">
        <v>7.09</v>
      </c>
      <c r="R56" s="27">
        <v>7.09</v>
      </c>
      <c r="S56" s="27">
        <v>7.1</v>
      </c>
      <c r="T56" s="27">
        <v>7.1</v>
      </c>
      <c r="U56" s="27">
        <v>7.11</v>
      </c>
      <c r="V56" s="27">
        <v>7.11</v>
      </c>
      <c r="W56">
        <v>7.12</v>
      </c>
      <c r="X56">
        <v>7.13</v>
      </c>
      <c r="Y56">
        <v>7.13</v>
      </c>
      <c r="Z56">
        <v>7.14</v>
      </c>
      <c r="AA56">
        <v>7.26</v>
      </c>
    </row>
    <row r="57" spans="1:27">
      <c r="A57" t="s">
        <v>946</v>
      </c>
      <c r="B57">
        <v>710311</v>
      </c>
      <c r="C57" s="27">
        <v>7.58</v>
      </c>
      <c r="D57" s="27">
        <v>7.58</v>
      </c>
      <c r="E57" s="27">
        <v>7.58</v>
      </c>
      <c r="F57" s="27">
        <v>7.58</v>
      </c>
      <c r="G57" s="27">
        <v>7.58</v>
      </c>
      <c r="H57" s="27">
        <v>7.58</v>
      </c>
      <c r="I57" s="27">
        <v>7.58</v>
      </c>
      <c r="J57" s="27">
        <v>7.58</v>
      </c>
      <c r="K57" s="27">
        <v>7.28</v>
      </c>
      <c r="L57" s="27">
        <v>7.04</v>
      </c>
      <c r="M57" s="27">
        <v>7.05</v>
      </c>
      <c r="N57" s="44">
        <v>7.06</v>
      </c>
      <c r="O57" s="27">
        <v>7.08</v>
      </c>
      <c r="P57" s="27">
        <v>7.08</v>
      </c>
      <c r="Q57" s="27">
        <v>7.09</v>
      </c>
      <c r="R57" s="27">
        <v>7.09</v>
      </c>
      <c r="S57" s="27">
        <v>7.1</v>
      </c>
      <c r="T57" s="27">
        <v>7.1</v>
      </c>
      <c r="U57" s="27">
        <v>7.11</v>
      </c>
      <c r="V57" s="27">
        <v>7.11</v>
      </c>
      <c r="W57">
        <v>7.12</v>
      </c>
      <c r="X57">
        <v>7.13</v>
      </c>
      <c r="Y57">
        <v>7.13</v>
      </c>
      <c r="Z57">
        <v>7.14</v>
      </c>
      <c r="AA57">
        <v>7.26</v>
      </c>
    </row>
    <row r="58" spans="1:27">
      <c r="A58" t="s">
        <v>104</v>
      </c>
      <c r="B58">
        <v>710317</v>
      </c>
      <c r="C58" s="27">
        <v>7.58</v>
      </c>
      <c r="D58" s="27">
        <v>7.58</v>
      </c>
      <c r="E58" s="27">
        <v>7.58</v>
      </c>
      <c r="F58" s="27">
        <v>7.58</v>
      </c>
      <c r="G58" s="27">
        <v>7.58</v>
      </c>
      <c r="H58" s="27">
        <v>7.58</v>
      </c>
      <c r="I58" s="27">
        <v>7.58</v>
      </c>
      <c r="J58" s="27">
        <v>7.58</v>
      </c>
      <c r="K58" s="27">
        <v>7.28</v>
      </c>
      <c r="L58" s="27">
        <v>7.04</v>
      </c>
      <c r="M58" s="27">
        <v>7.05</v>
      </c>
      <c r="N58" s="44">
        <v>7.06</v>
      </c>
      <c r="O58" s="27">
        <v>7.08</v>
      </c>
      <c r="P58" s="27">
        <v>7.08</v>
      </c>
      <c r="Q58" s="27">
        <v>7.09</v>
      </c>
      <c r="R58" s="27">
        <v>7.09</v>
      </c>
      <c r="S58" s="27">
        <v>7.1</v>
      </c>
      <c r="T58" s="27">
        <v>7.1</v>
      </c>
      <c r="U58" s="27">
        <v>7.11</v>
      </c>
      <c r="V58" s="27">
        <v>7.11</v>
      </c>
      <c r="W58">
        <v>7.12</v>
      </c>
      <c r="X58">
        <v>7.13</v>
      </c>
      <c r="Y58">
        <v>7.13</v>
      </c>
      <c r="Z58">
        <v>7.14</v>
      </c>
      <c r="AA58">
        <v>7.26</v>
      </c>
    </row>
    <row r="59" spans="1:27">
      <c r="A59" t="s">
        <v>106</v>
      </c>
      <c r="B59">
        <v>710310</v>
      </c>
      <c r="C59" s="27">
        <v>0</v>
      </c>
      <c r="D59" s="27">
        <v>0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2.4</v>
      </c>
      <c r="L59" s="27">
        <v>2.4</v>
      </c>
      <c r="M59" s="27">
        <v>2.4</v>
      </c>
      <c r="N59" s="44">
        <v>2.4</v>
      </c>
      <c r="O59" s="27">
        <v>2.4</v>
      </c>
      <c r="P59" s="27">
        <v>2.4</v>
      </c>
      <c r="Q59" s="27">
        <v>2.4</v>
      </c>
      <c r="R59" s="27">
        <v>2.4</v>
      </c>
      <c r="S59" s="27">
        <v>2.4</v>
      </c>
      <c r="T59" s="27">
        <v>2.4</v>
      </c>
      <c r="U59" s="27">
        <v>2.4</v>
      </c>
      <c r="V59" s="27">
        <v>2.4</v>
      </c>
      <c r="W59">
        <v>2.4</v>
      </c>
      <c r="X59">
        <v>2.4</v>
      </c>
      <c r="Y59">
        <v>2.4</v>
      </c>
      <c r="Z59">
        <v>2.4</v>
      </c>
      <c r="AA59">
        <v>1.6</v>
      </c>
    </row>
    <row r="60" spans="1:27">
      <c r="A60" t="s">
        <v>107</v>
      </c>
      <c r="B60">
        <v>710312</v>
      </c>
      <c r="C60" s="27">
        <v>7.75</v>
      </c>
      <c r="D60" s="27">
        <v>7.75</v>
      </c>
      <c r="E60" s="27">
        <v>7.75</v>
      </c>
      <c r="F60" s="27">
        <v>7.75</v>
      </c>
      <c r="G60" s="27">
        <v>7.75</v>
      </c>
      <c r="H60" s="27">
        <v>7.75</v>
      </c>
      <c r="I60" s="27">
        <v>7.75</v>
      </c>
      <c r="J60" s="27">
        <v>7.75</v>
      </c>
      <c r="K60" s="27">
        <v>7.45</v>
      </c>
      <c r="L60" s="27">
        <v>7.21</v>
      </c>
      <c r="M60" s="27">
        <v>7.22</v>
      </c>
      <c r="N60" s="44">
        <v>7.23</v>
      </c>
      <c r="O60" s="27">
        <v>7.25</v>
      </c>
      <c r="P60" s="27">
        <v>7.25</v>
      </c>
      <c r="Q60" s="27">
        <v>7.26</v>
      </c>
      <c r="R60" s="27">
        <v>7.26</v>
      </c>
      <c r="S60" s="27">
        <v>7.27</v>
      </c>
      <c r="T60" s="27">
        <v>7.27</v>
      </c>
      <c r="U60" s="27">
        <v>7.28</v>
      </c>
      <c r="V60" s="27">
        <v>7.28</v>
      </c>
      <c r="W60">
        <v>7.29</v>
      </c>
      <c r="X60">
        <v>7.3</v>
      </c>
      <c r="Y60">
        <v>7.3</v>
      </c>
      <c r="Z60">
        <v>7.31</v>
      </c>
      <c r="AA60">
        <v>7.43</v>
      </c>
    </row>
    <row r="61" spans="1:27">
      <c r="A61" t="s">
        <v>947</v>
      </c>
      <c r="B61">
        <v>710313</v>
      </c>
      <c r="C61" s="27">
        <v>7.75</v>
      </c>
      <c r="D61" s="27">
        <v>7.75</v>
      </c>
      <c r="E61" s="27">
        <v>7.75</v>
      </c>
      <c r="F61" s="27">
        <v>7.75</v>
      </c>
      <c r="G61" s="27">
        <v>7.75</v>
      </c>
      <c r="H61" s="27">
        <v>7.75</v>
      </c>
      <c r="I61" s="27">
        <v>7.75</v>
      </c>
      <c r="J61" s="27">
        <v>7.75</v>
      </c>
      <c r="K61" s="27">
        <v>7.86</v>
      </c>
      <c r="L61" s="27">
        <v>7.81</v>
      </c>
      <c r="M61" s="27">
        <v>7.81</v>
      </c>
      <c r="N61" s="44">
        <v>7.81</v>
      </c>
      <c r="O61" s="27">
        <v>7.81</v>
      </c>
      <c r="P61" s="27">
        <v>7.81</v>
      </c>
      <c r="Q61" s="27">
        <v>7.81</v>
      </c>
      <c r="R61" s="27">
        <v>7.81</v>
      </c>
      <c r="S61" s="27">
        <v>7.81</v>
      </c>
      <c r="T61" s="27">
        <v>7.81</v>
      </c>
      <c r="U61" s="27">
        <v>7.81</v>
      </c>
      <c r="V61" s="27">
        <v>7.81</v>
      </c>
      <c r="W61">
        <v>7.81</v>
      </c>
      <c r="X61">
        <v>7.81</v>
      </c>
      <c r="Y61">
        <v>7.81</v>
      </c>
      <c r="Z61">
        <v>7.81</v>
      </c>
      <c r="AA61">
        <v>7.79</v>
      </c>
    </row>
    <row r="62" spans="1:27">
      <c r="A62" t="s">
        <v>109</v>
      </c>
      <c r="B62">
        <v>710318</v>
      </c>
      <c r="C62" s="27">
        <v>7.75</v>
      </c>
      <c r="D62" s="27">
        <v>7.75</v>
      </c>
      <c r="E62" s="27">
        <v>7.75</v>
      </c>
      <c r="F62" s="27">
        <v>7.75</v>
      </c>
      <c r="G62" s="27">
        <v>7.75</v>
      </c>
      <c r="H62" s="27">
        <v>7.75</v>
      </c>
      <c r="I62" s="27">
        <v>7.75</v>
      </c>
      <c r="J62" s="27">
        <v>7.75</v>
      </c>
      <c r="K62" s="27">
        <v>7.86</v>
      </c>
      <c r="L62" s="27">
        <v>7.81</v>
      </c>
      <c r="M62" s="27">
        <v>7.81</v>
      </c>
      <c r="N62" s="44">
        <v>7.81</v>
      </c>
      <c r="O62" s="27">
        <v>7.81</v>
      </c>
      <c r="P62" s="27">
        <v>7.81</v>
      </c>
      <c r="Q62" s="27">
        <v>7.81</v>
      </c>
      <c r="R62" s="27">
        <v>7.81</v>
      </c>
      <c r="S62" s="27">
        <v>7.81</v>
      </c>
      <c r="T62" s="27">
        <v>7.81</v>
      </c>
      <c r="U62" s="27">
        <v>7.81</v>
      </c>
      <c r="V62" s="27">
        <v>7.81</v>
      </c>
      <c r="W62">
        <v>7.81</v>
      </c>
      <c r="X62">
        <v>7.81</v>
      </c>
      <c r="Y62">
        <v>7.81</v>
      </c>
      <c r="Z62">
        <v>7.81</v>
      </c>
      <c r="AA62">
        <v>7.79</v>
      </c>
    </row>
    <row r="63" spans="1:27">
      <c r="A63" t="s">
        <v>948</v>
      </c>
      <c r="B63">
        <v>710335</v>
      </c>
      <c r="C63" s="27">
        <v>6.64</v>
      </c>
      <c r="D63" s="27">
        <v>6.64</v>
      </c>
      <c r="E63" s="27">
        <v>6.64</v>
      </c>
      <c r="F63" s="27">
        <v>6.64</v>
      </c>
      <c r="G63" s="27">
        <v>6.64</v>
      </c>
      <c r="H63" s="27">
        <v>6.64</v>
      </c>
      <c r="I63" s="27">
        <v>6.64</v>
      </c>
      <c r="J63" s="27">
        <v>6.64</v>
      </c>
      <c r="K63" s="27">
        <v>7.42</v>
      </c>
      <c r="L63" s="27">
        <v>7.36</v>
      </c>
      <c r="M63" s="27">
        <v>7.36</v>
      </c>
      <c r="N63" s="44">
        <v>7.36</v>
      </c>
      <c r="O63" s="27">
        <v>7.36</v>
      </c>
      <c r="P63" s="27">
        <v>7.36</v>
      </c>
      <c r="Q63" s="27">
        <v>7.36</v>
      </c>
      <c r="R63" s="27">
        <v>7.36</v>
      </c>
      <c r="S63" s="27">
        <v>7.36</v>
      </c>
      <c r="T63" s="27">
        <v>7.36</v>
      </c>
      <c r="U63" s="27">
        <v>7.36</v>
      </c>
      <c r="V63" s="27">
        <v>7.36</v>
      </c>
      <c r="W63">
        <v>7.36</v>
      </c>
      <c r="X63">
        <v>7.36</v>
      </c>
      <c r="Y63">
        <v>7.36</v>
      </c>
      <c r="Z63">
        <v>7.36</v>
      </c>
      <c r="AA63">
        <v>7.12</v>
      </c>
    </row>
    <row r="64" spans="1:27">
      <c r="A64" t="s">
        <v>114</v>
      </c>
      <c r="B64">
        <v>710322</v>
      </c>
      <c r="C64" s="27">
        <v>2.2000000000000002</v>
      </c>
      <c r="D64" s="27">
        <v>2.2000000000000002</v>
      </c>
      <c r="E64" s="27">
        <v>2.2000000000000002</v>
      </c>
      <c r="F64" s="27">
        <v>2.2000000000000002</v>
      </c>
      <c r="G64" s="27">
        <v>2.2000000000000002</v>
      </c>
      <c r="H64" s="27">
        <v>2.2000000000000002</v>
      </c>
      <c r="I64" s="27">
        <v>2.2000000000000002</v>
      </c>
      <c r="J64" s="27">
        <v>2.2000000000000002</v>
      </c>
      <c r="K64" s="27">
        <v>2.2000000000000002</v>
      </c>
      <c r="L64" s="27">
        <v>2.2000000000000002</v>
      </c>
      <c r="M64" s="27">
        <v>2.2000000000000002</v>
      </c>
      <c r="N64" s="44">
        <v>2.2000000000000002</v>
      </c>
      <c r="O64" s="27">
        <v>2.2000000000000002</v>
      </c>
      <c r="P64" s="27">
        <v>2.2000000000000002</v>
      </c>
      <c r="Q64" s="27">
        <v>2.2000000000000002</v>
      </c>
      <c r="R64" s="27">
        <v>2.2000000000000002</v>
      </c>
      <c r="S64" s="27">
        <v>2.2000000000000002</v>
      </c>
      <c r="T64" s="27">
        <v>2.2000000000000002</v>
      </c>
      <c r="U64" s="27">
        <v>2.2000000000000002</v>
      </c>
      <c r="V64" s="27">
        <v>2.2000000000000002</v>
      </c>
      <c r="W64">
        <v>2.2000000000000002</v>
      </c>
      <c r="X64">
        <v>2.2000000000000002</v>
      </c>
      <c r="Y64">
        <v>2.2000000000000002</v>
      </c>
      <c r="Z64">
        <v>2.2000000000000002</v>
      </c>
      <c r="AA64">
        <v>2.2000000000000002</v>
      </c>
    </row>
    <row r="65" spans="1:27">
      <c r="A65" t="s">
        <v>115</v>
      </c>
      <c r="B65">
        <v>710324</v>
      </c>
      <c r="C65" s="27">
        <v>2.2999999999999998</v>
      </c>
      <c r="D65" s="27">
        <v>2.2999999999999998</v>
      </c>
      <c r="E65" s="27">
        <v>2.2999999999999998</v>
      </c>
      <c r="F65" s="27">
        <v>2.2999999999999998</v>
      </c>
      <c r="G65" s="27">
        <v>2.2999999999999998</v>
      </c>
      <c r="H65" s="27">
        <v>2.2999999999999998</v>
      </c>
      <c r="I65" s="27">
        <v>2.2999999999999998</v>
      </c>
      <c r="J65" s="27">
        <v>2.2999999999999998</v>
      </c>
      <c r="K65" s="27">
        <v>2.2999999999999998</v>
      </c>
      <c r="L65" s="27">
        <v>2.2999999999999998</v>
      </c>
      <c r="M65" s="27">
        <v>2.2999999999999998</v>
      </c>
      <c r="N65" s="44">
        <v>2.2999999999999998</v>
      </c>
      <c r="O65" s="27">
        <v>2.2999999999999998</v>
      </c>
      <c r="P65" s="27">
        <v>2.2999999999999998</v>
      </c>
      <c r="Q65" s="27">
        <v>2.2999999999999998</v>
      </c>
      <c r="R65" s="27">
        <v>2.2999999999999998</v>
      </c>
      <c r="S65" s="27">
        <v>2.2999999999999998</v>
      </c>
      <c r="T65" s="27">
        <v>2.2999999999999998</v>
      </c>
      <c r="U65" s="27">
        <v>2.2999999999999998</v>
      </c>
      <c r="V65" s="27">
        <v>2.2999999999999998</v>
      </c>
      <c r="W65">
        <v>2.2999999999999998</v>
      </c>
      <c r="X65">
        <v>2.2999999999999998</v>
      </c>
      <c r="Y65">
        <v>2.2999999999999998</v>
      </c>
      <c r="Z65">
        <v>2.2999999999999998</v>
      </c>
      <c r="AA65">
        <v>2.2999999999999998</v>
      </c>
    </row>
    <row r="66" spans="1:27">
      <c r="A66" t="s">
        <v>116</v>
      </c>
      <c r="B66">
        <v>710326</v>
      </c>
      <c r="C66" s="27">
        <v>2.4</v>
      </c>
      <c r="D66" s="27">
        <v>2.4</v>
      </c>
      <c r="E66" s="27">
        <v>2.4</v>
      </c>
      <c r="F66" s="27">
        <v>2.4</v>
      </c>
      <c r="G66" s="27">
        <v>2.4</v>
      </c>
      <c r="H66" s="27">
        <v>2.4</v>
      </c>
      <c r="I66" s="27">
        <v>2.4</v>
      </c>
      <c r="J66" s="27">
        <v>2.4</v>
      </c>
      <c r="K66" s="27">
        <v>2.4</v>
      </c>
      <c r="L66" s="27">
        <v>2.4</v>
      </c>
      <c r="M66" s="27">
        <v>2.4</v>
      </c>
      <c r="N66" s="44">
        <v>2.4</v>
      </c>
      <c r="O66" s="27">
        <v>2.4</v>
      </c>
      <c r="P66" s="27">
        <v>2.4</v>
      </c>
      <c r="Q66" s="27">
        <v>2.4</v>
      </c>
      <c r="R66" s="27">
        <v>2.4</v>
      </c>
      <c r="S66" s="27">
        <v>2.4</v>
      </c>
      <c r="T66" s="27">
        <v>2.4</v>
      </c>
      <c r="U66" s="27">
        <v>2.4</v>
      </c>
      <c r="V66" s="27">
        <v>2.4</v>
      </c>
      <c r="W66">
        <v>2.4</v>
      </c>
      <c r="X66">
        <v>2.4</v>
      </c>
      <c r="Y66">
        <v>2.4</v>
      </c>
      <c r="Z66">
        <v>2.4</v>
      </c>
      <c r="AA66">
        <v>2.4</v>
      </c>
    </row>
    <row r="67" spans="1:27">
      <c r="A67" t="s">
        <v>949</v>
      </c>
      <c r="B67">
        <v>710327</v>
      </c>
      <c r="C67" s="27">
        <v>2.5</v>
      </c>
      <c r="D67" s="27">
        <v>2.5</v>
      </c>
      <c r="E67" s="27">
        <v>2.5</v>
      </c>
      <c r="F67" s="27">
        <v>2.5</v>
      </c>
      <c r="G67" s="27">
        <v>2.5</v>
      </c>
      <c r="H67" s="27">
        <v>2.5</v>
      </c>
      <c r="I67" s="27">
        <v>2.5</v>
      </c>
      <c r="J67" s="27">
        <v>2.5</v>
      </c>
      <c r="K67" s="27">
        <v>0</v>
      </c>
      <c r="L67" s="27">
        <v>0</v>
      </c>
      <c r="M67" s="27">
        <v>0</v>
      </c>
      <c r="N67" s="44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  <c r="V67" s="27">
        <v>0</v>
      </c>
      <c r="W67">
        <v>0</v>
      </c>
      <c r="X67">
        <v>0</v>
      </c>
      <c r="Y67">
        <v>0</v>
      </c>
      <c r="Z67">
        <v>0</v>
      </c>
      <c r="AA67">
        <v>0.83</v>
      </c>
    </row>
    <row r="68" spans="1:27">
      <c r="A68" t="s">
        <v>118</v>
      </c>
      <c r="B68">
        <v>710328</v>
      </c>
      <c r="C68" s="27">
        <v>0</v>
      </c>
      <c r="D68" s="27">
        <v>0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7">
        <v>2.5</v>
      </c>
      <c r="L68" s="27">
        <v>2.5</v>
      </c>
      <c r="M68" s="27">
        <v>2.5</v>
      </c>
      <c r="N68" s="44">
        <v>2.5</v>
      </c>
      <c r="O68" s="27">
        <v>2.5</v>
      </c>
      <c r="P68" s="27">
        <v>2.5</v>
      </c>
      <c r="Q68" s="27">
        <v>2.5</v>
      </c>
      <c r="R68" s="27">
        <v>2.5</v>
      </c>
      <c r="S68" s="27">
        <v>2.5</v>
      </c>
      <c r="T68" s="27">
        <v>2.5</v>
      </c>
      <c r="U68" s="27">
        <v>2.5</v>
      </c>
      <c r="V68" s="27">
        <v>2.5</v>
      </c>
      <c r="W68">
        <v>2.5</v>
      </c>
      <c r="X68">
        <v>2.5</v>
      </c>
      <c r="Y68">
        <v>2.5</v>
      </c>
      <c r="Z68">
        <v>2.5</v>
      </c>
      <c r="AA68">
        <v>1.67</v>
      </c>
    </row>
    <row r="69" spans="1:27">
      <c r="A69" t="s">
        <v>950</v>
      </c>
      <c r="B69">
        <v>710330</v>
      </c>
      <c r="C69" s="27">
        <v>2.2000000000000002</v>
      </c>
      <c r="D69" s="27">
        <v>2.2000000000000002</v>
      </c>
      <c r="E69" s="27">
        <v>2.2000000000000002</v>
      </c>
      <c r="F69" s="27">
        <v>2.2000000000000002</v>
      </c>
      <c r="G69" s="27">
        <v>2.2000000000000002</v>
      </c>
      <c r="H69" s="27">
        <v>2.2000000000000002</v>
      </c>
      <c r="I69" s="27">
        <v>2.2000000000000002</v>
      </c>
      <c r="J69" s="27">
        <v>2.2000000000000002</v>
      </c>
      <c r="K69" s="27">
        <v>2.2000000000000002</v>
      </c>
      <c r="L69" s="27">
        <v>2.2000000000000002</v>
      </c>
      <c r="M69" s="27">
        <v>2.2000000000000002</v>
      </c>
      <c r="N69" s="44">
        <v>2.2000000000000002</v>
      </c>
      <c r="O69" s="27">
        <v>2.2000000000000002</v>
      </c>
      <c r="P69" s="27">
        <v>2.2000000000000002</v>
      </c>
      <c r="Q69" s="27">
        <v>2.2000000000000002</v>
      </c>
      <c r="R69" s="27">
        <v>2.2000000000000002</v>
      </c>
      <c r="S69" s="27">
        <v>2.2000000000000002</v>
      </c>
      <c r="T69" s="27">
        <v>2.2000000000000002</v>
      </c>
      <c r="U69" s="27">
        <v>2.2000000000000002</v>
      </c>
      <c r="V69" s="27">
        <v>2.2000000000000002</v>
      </c>
      <c r="W69">
        <v>2.2000000000000002</v>
      </c>
      <c r="X69">
        <v>2.2000000000000002</v>
      </c>
      <c r="Y69">
        <v>2.2000000000000002</v>
      </c>
      <c r="Z69">
        <v>2.2000000000000002</v>
      </c>
      <c r="AA69">
        <v>2.2000000000000002</v>
      </c>
    </row>
    <row r="70" spans="1:27">
      <c r="A70" t="s">
        <v>951</v>
      </c>
      <c r="B70">
        <v>710332</v>
      </c>
      <c r="C70" s="27">
        <v>2.2999999999999998</v>
      </c>
      <c r="D70" s="27">
        <v>2.2999999999999998</v>
      </c>
      <c r="E70" s="27">
        <v>2.2999999999999998</v>
      </c>
      <c r="F70" s="27">
        <v>2.2999999999999998</v>
      </c>
      <c r="G70" s="27">
        <v>2.2999999999999998</v>
      </c>
      <c r="H70" s="27">
        <v>2.2999999999999998</v>
      </c>
      <c r="I70" s="27">
        <v>2.2999999999999998</v>
      </c>
      <c r="J70" s="27">
        <v>2.2999999999999998</v>
      </c>
      <c r="K70" s="27">
        <v>2.2999999999999998</v>
      </c>
      <c r="L70" s="27">
        <v>2.2999999999999998</v>
      </c>
      <c r="M70" s="27">
        <v>2.2999999999999998</v>
      </c>
      <c r="N70" s="44">
        <v>2.2999999999999998</v>
      </c>
      <c r="O70" s="27">
        <v>2.2999999999999998</v>
      </c>
      <c r="P70" s="27">
        <v>2.2999999999999998</v>
      </c>
      <c r="Q70" s="27">
        <v>2.2999999999999998</v>
      </c>
      <c r="R70" s="27">
        <v>2.2999999999999998</v>
      </c>
      <c r="S70" s="27">
        <v>2.2999999999999998</v>
      </c>
      <c r="T70" s="27">
        <v>2.2999999999999998</v>
      </c>
      <c r="U70" s="27">
        <v>2.2999999999999998</v>
      </c>
      <c r="V70" s="27">
        <v>2.2999999999999998</v>
      </c>
      <c r="W70">
        <v>2.2999999999999998</v>
      </c>
      <c r="X70">
        <v>2.2999999999999998</v>
      </c>
      <c r="Y70">
        <v>2.2999999999999998</v>
      </c>
      <c r="Z70">
        <v>2.2999999999999998</v>
      </c>
      <c r="AA70">
        <v>2.2999999999999998</v>
      </c>
    </row>
    <row r="71" spans="1:27">
      <c r="A71" t="s">
        <v>952</v>
      </c>
      <c r="B71">
        <v>710334</v>
      </c>
      <c r="C71" s="27">
        <v>2.4</v>
      </c>
      <c r="D71" s="27">
        <v>2.4</v>
      </c>
      <c r="E71" s="27">
        <v>2.4</v>
      </c>
      <c r="F71" s="27">
        <v>2.4</v>
      </c>
      <c r="G71" s="27">
        <v>2.4</v>
      </c>
      <c r="H71" s="27">
        <v>2.4</v>
      </c>
      <c r="I71" s="27">
        <v>2.4</v>
      </c>
      <c r="J71" s="27">
        <v>2.4</v>
      </c>
      <c r="K71" s="27">
        <v>2.4</v>
      </c>
      <c r="L71" s="27">
        <v>2.4</v>
      </c>
      <c r="M71" s="27">
        <v>2.4</v>
      </c>
      <c r="N71" s="44">
        <v>2.4</v>
      </c>
      <c r="O71" s="27">
        <v>2.4</v>
      </c>
      <c r="P71" s="27">
        <v>2.4</v>
      </c>
      <c r="Q71" s="27">
        <v>2.4</v>
      </c>
      <c r="R71" s="27">
        <v>2.4</v>
      </c>
      <c r="S71" s="27">
        <v>2.4</v>
      </c>
      <c r="T71" s="27">
        <v>2.4</v>
      </c>
      <c r="U71" s="27">
        <v>2.4</v>
      </c>
      <c r="V71" s="27">
        <v>2.4</v>
      </c>
      <c r="W71">
        <v>2.4</v>
      </c>
      <c r="X71">
        <v>2.4</v>
      </c>
      <c r="Y71">
        <v>2.4</v>
      </c>
      <c r="Z71">
        <v>2.4</v>
      </c>
      <c r="AA71">
        <v>2.4</v>
      </c>
    </row>
    <row r="72" spans="1:27">
      <c r="A72" t="s">
        <v>953</v>
      </c>
      <c r="B72">
        <v>710320</v>
      </c>
      <c r="C72" s="27">
        <v>5</v>
      </c>
      <c r="D72" s="27">
        <v>5</v>
      </c>
      <c r="E72" s="27">
        <v>5</v>
      </c>
      <c r="F72" s="27">
        <v>5</v>
      </c>
      <c r="G72" s="27">
        <v>5</v>
      </c>
      <c r="H72" s="27">
        <v>5</v>
      </c>
      <c r="I72" s="27">
        <v>5</v>
      </c>
      <c r="J72" s="27">
        <v>5</v>
      </c>
      <c r="K72" s="27">
        <v>5</v>
      </c>
      <c r="L72" s="27">
        <v>5</v>
      </c>
      <c r="M72" s="27">
        <v>5</v>
      </c>
      <c r="N72" s="44">
        <v>5</v>
      </c>
      <c r="O72" s="27">
        <v>5</v>
      </c>
      <c r="P72" s="27">
        <v>5</v>
      </c>
      <c r="Q72" s="27">
        <v>5</v>
      </c>
      <c r="R72" s="27">
        <v>5</v>
      </c>
      <c r="S72" s="27">
        <v>5</v>
      </c>
      <c r="T72" s="27">
        <v>5</v>
      </c>
      <c r="U72" s="27">
        <v>5</v>
      </c>
      <c r="V72" s="27">
        <v>5</v>
      </c>
      <c r="W72">
        <v>5</v>
      </c>
      <c r="X72">
        <v>5</v>
      </c>
      <c r="Y72">
        <v>5</v>
      </c>
      <c r="Z72">
        <v>5</v>
      </c>
      <c r="AA72">
        <v>5</v>
      </c>
    </row>
    <row r="73" spans="1:27">
      <c r="A73" t="s">
        <v>954</v>
      </c>
      <c r="B73">
        <v>710336</v>
      </c>
      <c r="C73" s="27">
        <v>2.4</v>
      </c>
      <c r="D73" s="27">
        <v>2.4</v>
      </c>
      <c r="E73" s="27">
        <v>2.4</v>
      </c>
      <c r="F73" s="27">
        <v>2.4</v>
      </c>
      <c r="G73" s="27">
        <v>2.4</v>
      </c>
      <c r="H73" s="27">
        <v>2.4</v>
      </c>
      <c r="I73" s="27">
        <v>2.4</v>
      </c>
      <c r="J73" s="27">
        <v>2.4</v>
      </c>
      <c r="K73" s="27">
        <v>2.4</v>
      </c>
      <c r="L73" s="27">
        <v>2.4</v>
      </c>
      <c r="M73" s="27">
        <v>2.4</v>
      </c>
      <c r="N73" s="44">
        <v>2.4</v>
      </c>
      <c r="O73" s="27">
        <v>2.4</v>
      </c>
      <c r="P73" s="27">
        <v>2.4</v>
      </c>
      <c r="Q73" s="27">
        <v>2.4</v>
      </c>
      <c r="R73" s="27">
        <v>2.4</v>
      </c>
      <c r="S73" s="27">
        <v>2.4</v>
      </c>
      <c r="T73" s="27">
        <v>2.4</v>
      </c>
      <c r="U73" s="27">
        <v>2.4</v>
      </c>
      <c r="V73" s="27">
        <v>2.4</v>
      </c>
      <c r="W73">
        <v>2.4</v>
      </c>
      <c r="X73">
        <v>2.4</v>
      </c>
      <c r="Y73">
        <v>2.4</v>
      </c>
      <c r="Z73">
        <v>2.4</v>
      </c>
      <c r="AA73">
        <v>2.4</v>
      </c>
    </row>
    <row r="74" spans="1:27">
      <c r="A74" t="s">
        <v>128</v>
      </c>
      <c r="B74">
        <v>710338</v>
      </c>
      <c r="C74" s="27">
        <v>5.43</v>
      </c>
      <c r="D74" s="27">
        <v>5.43</v>
      </c>
      <c r="E74" s="27">
        <v>5.43</v>
      </c>
      <c r="F74" s="27">
        <v>5.43</v>
      </c>
      <c r="G74" s="27">
        <v>5.43</v>
      </c>
      <c r="H74" s="27">
        <v>5.43</v>
      </c>
      <c r="I74" s="27">
        <v>5.43</v>
      </c>
      <c r="J74" s="27">
        <v>5.43</v>
      </c>
      <c r="K74" s="27">
        <v>5.43</v>
      </c>
      <c r="L74" s="27">
        <v>5.43</v>
      </c>
      <c r="M74" s="27">
        <v>5.43</v>
      </c>
      <c r="N74" s="44">
        <v>5.43</v>
      </c>
      <c r="O74" s="27">
        <v>5.43</v>
      </c>
      <c r="P74" s="27">
        <v>5.43</v>
      </c>
      <c r="Q74" s="27">
        <v>5.43</v>
      </c>
      <c r="R74" s="27">
        <v>5.43</v>
      </c>
      <c r="S74" s="27">
        <v>5.43</v>
      </c>
      <c r="T74" s="27">
        <v>5.43</v>
      </c>
      <c r="U74" s="27">
        <v>5.43</v>
      </c>
      <c r="V74" s="27">
        <v>5.43</v>
      </c>
      <c r="W74">
        <v>5.43</v>
      </c>
      <c r="X74">
        <v>5.43</v>
      </c>
      <c r="Y74">
        <v>5.43</v>
      </c>
      <c r="Z74">
        <v>5.43</v>
      </c>
      <c r="AA74">
        <v>5.43</v>
      </c>
    </row>
    <row r="75" spans="1:27">
      <c r="A75" t="s">
        <v>12</v>
      </c>
      <c r="B75" t="s">
        <v>12</v>
      </c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44"/>
      <c r="O75" s="27"/>
      <c r="P75" s="27"/>
      <c r="Q75" s="27"/>
      <c r="R75" s="27"/>
      <c r="S75" s="27"/>
      <c r="T75" s="27"/>
      <c r="U75" s="27"/>
      <c r="V75" s="27"/>
    </row>
    <row r="76" spans="1:27">
      <c r="A76" t="s">
        <v>955</v>
      </c>
      <c r="C76" s="27">
        <v>7.66</v>
      </c>
      <c r="D76" s="27">
        <v>7.66</v>
      </c>
      <c r="E76" s="27">
        <v>7.66</v>
      </c>
      <c r="F76" s="27">
        <v>7.66</v>
      </c>
      <c r="G76" s="27">
        <v>7.67</v>
      </c>
      <c r="H76" s="27">
        <v>7.67</v>
      </c>
      <c r="I76" s="27">
        <v>7.67</v>
      </c>
      <c r="J76" s="27">
        <v>7.67</v>
      </c>
      <c r="K76" s="27">
        <v>7.67</v>
      </c>
      <c r="L76" s="27">
        <v>7.58</v>
      </c>
      <c r="M76" s="27">
        <v>7.58</v>
      </c>
      <c r="N76" s="44">
        <v>7.58</v>
      </c>
      <c r="O76" s="27">
        <v>7.59</v>
      </c>
      <c r="P76" s="27">
        <v>7.59</v>
      </c>
      <c r="Q76" s="27">
        <v>7.59</v>
      </c>
      <c r="R76" s="27">
        <v>7.59</v>
      </c>
      <c r="S76" s="27">
        <v>7.59</v>
      </c>
      <c r="T76" s="27">
        <v>7.59</v>
      </c>
      <c r="U76" s="27">
        <v>7.59</v>
      </c>
      <c r="V76" s="27">
        <v>7.59</v>
      </c>
      <c r="W76">
        <v>7.6</v>
      </c>
      <c r="X76">
        <v>7.6</v>
      </c>
      <c r="Y76">
        <v>7.6</v>
      </c>
      <c r="Z76">
        <v>7.6</v>
      </c>
      <c r="AA76">
        <v>7.62</v>
      </c>
    </row>
    <row r="77" spans="1:27"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44"/>
      <c r="O77" s="27"/>
      <c r="P77" s="27"/>
      <c r="Q77" s="27"/>
      <c r="R77" s="27"/>
      <c r="S77" s="27"/>
      <c r="T77" s="27"/>
      <c r="U77" s="27"/>
      <c r="V77" s="27"/>
    </row>
    <row r="78" spans="1:27">
      <c r="A78" t="s">
        <v>133</v>
      </c>
      <c r="B78">
        <v>710340</v>
      </c>
      <c r="C78" s="27">
        <v>8.01</v>
      </c>
      <c r="D78" s="27">
        <v>8.01</v>
      </c>
      <c r="E78" s="27">
        <v>8.01</v>
      </c>
      <c r="F78" s="27">
        <v>8.01</v>
      </c>
      <c r="G78" s="27">
        <v>8.01</v>
      </c>
      <c r="H78" s="27">
        <v>8.01</v>
      </c>
      <c r="I78" s="27">
        <v>8.01</v>
      </c>
      <c r="J78" s="27">
        <v>8.01</v>
      </c>
      <c r="K78" s="27">
        <v>6.15</v>
      </c>
      <c r="L78" s="27">
        <v>5.7</v>
      </c>
      <c r="M78" s="27">
        <v>5.7</v>
      </c>
      <c r="N78" s="44">
        <v>5.71</v>
      </c>
      <c r="O78" s="27">
        <v>5.73</v>
      </c>
      <c r="P78" s="27">
        <v>5.73</v>
      </c>
      <c r="Q78" s="27">
        <v>5.73</v>
      </c>
      <c r="R78" s="27">
        <v>5.73</v>
      </c>
      <c r="S78" s="27">
        <v>5.74</v>
      </c>
      <c r="T78" s="27">
        <v>5.74</v>
      </c>
      <c r="U78" s="27">
        <v>5.75</v>
      </c>
      <c r="V78" s="27">
        <v>5.75</v>
      </c>
      <c r="W78">
        <v>5.76</v>
      </c>
      <c r="X78">
        <v>5.76</v>
      </c>
      <c r="Y78">
        <v>5.77</v>
      </c>
      <c r="Z78">
        <v>5.77</v>
      </c>
      <c r="AA78">
        <v>6.51</v>
      </c>
    </row>
    <row r="79" spans="1:27">
      <c r="A79" t="s">
        <v>956</v>
      </c>
      <c r="B79">
        <v>710341</v>
      </c>
      <c r="C79" s="27">
        <v>4.22</v>
      </c>
      <c r="D79" s="27">
        <v>4.22</v>
      </c>
      <c r="E79" s="27">
        <v>4.22</v>
      </c>
      <c r="F79" s="27">
        <v>4.22</v>
      </c>
      <c r="G79" s="27">
        <v>4.22</v>
      </c>
      <c r="H79" s="27">
        <v>4.22</v>
      </c>
      <c r="I79" s="27">
        <v>4.22</v>
      </c>
      <c r="J79" s="27">
        <v>4.22</v>
      </c>
      <c r="K79" s="27">
        <v>3.73</v>
      </c>
      <c r="L79" s="27">
        <v>3.45</v>
      </c>
      <c r="M79" s="27">
        <v>3.47</v>
      </c>
      <c r="N79" s="44">
        <v>3.48</v>
      </c>
      <c r="O79" s="27">
        <v>3.52</v>
      </c>
      <c r="P79" s="27">
        <v>3.52</v>
      </c>
      <c r="Q79" s="27">
        <v>3.53</v>
      </c>
      <c r="R79" s="27">
        <v>3.53</v>
      </c>
      <c r="S79" s="27">
        <v>3.54</v>
      </c>
      <c r="T79" s="27">
        <v>3.55</v>
      </c>
      <c r="U79" s="27">
        <v>3.56</v>
      </c>
      <c r="V79" s="27">
        <v>3.57</v>
      </c>
      <c r="W79">
        <v>3.58</v>
      </c>
      <c r="X79">
        <v>3.59</v>
      </c>
      <c r="Y79">
        <v>3.6</v>
      </c>
      <c r="Z79">
        <v>3.61</v>
      </c>
      <c r="AA79">
        <v>3.77</v>
      </c>
    </row>
    <row r="80" spans="1:27">
      <c r="A80" t="s">
        <v>957</v>
      </c>
      <c r="B80">
        <v>710342</v>
      </c>
      <c r="C80" s="27">
        <v>4.59</v>
      </c>
      <c r="D80" s="27">
        <v>4.59</v>
      </c>
      <c r="E80" s="27">
        <v>4.59</v>
      </c>
      <c r="F80" s="27">
        <v>4.59</v>
      </c>
      <c r="G80" s="27">
        <v>4.59</v>
      </c>
      <c r="H80" s="27">
        <v>4.59</v>
      </c>
      <c r="I80" s="27">
        <v>4.59</v>
      </c>
      <c r="J80" s="27">
        <v>4.59</v>
      </c>
      <c r="K80" s="27">
        <v>3.42</v>
      </c>
      <c r="L80" s="27">
        <v>2.99</v>
      </c>
      <c r="M80" s="27">
        <v>3.02</v>
      </c>
      <c r="N80" s="44">
        <v>3.05</v>
      </c>
      <c r="O80" s="27">
        <v>3.11</v>
      </c>
      <c r="P80" s="27">
        <v>3.12</v>
      </c>
      <c r="Q80" s="27">
        <v>3.14</v>
      </c>
      <c r="R80" s="27">
        <v>3.15</v>
      </c>
      <c r="S80" s="27">
        <v>3.16</v>
      </c>
      <c r="T80" s="27">
        <v>3.17</v>
      </c>
      <c r="U80" s="27">
        <v>3.19</v>
      </c>
      <c r="V80" s="27">
        <v>3.21</v>
      </c>
      <c r="W80">
        <v>3.23</v>
      </c>
      <c r="X80">
        <v>3.25</v>
      </c>
      <c r="Y80">
        <v>3.27</v>
      </c>
      <c r="Z80">
        <v>3.29</v>
      </c>
      <c r="AA80">
        <v>3.65</v>
      </c>
    </row>
    <row r="81" spans="1:27">
      <c r="A81" t="s">
        <v>137</v>
      </c>
      <c r="B81">
        <v>710343</v>
      </c>
      <c r="C81" s="27">
        <v>6.59</v>
      </c>
      <c r="D81" s="27">
        <v>6.59</v>
      </c>
      <c r="E81" s="27">
        <v>6.59</v>
      </c>
      <c r="F81" s="27">
        <v>6.59</v>
      </c>
      <c r="G81" s="27">
        <v>6.59</v>
      </c>
      <c r="H81" s="27">
        <v>6.59</v>
      </c>
      <c r="I81" s="27">
        <v>6.59</v>
      </c>
      <c r="J81" s="27">
        <v>6.59</v>
      </c>
      <c r="K81" s="27">
        <v>5.42</v>
      </c>
      <c r="L81" s="27">
        <v>4.99</v>
      </c>
      <c r="M81" s="27">
        <v>5.0199999999999996</v>
      </c>
      <c r="N81" s="44">
        <v>5.05</v>
      </c>
      <c r="O81" s="27">
        <v>5.1100000000000003</v>
      </c>
      <c r="P81" s="27">
        <v>5.12</v>
      </c>
      <c r="Q81" s="27">
        <v>5.14</v>
      </c>
      <c r="R81" s="27">
        <v>5.15</v>
      </c>
      <c r="S81" s="27">
        <v>5.16</v>
      </c>
      <c r="T81" s="27">
        <v>5.17</v>
      </c>
      <c r="U81" s="27">
        <v>5.19</v>
      </c>
      <c r="V81" s="27">
        <v>5.21</v>
      </c>
      <c r="W81">
        <v>5.23</v>
      </c>
      <c r="X81">
        <v>5.25</v>
      </c>
      <c r="Y81">
        <v>5.27</v>
      </c>
      <c r="Z81">
        <v>5.29</v>
      </c>
      <c r="AA81">
        <v>5.65</v>
      </c>
    </row>
    <row r="82" spans="1:27">
      <c r="A82" t="s">
        <v>958</v>
      </c>
      <c r="B82">
        <v>710344</v>
      </c>
      <c r="C82" s="27">
        <v>8.5</v>
      </c>
      <c r="D82" s="27">
        <v>8.5</v>
      </c>
      <c r="E82" s="27">
        <v>8.5</v>
      </c>
      <c r="F82" s="27">
        <v>8.5</v>
      </c>
      <c r="G82" s="27">
        <v>8.5</v>
      </c>
      <c r="H82" s="27">
        <v>8.5</v>
      </c>
      <c r="I82" s="27">
        <v>8.5</v>
      </c>
      <c r="J82" s="27">
        <v>8.5</v>
      </c>
      <c r="K82" s="27">
        <v>7.33</v>
      </c>
      <c r="L82" s="27">
        <v>6.9</v>
      </c>
      <c r="M82" s="27">
        <v>6.93</v>
      </c>
      <c r="N82" s="44">
        <v>6.96</v>
      </c>
      <c r="O82" s="27">
        <v>7.02</v>
      </c>
      <c r="P82" s="27">
        <v>7.03</v>
      </c>
      <c r="Q82" s="27">
        <v>7.05</v>
      </c>
      <c r="R82" s="27">
        <v>7.06</v>
      </c>
      <c r="S82" s="27">
        <v>7.07</v>
      </c>
      <c r="T82" s="27">
        <v>7.08</v>
      </c>
      <c r="U82" s="27">
        <v>7.1</v>
      </c>
      <c r="V82" s="27">
        <v>7.12</v>
      </c>
      <c r="W82">
        <v>7.14</v>
      </c>
      <c r="X82">
        <v>7.16</v>
      </c>
      <c r="Y82">
        <v>7.18</v>
      </c>
      <c r="Z82">
        <v>7.2</v>
      </c>
      <c r="AA82">
        <v>7.56</v>
      </c>
    </row>
    <row r="83" spans="1:27">
      <c r="A83" t="s">
        <v>959</v>
      </c>
      <c r="B83">
        <v>710346</v>
      </c>
      <c r="C83" s="27">
        <v>6.02</v>
      </c>
      <c r="D83" s="27">
        <v>6.02</v>
      </c>
      <c r="E83" s="27">
        <v>6.02</v>
      </c>
      <c r="F83" s="27">
        <v>6.02</v>
      </c>
      <c r="G83" s="27">
        <v>6.02</v>
      </c>
      <c r="H83" s="27">
        <v>6.02</v>
      </c>
      <c r="I83" s="27">
        <v>6.02</v>
      </c>
      <c r="J83" s="27">
        <v>6.02</v>
      </c>
      <c r="K83" s="27">
        <v>5.27</v>
      </c>
      <c r="L83" s="27">
        <v>4.92</v>
      </c>
      <c r="M83" s="27">
        <v>4.9400000000000004</v>
      </c>
      <c r="N83" s="44">
        <v>4.95</v>
      </c>
      <c r="O83" s="27">
        <v>4.99</v>
      </c>
      <c r="P83" s="27">
        <v>5</v>
      </c>
      <c r="Q83" s="27">
        <v>5.01</v>
      </c>
      <c r="R83" s="27">
        <v>5.0199999999999996</v>
      </c>
      <c r="S83" s="27">
        <v>5.0199999999999996</v>
      </c>
      <c r="T83" s="27">
        <v>5.03</v>
      </c>
      <c r="U83" s="27">
        <v>5.05</v>
      </c>
      <c r="V83" s="27">
        <v>5.0599999999999996</v>
      </c>
      <c r="W83">
        <v>5.07</v>
      </c>
      <c r="X83">
        <v>5.08</v>
      </c>
      <c r="Y83">
        <v>5.0999999999999996</v>
      </c>
      <c r="Z83">
        <v>5.1100000000000003</v>
      </c>
      <c r="AA83">
        <v>5.37</v>
      </c>
    </row>
    <row r="84" spans="1:27">
      <c r="A84" t="s">
        <v>960</v>
      </c>
      <c r="B84">
        <v>710347</v>
      </c>
      <c r="C84" s="27">
        <v>4.1100000000000003</v>
      </c>
      <c r="D84" s="27">
        <v>4.1100000000000003</v>
      </c>
      <c r="E84" s="27">
        <v>4.1100000000000003</v>
      </c>
      <c r="F84" s="27">
        <v>4.1100000000000003</v>
      </c>
      <c r="G84" s="27">
        <v>4.1100000000000003</v>
      </c>
      <c r="H84" s="27">
        <v>4.1100000000000003</v>
      </c>
      <c r="I84" s="27">
        <v>4.1100000000000003</v>
      </c>
      <c r="J84" s="27">
        <v>4.1100000000000003</v>
      </c>
      <c r="K84" s="27">
        <v>3.99</v>
      </c>
      <c r="L84" s="27">
        <v>3.79</v>
      </c>
      <c r="M84" s="27">
        <v>3.8</v>
      </c>
      <c r="N84" s="44">
        <v>3.81</v>
      </c>
      <c r="O84" s="27">
        <v>3.82</v>
      </c>
      <c r="P84" s="27">
        <v>3.82</v>
      </c>
      <c r="Q84" s="27">
        <v>3.82</v>
      </c>
      <c r="R84" s="27">
        <v>3.82</v>
      </c>
      <c r="S84" s="27">
        <v>3.83</v>
      </c>
      <c r="T84" s="27">
        <v>3.83</v>
      </c>
      <c r="U84" s="27">
        <v>3.83</v>
      </c>
      <c r="V84" s="27">
        <v>3.84</v>
      </c>
      <c r="W84">
        <v>3.84</v>
      </c>
      <c r="X84">
        <v>3.84</v>
      </c>
      <c r="Y84">
        <v>3.85</v>
      </c>
      <c r="Z84">
        <v>3.85</v>
      </c>
      <c r="AA84">
        <v>3.93</v>
      </c>
    </row>
    <row r="85" spans="1:27">
      <c r="A85" t="s">
        <v>961</v>
      </c>
      <c r="B85">
        <v>710348</v>
      </c>
      <c r="C85" s="27">
        <v>5.4</v>
      </c>
      <c r="D85" s="27">
        <v>5.4</v>
      </c>
      <c r="E85" s="27">
        <v>5.4</v>
      </c>
      <c r="F85" s="27">
        <v>5.4</v>
      </c>
      <c r="G85" s="27">
        <v>5.4</v>
      </c>
      <c r="H85" s="27">
        <v>5.4</v>
      </c>
      <c r="I85" s="27">
        <v>5.4</v>
      </c>
      <c r="J85" s="27">
        <v>5.4</v>
      </c>
      <c r="K85" s="27">
        <v>4.91</v>
      </c>
      <c r="L85" s="27">
        <v>4.63</v>
      </c>
      <c r="M85" s="27">
        <v>4.6500000000000004</v>
      </c>
      <c r="N85" s="44">
        <v>4.66</v>
      </c>
      <c r="O85" s="27">
        <v>4.7</v>
      </c>
      <c r="P85" s="27">
        <v>4.7</v>
      </c>
      <c r="Q85" s="27">
        <v>4.71</v>
      </c>
      <c r="R85" s="27">
        <v>4.71</v>
      </c>
      <c r="S85" s="27">
        <v>4.72</v>
      </c>
      <c r="T85" s="27">
        <v>4.7300000000000004</v>
      </c>
      <c r="U85" s="27">
        <v>4.74</v>
      </c>
      <c r="V85" s="27">
        <v>4.75</v>
      </c>
      <c r="W85">
        <v>4.76</v>
      </c>
      <c r="X85">
        <v>4.7699999999999996</v>
      </c>
      <c r="Y85">
        <v>4.78</v>
      </c>
      <c r="Z85">
        <v>4.79</v>
      </c>
      <c r="AA85">
        <v>4.95</v>
      </c>
    </row>
    <row r="86" spans="1:27">
      <c r="A86" t="s">
        <v>962</v>
      </c>
      <c r="B86">
        <v>710349</v>
      </c>
      <c r="C86" s="27">
        <v>4.1100000000000003</v>
      </c>
      <c r="D86" s="27">
        <v>4.1100000000000003</v>
      </c>
      <c r="E86" s="27">
        <v>4.1100000000000003</v>
      </c>
      <c r="F86" s="27">
        <v>4.1100000000000003</v>
      </c>
      <c r="G86" s="27">
        <v>4.1100000000000003</v>
      </c>
      <c r="H86" s="27">
        <v>4.1100000000000003</v>
      </c>
      <c r="I86" s="27">
        <v>4.1100000000000003</v>
      </c>
      <c r="J86" s="27">
        <v>4.1100000000000003</v>
      </c>
      <c r="K86" s="27">
        <v>3.99</v>
      </c>
      <c r="L86" s="27">
        <v>3.79</v>
      </c>
      <c r="M86" s="27">
        <v>3.8</v>
      </c>
      <c r="N86" s="44">
        <v>3.81</v>
      </c>
      <c r="O86" s="27">
        <v>3.82</v>
      </c>
      <c r="P86" s="27">
        <v>3.82</v>
      </c>
      <c r="Q86" s="27">
        <v>3.82</v>
      </c>
      <c r="R86" s="27">
        <v>3.82</v>
      </c>
      <c r="S86" s="27">
        <v>3.83</v>
      </c>
      <c r="T86" s="27">
        <v>3.83</v>
      </c>
      <c r="U86" s="27">
        <v>3.83</v>
      </c>
      <c r="V86" s="27">
        <v>3.84</v>
      </c>
      <c r="W86">
        <v>3.84</v>
      </c>
      <c r="X86">
        <v>3.84</v>
      </c>
      <c r="Y86">
        <v>3.85</v>
      </c>
      <c r="Z86">
        <v>3.85</v>
      </c>
      <c r="AA86">
        <v>3.93</v>
      </c>
    </row>
    <row r="87" spans="1:27">
      <c r="A87" t="s">
        <v>963</v>
      </c>
      <c r="B87">
        <v>710350</v>
      </c>
      <c r="C87" s="27">
        <v>5.98</v>
      </c>
      <c r="D87" s="27">
        <v>5.98</v>
      </c>
      <c r="E87" s="27">
        <v>5.98</v>
      </c>
      <c r="F87" s="27">
        <v>5.98</v>
      </c>
      <c r="G87" s="27">
        <v>5.98</v>
      </c>
      <c r="H87" s="27">
        <v>5.98</v>
      </c>
      <c r="I87" s="27">
        <v>5.98</v>
      </c>
      <c r="J87" s="27">
        <v>5.98</v>
      </c>
      <c r="K87" s="27">
        <v>5.23</v>
      </c>
      <c r="L87" s="27">
        <v>4.88</v>
      </c>
      <c r="M87" s="27">
        <v>4.9000000000000004</v>
      </c>
      <c r="N87" s="44">
        <v>4.91</v>
      </c>
      <c r="O87" s="27">
        <v>4.95</v>
      </c>
      <c r="P87" s="27">
        <v>4.96</v>
      </c>
      <c r="Q87" s="27">
        <v>4.97</v>
      </c>
      <c r="R87" s="27">
        <v>4.9800000000000004</v>
      </c>
      <c r="S87" s="27">
        <v>4.9800000000000004</v>
      </c>
      <c r="T87" s="27">
        <v>4.99</v>
      </c>
      <c r="U87" s="27">
        <v>5.01</v>
      </c>
      <c r="V87" s="27">
        <v>5.0199999999999996</v>
      </c>
      <c r="W87">
        <v>5.03</v>
      </c>
      <c r="X87">
        <v>5.04</v>
      </c>
      <c r="Y87">
        <v>5.0599999999999996</v>
      </c>
      <c r="Z87">
        <v>5.07</v>
      </c>
      <c r="AA87">
        <v>5.33</v>
      </c>
    </row>
    <row r="88" spans="1:27">
      <c r="A88" t="s">
        <v>964</v>
      </c>
      <c r="B88">
        <v>710352</v>
      </c>
      <c r="C88" s="27">
        <v>7.88</v>
      </c>
      <c r="D88" s="27">
        <v>7.88</v>
      </c>
      <c r="E88" s="27">
        <v>7.88</v>
      </c>
      <c r="F88" s="27">
        <v>7.88</v>
      </c>
      <c r="G88" s="27">
        <v>7.88</v>
      </c>
      <c r="H88" s="27">
        <v>7.88</v>
      </c>
      <c r="I88" s="27">
        <v>7.88</v>
      </c>
      <c r="J88" s="27">
        <v>7.88</v>
      </c>
      <c r="K88" s="27">
        <v>6.02</v>
      </c>
      <c r="L88" s="27">
        <v>5.57</v>
      </c>
      <c r="M88" s="27">
        <v>5.57</v>
      </c>
      <c r="N88" s="44">
        <v>5.58</v>
      </c>
      <c r="O88" s="27">
        <v>5.6</v>
      </c>
      <c r="P88" s="27">
        <v>5.6</v>
      </c>
      <c r="Q88" s="27">
        <v>5.6</v>
      </c>
      <c r="R88" s="27">
        <v>5.6</v>
      </c>
      <c r="S88" s="27">
        <v>5.61</v>
      </c>
      <c r="T88" s="27">
        <v>5.61</v>
      </c>
      <c r="U88" s="27">
        <v>5.62</v>
      </c>
      <c r="V88" s="27">
        <v>5.62</v>
      </c>
      <c r="W88">
        <v>5.63</v>
      </c>
      <c r="X88">
        <v>5.63</v>
      </c>
      <c r="Y88">
        <v>5.64</v>
      </c>
      <c r="Z88">
        <v>5.64</v>
      </c>
      <c r="AA88">
        <v>6.38</v>
      </c>
    </row>
    <row r="89" spans="1:27">
      <c r="A89" t="s">
        <v>965</v>
      </c>
      <c r="B89">
        <v>710354</v>
      </c>
      <c r="C89" s="27">
        <v>6.5</v>
      </c>
      <c r="D89" s="27">
        <v>6.5</v>
      </c>
      <c r="E89" s="27">
        <v>6.5</v>
      </c>
      <c r="F89" s="27">
        <v>6.5</v>
      </c>
      <c r="G89" s="27">
        <v>6.5</v>
      </c>
      <c r="H89" s="27">
        <v>6.5</v>
      </c>
      <c r="I89" s="27">
        <v>6.5</v>
      </c>
      <c r="J89" s="27">
        <v>6.5</v>
      </c>
      <c r="K89" s="27">
        <v>5.33</v>
      </c>
      <c r="L89" s="27">
        <v>4.9000000000000004</v>
      </c>
      <c r="M89" s="27">
        <v>4.93</v>
      </c>
      <c r="N89" s="44">
        <v>4.96</v>
      </c>
      <c r="O89" s="27">
        <v>5.0199999999999996</v>
      </c>
      <c r="P89" s="27">
        <v>5.03</v>
      </c>
      <c r="Q89" s="27">
        <v>5.05</v>
      </c>
      <c r="R89" s="27">
        <v>5.0599999999999996</v>
      </c>
      <c r="S89" s="27">
        <v>5.07</v>
      </c>
      <c r="T89" s="27">
        <v>5.08</v>
      </c>
      <c r="U89" s="27">
        <v>5.0999999999999996</v>
      </c>
      <c r="V89" s="27">
        <v>5.12</v>
      </c>
      <c r="W89">
        <v>5.14</v>
      </c>
      <c r="X89">
        <v>5.16</v>
      </c>
      <c r="Y89">
        <v>5.18</v>
      </c>
      <c r="Z89">
        <v>5.2</v>
      </c>
      <c r="AA89">
        <v>5.56</v>
      </c>
    </row>
    <row r="90" spans="1:27">
      <c r="A90" t="s">
        <v>966</v>
      </c>
      <c r="B90">
        <v>710356</v>
      </c>
      <c r="C90" s="27">
        <v>5.66</v>
      </c>
      <c r="D90" s="27">
        <v>5.66</v>
      </c>
      <c r="E90" s="27">
        <v>5.66</v>
      </c>
      <c r="F90" s="27">
        <v>5.66</v>
      </c>
      <c r="G90" s="27">
        <v>5.66</v>
      </c>
      <c r="H90" s="27">
        <v>5.66</v>
      </c>
      <c r="I90" s="27">
        <v>5.66</v>
      </c>
      <c r="J90" s="27">
        <v>5.66</v>
      </c>
      <c r="K90" s="27">
        <v>4.91</v>
      </c>
      <c r="L90" s="27">
        <v>4.5599999999999996</v>
      </c>
      <c r="M90" s="27">
        <v>4.58</v>
      </c>
      <c r="N90" s="44">
        <v>4.59</v>
      </c>
      <c r="O90" s="27">
        <v>4.63</v>
      </c>
      <c r="P90" s="27">
        <v>4.6399999999999997</v>
      </c>
      <c r="Q90" s="27">
        <v>4.6500000000000004</v>
      </c>
      <c r="R90" s="27">
        <v>4.66</v>
      </c>
      <c r="S90" s="27">
        <v>4.66</v>
      </c>
      <c r="T90" s="27">
        <v>4.67</v>
      </c>
      <c r="U90" s="27">
        <v>4.6900000000000004</v>
      </c>
      <c r="V90" s="27">
        <v>4.7</v>
      </c>
      <c r="W90">
        <v>4.71</v>
      </c>
      <c r="X90">
        <v>4.72</v>
      </c>
      <c r="Y90">
        <v>4.74</v>
      </c>
      <c r="Z90">
        <v>4.75</v>
      </c>
      <c r="AA90">
        <v>5.01</v>
      </c>
    </row>
    <row r="91" spans="1:27">
      <c r="A91" t="s">
        <v>967</v>
      </c>
      <c r="B91">
        <v>710358</v>
      </c>
      <c r="C91" s="27">
        <v>5.42</v>
      </c>
      <c r="D91" s="27">
        <v>5.42</v>
      </c>
      <c r="E91" s="27">
        <v>5.42</v>
      </c>
      <c r="F91" s="27">
        <v>5.42</v>
      </c>
      <c r="G91" s="27">
        <v>5.42</v>
      </c>
      <c r="H91" s="27">
        <v>5.42</v>
      </c>
      <c r="I91" s="27">
        <v>5.42</v>
      </c>
      <c r="J91" s="27">
        <v>5.42</v>
      </c>
      <c r="K91" s="27">
        <v>4.93</v>
      </c>
      <c r="L91" s="27">
        <v>4.6500000000000004</v>
      </c>
      <c r="M91" s="27">
        <v>4.67</v>
      </c>
      <c r="N91" s="44">
        <v>4.68</v>
      </c>
      <c r="O91" s="27">
        <v>4.72</v>
      </c>
      <c r="P91" s="27">
        <v>4.72</v>
      </c>
      <c r="Q91" s="27">
        <v>4.7300000000000004</v>
      </c>
      <c r="R91" s="27">
        <v>4.7300000000000004</v>
      </c>
      <c r="S91" s="27">
        <v>4.74</v>
      </c>
      <c r="T91" s="27">
        <v>4.75</v>
      </c>
      <c r="U91" s="27">
        <v>4.76</v>
      </c>
      <c r="V91" s="27">
        <v>4.7699999999999996</v>
      </c>
      <c r="W91">
        <v>4.78</v>
      </c>
      <c r="X91">
        <v>4.79</v>
      </c>
      <c r="Y91">
        <v>4.8</v>
      </c>
      <c r="Z91">
        <v>4.8099999999999996</v>
      </c>
      <c r="AA91">
        <v>4.97</v>
      </c>
    </row>
    <row r="92" spans="1:27">
      <c r="A92" t="s">
        <v>968</v>
      </c>
      <c r="B92">
        <v>710397</v>
      </c>
      <c r="C92" s="27">
        <v>6.5</v>
      </c>
      <c r="D92" s="27">
        <v>6.5</v>
      </c>
      <c r="E92" s="27">
        <v>6.5</v>
      </c>
      <c r="F92" s="27">
        <v>6.5</v>
      </c>
      <c r="G92" s="27">
        <v>6.5</v>
      </c>
      <c r="H92" s="27">
        <v>6.5</v>
      </c>
      <c r="I92" s="27">
        <v>6.5</v>
      </c>
      <c r="J92" s="27">
        <v>6.5</v>
      </c>
      <c r="K92" s="27">
        <v>5.33</v>
      </c>
      <c r="L92" s="27">
        <v>4.9000000000000004</v>
      </c>
      <c r="M92" s="27">
        <v>4.93</v>
      </c>
      <c r="N92" s="44">
        <v>4.96</v>
      </c>
      <c r="O92" s="27">
        <v>5.0199999999999996</v>
      </c>
      <c r="P92" s="27">
        <v>5.03</v>
      </c>
      <c r="Q92" s="27">
        <v>5.05</v>
      </c>
      <c r="R92" s="27">
        <v>5.0599999999999996</v>
      </c>
      <c r="S92" s="27">
        <v>5.07</v>
      </c>
      <c r="T92" s="27">
        <v>5.08</v>
      </c>
      <c r="U92" s="27">
        <v>5.0999999999999996</v>
      </c>
      <c r="V92" s="27">
        <v>5.12</v>
      </c>
      <c r="W92">
        <v>5.14</v>
      </c>
      <c r="X92">
        <v>5.16</v>
      </c>
      <c r="Y92">
        <v>5.18</v>
      </c>
      <c r="Z92">
        <v>5.2</v>
      </c>
      <c r="AA92">
        <v>5.56</v>
      </c>
    </row>
    <row r="93" spans="1:27">
      <c r="A93" t="s">
        <v>969</v>
      </c>
      <c r="B93">
        <v>710397</v>
      </c>
      <c r="C93" s="27">
        <v>5.77</v>
      </c>
      <c r="D93" s="27">
        <v>5.77</v>
      </c>
      <c r="E93" s="27">
        <v>5.77</v>
      </c>
      <c r="F93" s="27">
        <v>5.77</v>
      </c>
      <c r="G93" s="27">
        <v>5.77</v>
      </c>
      <c r="H93" s="27">
        <v>5.77</v>
      </c>
      <c r="I93" s="27">
        <v>5.77</v>
      </c>
      <c r="J93" s="27">
        <v>5.77</v>
      </c>
      <c r="K93" s="27">
        <v>5.0199999999999996</v>
      </c>
      <c r="L93" s="27">
        <v>4.67</v>
      </c>
      <c r="M93" s="27">
        <v>4.6900000000000004</v>
      </c>
      <c r="N93" s="44">
        <v>4.7</v>
      </c>
      <c r="O93" s="27">
        <v>4.74</v>
      </c>
      <c r="P93" s="27">
        <v>4.75</v>
      </c>
      <c r="Q93" s="27">
        <v>4.76</v>
      </c>
      <c r="R93" s="27">
        <v>4.7699999999999996</v>
      </c>
      <c r="S93" s="27">
        <v>4.7699999999999996</v>
      </c>
      <c r="T93" s="27">
        <v>4.78</v>
      </c>
      <c r="U93" s="27">
        <v>4.8</v>
      </c>
      <c r="V93" s="27">
        <v>4.8099999999999996</v>
      </c>
      <c r="W93">
        <v>4.82</v>
      </c>
      <c r="X93">
        <v>4.83</v>
      </c>
      <c r="Y93">
        <v>4.8499999999999996</v>
      </c>
      <c r="Z93">
        <v>4.8600000000000003</v>
      </c>
      <c r="AA93">
        <v>5.12</v>
      </c>
    </row>
    <row r="94" spans="1:27">
      <c r="A94" t="s">
        <v>970</v>
      </c>
      <c r="B94">
        <v>710397</v>
      </c>
      <c r="C94" s="27">
        <v>5.42</v>
      </c>
      <c r="D94" s="27">
        <v>5.42</v>
      </c>
      <c r="E94" s="27">
        <v>5.42</v>
      </c>
      <c r="F94" s="27">
        <v>5.42</v>
      </c>
      <c r="G94" s="27">
        <v>5.42</v>
      </c>
      <c r="H94" s="27">
        <v>5.42</v>
      </c>
      <c r="I94" s="27">
        <v>5.42</v>
      </c>
      <c r="J94" s="27">
        <v>5.42</v>
      </c>
      <c r="K94" s="27">
        <v>4.93</v>
      </c>
      <c r="L94" s="27">
        <v>4.6500000000000004</v>
      </c>
      <c r="M94" s="27">
        <v>4.67</v>
      </c>
      <c r="N94" s="44">
        <v>4.68</v>
      </c>
      <c r="O94" s="27">
        <v>4.72</v>
      </c>
      <c r="P94" s="27">
        <v>4.72</v>
      </c>
      <c r="Q94" s="27">
        <v>4.7300000000000004</v>
      </c>
      <c r="R94" s="27">
        <v>4.7300000000000004</v>
      </c>
      <c r="S94" s="27">
        <v>4.74</v>
      </c>
      <c r="T94" s="27">
        <v>4.75</v>
      </c>
      <c r="U94" s="27">
        <v>4.76</v>
      </c>
      <c r="V94" s="27">
        <v>4.7699999999999996</v>
      </c>
      <c r="W94">
        <v>4.78</v>
      </c>
      <c r="X94">
        <v>4.79</v>
      </c>
      <c r="Y94">
        <v>4.8</v>
      </c>
      <c r="Z94">
        <v>4.8099999999999996</v>
      </c>
      <c r="AA94">
        <v>4.97</v>
      </c>
    </row>
    <row r="95" spans="1:27">
      <c r="A95" t="s">
        <v>155</v>
      </c>
      <c r="B95">
        <v>710359</v>
      </c>
      <c r="C95" s="27">
        <v>8.06</v>
      </c>
      <c r="D95" s="27">
        <v>8.06</v>
      </c>
      <c r="E95" s="27">
        <v>8.06</v>
      </c>
      <c r="F95" s="27">
        <v>8.06</v>
      </c>
      <c r="G95" s="27">
        <v>8.06</v>
      </c>
      <c r="H95" s="27">
        <v>8.06</v>
      </c>
      <c r="I95" s="27">
        <v>8.06</v>
      </c>
      <c r="J95" s="27">
        <v>8.06</v>
      </c>
      <c r="K95" s="27">
        <v>6.89</v>
      </c>
      <c r="L95" s="27">
        <v>6.46</v>
      </c>
      <c r="M95" s="27">
        <v>6.49</v>
      </c>
      <c r="N95" s="44">
        <v>6.52</v>
      </c>
      <c r="O95" s="27">
        <v>6.58</v>
      </c>
      <c r="P95" s="27">
        <v>6.59</v>
      </c>
      <c r="Q95" s="27">
        <v>6.61</v>
      </c>
      <c r="R95" s="27">
        <v>6.62</v>
      </c>
      <c r="S95" s="27">
        <v>6.63</v>
      </c>
      <c r="T95" s="27">
        <v>6.64</v>
      </c>
      <c r="U95" s="27">
        <v>6.66</v>
      </c>
      <c r="V95" s="27">
        <v>6.68</v>
      </c>
      <c r="W95">
        <v>6.7</v>
      </c>
      <c r="X95">
        <v>6.72</v>
      </c>
      <c r="Y95">
        <v>6.74</v>
      </c>
      <c r="Z95">
        <v>6.76</v>
      </c>
      <c r="AA95">
        <v>7.12</v>
      </c>
    </row>
    <row r="96" spans="1:27">
      <c r="A96" t="s">
        <v>12</v>
      </c>
      <c r="B96" t="s">
        <v>12</v>
      </c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44"/>
      <c r="O96" s="27"/>
      <c r="P96" s="27"/>
      <c r="Q96" s="27"/>
      <c r="R96" s="27"/>
      <c r="S96" s="27"/>
      <c r="T96" s="27"/>
      <c r="U96" s="27"/>
      <c r="V96" s="27"/>
    </row>
    <row r="97" spans="1:27">
      <c r="A97" t="s">
        <v>158</v>
      </c>
      <c r="C97" s="27">
        <v>2.16</v>
      </c>
      <c r="D97" s="27">
        <v>2.15</v>
      </c>
      <c r="E97" s="27">
        <v>2.1800000000000002</v>
      </c>
      <c r="F97" s="27">
        <v>2.2200000000000002</v>
      </c>
      <c r="G97" s="27">
        <v>2.2400000000000002</v>
      </c>
      <c r="H97" s="27">
        <v>2.2400000000000002</v>
      </c>
      <c r="I97" s="27">
        <v>2.2400000000000002</v>
      </c>
      <c r="J97" s="27">
        <v>2.23</v>
      </c>
      <c r="K97" s="27">
        <v>1.93</v>
      </c>
      <c r="L97" s="27">
        <v>1.81</v>
      </c>
      <c r="M97" s="27">
        <v>1.82</v>
      </c>
      <c r="N97" s="44">
        <v>1.84</v>
      </c>
      <c r="O97" s="27">
        <v>1.86</v>
      </c>
      <c r="P97" s="27">
        <v>1.87</v>
      </c>
      <c r="Q97" s="27">
        <v>1.87</v>
      </c>
      <c r="R97" s="27">
        <v>1.88</v>
      </c>
      <c r="S97" s="27">
        <v>1.89</v>
      </c>
      <c r="T97" s="27">
        <v>1.9</v>
      </c>
      <c r="U97" s="27">
        <v>1.91</v>
      </c>
      <c r="V97" s="27">
        <v>1.92</v>
      </c>
      <c r="W97">
        <v>1.93</v>
      </c>
      <c r="X97">
        <v>1.94</v>
      </c>
      <c r="Y97">
        <v>1.95</v>
      </c>
      <c r="Z97">
        <v>1.96</v>
      </c>
      <c r="AA97">
        <v>2</v>
      </c>
    </row>
    <row r="98" spans="1:27"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44"/>
      <c r="O98" s="27"/>
      <c r="P98" s="27"/>
      <c r="Q98" s="27"/>
      <c r="R98" s="27"/>
      <c r="S98" s="27"/>
      <c r="T98" s="27"/>
      <c r="U98" s="27"/>
      <c r="V98" s="27"/>
    </row>
    <row r="99" spans="1:27">
      <c r="A99" t="s">
        <v>971</v>
      </c>
      <c r="B99">
        <v>710360</v>
      </c>
      <c r="C99" s="27">
        <v>3</v>
      </c>
      <c r="D99" s="27">
        <v>3</v>
      </c>
      <c r="E99" s="27">
        <v>3</v>
      </c>
      <c r="F99" s="27">
        <v>3</v>
      </c>
      <c r="G99" s="27">
        <v>3</v>
      </c>
      <c r="H99" s="27">
        <v>3</v>
      </c>
      <c r="I99" s="27">
        <v>3</v>
      </c>
      <c r="J99" s="27">
        <v>3</v>
      </c>
      <c r="K99" s="27">
        <v>3</v>
      </c>
      <c r="L99" s="27">
        <v>3</v>
      </c>
      <c r="M99" s="27">
        <v>3</v>
      </c>
      <c r="N99" s="44">
        <v>3</v>
      </c>
      <c r="O99" s="27">
        <v>3</v>
      </c>
      <c r="P99" s="27">
        <v>3</v>
      </c>
      <c r="Q99" s="27">
        <v>3</v>
      </c>
      <c r="R99" s="27">
        <v>3</v>
      </c>
      <c r="S99" s="27">
        <v>3</v>
      </c>
      <c r="T99" s="27">
        <v>3</v>
      </c>
      <c r="U99" s="27">
        <v>3</v>
      </c>
      <c r="V99" s="27">
        <v>3</v>
      </c>
      <c r="W99">
        <v>3</v>
      </c>
      <c r="X99">
        <v>3</v>
      </c>
      <c r="Y99">
        <v>3</v>
      </c>
      <c r="Z99">
        <v>3</v>
      </c>
      <c r="AA99">
        <v>3</v>
      </c>
    </row>
    <row r="100" spans="1:27">
      <c r="A100" t="s">
        <v>12</v>
      </c>
      <c r="B100" t="s">
        <v>12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44"/>
      <c r="O100" s="27"/>
      <c r="P100" s="27"/>
      <c r="Q100" s="27"/>
      <c r="R100" s="27"/>
      <c r="S100" s="27"/>
      <c r="T100" s="27"/>
      <c r="U100" s="27"/>
      <c r="V100" s="27"/>
    </row>
    <row r="101" spans="1:27">
      <c r="A101" t="s">
        <v>972</v>
      </c>
      <c r="C101" s="27">
        <v>3</v>
      </c>
      <c r="D101" s="27">
        <v>3</v>
      </c>
      <c r="E101" s="27">
        <v>3</v>
      </c>
      <c r="F101" s="27">
        <v>3</v>
      </c>
      <c r="G101" s="27">
        <v>3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44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  <c r="V101" s="27">
        <v>0</v>
      </c>
      <c r="W101">
        <v>0</v>
      </c>
      <c r="X101">
        <v>0</v>
      </c>
      <c r="Y101">
        <v>0</v>
      </c>
      <c r="Z101">
        <v>0</v>
      </c>
      <c r="AA101">
        <v>0.63</v>
      </c>
    </row>
    <row r="102" spans="1:27"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44"/>
      <c r="O102" s="27"/>
      <c r="P102" s="27"/>
      <c r="Q102" s="27"/>
      <c r="R102" s="27"/>
      <c r="S102" s="27"/>
      <c r="T102" s="27"/>
      <c r="U102" s="27"/>
      <c r="V102" s="27"/>
    </row>
    <row r="103" spans="1:27">
      <c r="A103" t="s">
        <v>162</v>
      </c>
      <c r="C103" s="27">
        <v>6.29</v>
      </c>
      <c r="D103" s="27">
        <v>6.29</v>
      </c>
      <c r="E103" s="27">
        <v>6.3</v>
      </c>
      <c r="F103" s="27">
        <v>6.3</v>
      </c>
      <c r="G103" s="27">
        <v>6.32</v>
      </c>
      <c r="H103" s="27">
        <v>6.34</v>
      </c>
      <c r="I103" s="27">
        <v>6.33</v>
      </c>
      <c r="J103" s="27">
        <v>6.33</v>
      </c>
      <c r="K103" s="27">
        <v>6.27</v>
      </c>
      <c r="L103" s="27">
        <v>6.17</v>
      </c>
      <c r="M103" s="27">
        <v>6.18</v>
      </c>
      <c r="N103" s="44">
        <v>6.2</v>
      </c>
      <c r="O103" s="27">
        <v>6.22</v>
      </c>
      <c r="P103" s="27">
        <v>6.23</v>
      </c>
      <c r="Q103" s="27">
        <v>6.25</v>
      </c>
      <c r="R103" s="27">
        <v>6.25</v>
      </c>
      <c r="S103" s="27">
        <v>6.26</v>
      </c>
      <c r="T103" s="27">
        <v>6.26</v>
      </c>
      <c r="U103" s="27">
        <v>6.27</v>
      </c>
      <c r="V103" s="27">
        <v>6.28</v>
      </c>
      <c r="W103">
        <v>6.3</v>
      </c>
      <c r="X103">
        <v>6.31</v>
      </c>
      <c r="Y103">
        <v>6.33</v>
      </c>
      <c r="Z103">
        <v>6.35</v>
      </c>
      <c r="AA103">
        <v>6.28</v>
      </c>
    </row>
    <row r="104" spans="1:27"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44"/>
      <c r="O104" s="27"/>
      <c r="P104" s="27"/>
      <c r="Q104" s="27"/>
      <c r="R104" s="27"/>
      <c r="S104" s="27"/>
      <c r="T104" s="27"/>
      <c r="U104" s="27"/>
      <c r="V104" s="27"/>
    </row>
    <row r="105" spans="1:27">
      <c r="A105" t="s">
        <v>973</v>
      </c>
      <c r="B105">
        <v>710361</v>
      </c>
      <c r="C105" s="27">
        <v>3.67</v>
      </c>
      <c r="D105" s="27">
        <v>3.67</v>
      </c>
      <c r="E105" s="27">
        <v>3.67</v>
      </c>
      <c r="F105" s="27">
        <v>3.67</v>
      </c>
      <c r="G105" s="27">
        <v>3.67</v>
      </c>
      <c r="H105" s="27">
        <v>3.67</v>
      </c>
      <c r="I105" s="27">
        <v>3.67</v>
      </c>
      <c r="J105" s="27">
        <v>3.67</v>
      </c>
      <c r="K105" s="27">
        <v>3.67</v>
      </c>
      <c r="L105" s="27">
        <v>3.67</v>
      </c>
      <c r="M105" s="27">
        <v>3.67</v>
      </c>
      <c r="N105" s="44">
        <v>3.67</v>
      </c>
      <c r="O105" s="27">
        <v>3.67</v>
      </c>
      <c r="P105" s="27">
        <v>3.67</v>
      </c>
      <c r="Q105" s="27">
        <v>3.67</v>
      </c>
      <c r="R105" s="27">
        <v>3.67</v>
      </c>
      <c r="S105" s="27">
        <v>3.67</v>
      </c>
      <c r="T105" s="27">
        <v>3.67</v>
      </c>
      <c r="U105" s="27">
        <v>3.67</v>
      </c>
      <c r="V105" s="27">
        <v>3.67</v>
      </c>
      <c r="W105">
        <v>3.67</v>
      </c>
      <c r="X105">
        <v>3.67</v>
      </c>
      <c r="Y105">
        <v>3.67</v>
      </c>
      <c r="Z105">
        <v>3.67</v>
      </c>
      <c r="AA105">
        <v>3.67</v>
      </c>
    </row>
    <row r="106" spans="1:27">
      <c r="A106" t="s">
        <v>12</v>
      </c>
      <c r="B106" t="s">
        <v>12</v>
      </c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44"/>
      <c r="O106" s="27"/>
      <c r="P106" s="27"/>
      <c r="Q106" s="27"/>
      <c r="R106" s="27"/>
      <c r="S106" s="27"/>
      <c r="T106" s="27"/>
      <c r="U106" s="27"/>
      <c r="V106" s="27"/>
    </row>
    <row r="107" spans="1:27">
      <c r="A107" t="s">
        <v>974</v>
      </c>
      <c r="C107" s="27">
        <v>3.67</v>
      </c>
      <c r="D107" s="27">
        <v>3.67</v>
      </c>
      <c r="E107" s="27">
        <v>3.67</v>
      </c>
      <c r="F107" s="27">
        <v>3.67</v>
      </c>
      <c r="G107" s="27">
        <v>3.67</v>
      </c>
      <c r="H107" s="27">
        <v>3.67</v>
      </c>
      <c r="I107" s="27">
        <v>3.67</v>
      </c>
      <c r="J107" s="27">
        <v>3.67</v>
      </c>
      <c r="K107" s="27">
        <v>3.67</v>
      </c>
      <c r="L107" s="27">
        <v>3.67</v>
      </c>
      <c r="M107" s="27">
        <v>3.67</v>
      </c>
      <c r="N107" s="44">
        <v>3.67</v>
      </c>
      <c r="O107" s="27">
        <v>3.67</v>
      </c>
      <c r="P107" s="27">
        <v>3.67</v>
      </c>
      <c r="Q107" s="27">
        <v>3.67</v>
      </c>
      <c r="R107" s="27">
        <v>3.67</v>
      </c>
      <c r="S107" s="27">
        <v>3.67</v>
      </c>
      <c r="T107" s="27">
        <v>3.67</v>
      </c>
      <c r="U107" s="27">
        <v>3.67</v>
      </c>
      <c r="V107" s="27">
        <v>3.67</v>
      </c>
      <c r="W107">
        <v>3.67</v>
      </c>
      <c r="X107">
        <v>3.67</v>
      </c>
      <c r="Y107">
        <v>3.67</v>
      </c>
      <c r="Z107">
        <v>3.67</v>
      </c>
      <c r="AA107">
        <v>3.67</v>
      </c>
    </row>
    <row r="108" spans="1:27"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44"/>
      <c r="O108" s="27"/>
      <c r="P108" s="27"/>
      <c r="Q108" s="27"/>
      <c r="R108" s="27"/>
      <c r="S108" s="27"/>
      <c r="T108" s="27"/>
      <c r="U108" s="27"/>
      <c r="V108" s="27"/>
    </row>
    <row r="109" spans="1:27">
      <c r="A109" t="s">
        <v>975</v>
      </c>
      <c r="B109">
        <v>710370</v>
      </c>
      <c r="C109" s="27">
        <v>3.6</v>
      </c>
      <c r="D109" s="27">
        <v>3.6</v>
      </c>
      <c r="E109" s="27">
        <v>3.6</v>
      </c>
      <c r="F109" s="27">
        <v>3.6</v>
      </c>
      <c r="G109" s="27">
        <v>3.6</v>
      </c>
      <c r="H109" s="27">
        <v>3.6</v>
      </c>
      <c r="I109" s="27">
        <v>3.6</v>
      </c>
      <c r="J109" s="27">
        <v>3.6</v>
      </c>
      <c r="K109" s="27">
        <v>3.6</v>
      </c>
      <c r="L109" s="27">
        <v>3.6</v>
      </c>
      <c r="M109" s="27">
        <v>3.6</v>
      </c>
      <c r="N109" s="44">
        <v>3.6</v>
      </c>
      <c r="O109" s="27">
        <v>3.6</v>
      </c>
      <c r="P109" s="27">
        <v>3.6</v>
      </c>
      <c r="Q109" s="27">
        <v>3.6</v>
      </c>
      <c r="R109" s="27">
        <v>3.6</v>
      </c>
      <c r="S109" s="27">
        <v>3.6</v>
      </c>
      <c r="T109" s="27">
        <v>3.6</v>
      </c>
      <c r="U109" s="27">
        <v>3.6</v>
      </c>
      <c r="V109" s="27">
        <v>3.6</v>
      </c>
      <c r="W109">
        <v>3.6</v>
      </c>
      <c r="X109">
        <v>3.6</v>
      </c>
      <c r="Y109">
        <v>3.6</v>
      </c>
      <c r="Z109">
        <v>3.6</v>
      </c>
      <c r="AA109">
        <v>3.6</v>
      </c>
    </row>
    <row r="110" spans="1:27">
      <c r="A110" t="s">
        <v>976</v>
      </c>
      <c r="B110">
        <v>710372</v>
      </c>
      <c r="C110" s="27">
        <v>3.37</v>
      </c>
      <c r="D110" s="27">
        <v>3.37</v>
      </c>
      <c r="E110" s="27">
        <v>3.37</v>
      </c>
      <c r="F110" s="27">
        <v>3.37</v>
      </c>
      <c r="G110" s="27">
        <v>3.37</v>
      </c>
      <c r="H110" s="27">
        <v>3.37</v>
      </c>
      <c r="I110" s="27">
        <v>3.37</v>
      </c>
      <c r="J110" s="27">
        <v>3.37</v>
      </c>
      <c r="K110" s="27">
        <v>3.37</v>
      </c>
      <c r="L110" s="27">
        <v>3.37</v>
      </c>
      <c r="M110" s="27">
        <v>3.37</v>
      </c>
      <c r="N110" s="44">
        <v>3.37</v>
      </c>
      <c r="O110" s="27">
        <v>3.37</v>
      </c>
      <c r="P110" s="27">
        <v>3.37</v>
      </c>
      <c r="Q110" s="27">
        <v>3.37</v>
      </c>
      <c r="R110" s="27">
        <v>3.37</v>
      </c>
      <c r="S110" s="27">
        <v>3.37</v>
      </c>
      <c r="T110" s="27">
        <v>3.37</v>
      </c>
      <c r="U110" s="27">
        <v>3.37</v>
      </c>
      <c r="V110" s="27">
        <v>3.37</v>
      </c>
      <c r="W110">
        <v>3.37</v>
      </c>
      <c r="X110">
        <v>3.37</v>
      </c>
      <c r="Y110">
        <v>3.37</v>
      </c>
      <c r="Z110">
        <v>3.37</v>
      </c>
      <c r="AA110">
        <v>3.37</v>
      </c>
    </row>
    <row r="111" spans="1:27">
      <c r="A111" t="s">
        <v>977</v>
      </c>
      <c r="B111">
        <v>710374</v>
      </c>
      <c r="C111" s="27">
        <v>3.35</v>
      </c>
      <c r="D111" s="27">
        <v>3.35</v>
      </c>
      <c r="E111" s="27">
        <v>3.35</v>
      </c>
      <c r="F111" s="27">
        <v>3.35</v>
      </c>
      <c r="G111" s="27">
        <v>3.35</v>
      </c>
      <c r="H111" s="27">
        <v>3.35</v>
      </c>
      <c r="I111" s="27">
        <v>3.35</v>
      </c>
      <c r="J111" s="27">
        <v>3.35</v>
      </c>
      <c r="K111" s="27">
        <v>0</v>
      </c>
      <c r="L111" s="27">
        <v>0</v>
      </c>
      <c r="M111" s="27">
        <v>0</v>
      </c>
      <c r="N111" s="44">
        <v>0</v>
      </c>
      <c r="O111" s="27">
        <v>0</v>
      </c>
      <c r="P111" s="27">
        <v>0</v>
      </c>
      <c r="Q111" s="27">
        <v>0</v>
      </c>
      <c r="R111" s="27">
        <v>0</v>
      </c>
      <c r="S111" s="27">
        <v>0</v>
      </c>
      <c r="T111" s="27">
        <v>0</v>
      </c>
      <c r="U111" s="27">
        <v>0</v>
      </c>
      <c r="V111" s="27">
        <v>0</v>
      </c>
      <c r="W111">
        <v>0</v>
      </c>
      <c r="X111">
        <v>0</v>
      </c>
      <c r="Y111">
        <v>0</v>
      </c>
      <c r="Z111">
        <v>0</v>
      </c>
      <c r="AA111">
        <v>1.1200000000000001</v>
      </c>
    </row>
    <row r="112" spans="1:27">
      <c r="A112" t="s">
        <v>978</v>
      </c>
      <c r="B112">
        <v>710376</v>
      </c>
      <c r="C112" s="27">
        <v>2.9</v>
      </c>
      <c r="D112" s="27">
        <v>2.9</v>
      </c>
      <c r="E112" s="27">
        <v>2.9</v>
      </c>
      <c r="F112" s="27">
        <v>2.9</v>
      </c>
      <c r="G112" s="27">
        <v>2.9</v>
      </c>
      <c r="H112" s="27">
        <v>2.9</v>
      </c>
      <c r="I112" s="27">
        <v>2.9</v>
      </c>
      <c r="J112" s="27">
        <v>2.9</v>
      </c>
      <c r="K112" s="27">
        <v>0</v>
      </c>
      <c r="L112" s="27">
        <v>0</v>
      </c>
      <c r="M112" s="27">
        <v>0</v>
      </c>
      <c r="N112" s="44">
        <v>0</v>
      </c>
      <c r="O112" s="27">
        <v>0</v>
      </c>
      <c r="P112" s="27">
        <v>0</v>
      </c>
      <c r="Q112" s="27">
        <v>0</v>
      </c>
      <c r="R112" s="27">
        <v>0</v>
      </c>
      <c r="S112" s="27">
        <v>0</v>
      </c>
      <c r="T112" s="27">
        <v>0</v>
      </c>
      <c r="U112" s="27">
        <v>0</v>
      </c>
      <c r="V112" s="27">
        <v>0</v>
      </c>
      <c r="W112">
        <v>0</v>
      </c>
      <c r="X112">
        <v>0</v>
      </c>
      <c r="Y112">
        <v>0</v>
      </c>
      <c r="Z112">
        <v>0</v>
      </c>
      <c r="AA112">
        <v>0.97</v>
      </c>
    </row>
    <row r="113" spans="1:27">
      <c r="A113" t="s">
        <v>979</v>
      </c>
      <c r="B113">
        <v>710378</v>
      </c>
      <c r="C113" s="27">
        <v>3.02</v>
      </c>
      <c r="D113" s="27">
        <v>3.02</v>
      </c>
      <c r="E113" s="27">
        <v>3.02</v>
      </c>
      <c r="F113" s="27">
        <v>3.02</v>
      </c>
      <c r="G113" s="27">
        <v>3.02</v>
      </c>
      <c r="H113" s="27">
        <v>3.02</v>
      </c>
      <c r="I113" s="27">
        <v>3.02</v>
      </c>
      <c r="J113" s="27">
        <v>3.02</v>
      </c>
      <c r="K113" s="27">
        <v>0</v>
      </c>
      <c r="L113" s="27">
        <v>0</v>
      </c>
      <c r="M113" s="27">
        <v>0</v>
      </c>
      <c r="N113" s="44">
        <v>0</v>
      </c>
      <c r="O113" s="27">
        <v>0</v>
      </c>
      <c r="P113" s="27">
        <v>0</v>
      </c>
      <c r="Q113" s="27">
        <v>0</v>
      </c>
      <c r="R113" s="27">
        <v>0</v>
      </c>
      <c r="S113" s="27">
        <v>0</v>
      </c>
      <c r="T113" s="27">
        <v>0</v>
      </c>
      <c r="U113" s="27">
        <v>0</v>
      </c>
      <c r="V113" s="27">
        <v>0</v>
      </c>
      <c r="W113">
        <v>0</v>
      </c>
      <c r="X113">
        <v>0</v>
      </c>
      <c r="Y113">
        <v>0</v>
      </c>
      <c r="Z113">
        <v>0</v>
      </c>
      <c r="AA113">
        <v>1.01</v>
      </c>
    </row>
    <row r="114" spans="1:27">
      <c r="A114" t="s">
        <v>12</v>
      </c>
      <c r="B114" t="s">
        <v>12</v>
      </c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44"/>
      <c r="O114" s="27"/>
      <c r="P114" s="27"/>
      <c r="Q114" s="27"/>
      <c r="R114" s="27"/>
      <c r="S114" s="27"/>
      <c r="T114" s="27"/>
      <c r="U114" s="27"/>
      <c r="V114" s="27"/>
    </row>
    <row r="115" spans="1:27">
      <c r="A115" t="s">
        <v>176</v>
      </c>
      <c r="C115" s="27">
        <v>3.16</v>
      </c>
      <c r="D115" s="27">
        <v>3.16</v>
      </c>
      <c r="E115" s="27">
        <v>3.16</v>
      </c>
      <c r="F115" s="27">
        <v>3.16</v>
      </c>
      <c r="G115" s="27">
        <v>3.16</v>
      </c>
      <c r="H115" s="27">
        <v>3.16</v>
      </c>
      <c r="I115" s="27">
        <v>3.16</v>
      </c>
      <c r="J115" s="27">
        <v>3.16</v>
      </c>
      <c r="K115" s="27">
        <v>0.86</v>
      </c>
      <c r="L115" s="27">
        <v>0.85</v>
      </c>
      <c r="M115" s="27">
        <v>0.84</v>
      </c>
      <c r="N115" s="44">
        <v>0.83</v>
      </c>
      <c r="O115" s="27">
        <v>0.82</v>
      </c>
      <c r="P115" s="27">
        <v>0.81</v>
      </c>
      <c r="Q115" s="27">
        <v>0.8</v>
      </c>
      <c r="R115" s="27">
        <v>0.79</v>
      </c>
      <c r="S115" s="27">
        <v>0.78</v>
      </c>
      <c r="T115" s="27">
        <v>0.77</v>
      </c>
      <c r="U115" s="27">
        <v>0.76</v>
      </c>
      <c r="V115" s="27">
        <v>0.75</v>
      </c>
      <c r="W115">
        <v>0.75</v>
      </c>
      <c r="X115">
        <v>0.74</v>
      </c>
      <c r="Y115">
        <v>0.73</v>
      </c>
      <c r="Z115">
        <v>0.72</v>
      </c>
      <c r="AA115">
        <v>1.58</v>
      </c>
    </row>
    <row r="116" spans="1:27"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44"/>
      <c r="O116" s="27"/>
      <c r="P116" s="27"/>
      <c r="Q116" s="27"/>
      <c r="R116" s="27"/>
      <c r="S116" s="27"/>
      <c r="T116" s="27"/>
      <c r="U116" s="27"/>
      <c r="V116" s="27"/>
    </row>
    <row r="117" spans="1:27">
      <c r="A117" t="s">
        <v>980</v>
      </c>
      <c r="B117">
        <v>710404</v>
      </c>
      <c r="C117" s="27">
        <v>6.5</v>
      </c>
      <c r="D117" s="27">
        <v>6.5</v>
      </c>
      <c r="E117" s="27">
        <v>6.5</v>
      </c>
      <c r="F117" s="27">
        <v>6.5</v>
      </c>
      <c r="G117" s="27">
        <v>6.5</v>
      </c>
      <c r="H117" s="27">
        <v>6.5</v>
      </c>
      <c r="I117" s="27">
        <v>6.5</v>
      </c>
      <c r="J117" s="27">
        <v>6.5</v>
      </c>
      <c r="K117" s="27">
        <v>7.38</v>
      </c>
      <c r="L117" s="27">
        <v>7.06</v>
      </c>
      <c r="M117" s="27">
        <v>7.08</v>
      </c>
      <c r="N117" s="44">
        <v>7.1</v>
      </c>
      <c r="O117" s="27">
        <v>7.14</v>
      </c>
      <c r="P117" s="27">
        <v>7.15</v>
      </c>
      <c r="Q117" s="27">
        <v>7.16</v>
      </c>
      <c r="R117" s="27">
        <v>7.17</v>
      </c>
      <c r="S117" s="27">
        <v>7.18</v>
      </c>
      <c r="T117" s="27">
        <v>7.18</v>
      </c>
      <c r="U117" s="27">
        <v>7.2</v>
      </c>
      <c r="V117" s="27">
        <v>7.21</v>
      </c>
      <c r="W117">
        <v>7.22</v>
      </c>
      <c r="X117">
        <v>7.24</v>
      </c>
      <c r="Y117">
        <v>7.25</v>
      </c>
      <c r="Z117">
        <v>7.27</v>
      </c>
      <c r="AA117">
        <v>6.96</v>
      </c>
    </row>
    <row r="118" spans="1:27">
      <c r="A118" t="s">
        <v>178</v>
      </c>
      <c r="B118">
        <v>710405</v>
      </c>
      <c r="C118" s="27">
        <v>6.5</v>
      </c>
      <c r="D118" s="27">
        <v>6.5</v>
      </c>
      <c r="E118" s="27">
        <v>6.5</v>
      </c>
      <c r="F118" s="27">
        <v>6.5</v>
      </c>
      <c r="G118" s="27">
        <v>6.5</v>
      </c>
      <c r="H118" s="27">
        <v>6.5</v>
      </c>
      <c r="I118" s="27">
        <v>6.5</v>
      </c>
      <c r="J118" s="27">
        <v>6.5</v>
      </c>
      <c r="K118" s="27">
        <v>7.38</v>
      </c>
      <c r="L118" s="27">
        <v>7.06</v>
      </c>
      <c r="M118" s="27">
        <v>7.08</v>
      </c>
      <c r="N118" s="44">
        <v>7.1</v>
      </c>
      <c r="O118" s="27">
        <v>7.14</v>
      </c>
      <c r="P118" s="27">
        <v>7.15</v>
      </c>
      <c r="Q118" s="27">
        <v>7.16</v>
      </c>
      <c r="R118" s="27">
        <v>7.17</v>
      </c>
      <c r="S118" s="27">
        <v>7.18</v>
      </c>
      <c r="T118" s="27">
        <v>7.18</v>
      </c>
      <c r="U118" s="27">
        <v>7.2</v>
      </c>
      <c r="V118" s="27">
        <v>7.21</v>
      </c>
      <c r="W118">
        <v>7.22</v>
      </c>
      <c r="X118">
        <v>7.24</v>
      </c>
      <c r="Y118">
        <v>7.25</v>
      </c>
      <c r="Z118">
        <v>7.27</v>
      </c>
      <c r="AA118">
        <v>6.96</v>
      </c>
    </row>
    <row r="119" spans="1:27">
      <c r="A119" t="s">
        <v>179</v>
      </c>
      <c r="B119">
        <v>710410</v>
      </c>
      <c r="C119" s="27">
        <v>5.35</v>
      </c>
      <c r="D119" s="27">
        <v>5.35</v>
      </c>
      <c r="E119" s="27">
        <v>5.35</v>
      </c>
      <c r="F119" s="27">
        <v>5.35</v>
      </c>
      <c r="G119" s="27">
        <v>5.35</v>
      </c>
      <c r="H119" s="27">
        <v>5.35</v>
      </c>
      <c r="I119" s="27">
        <v>5.35</v>
      </c>
      <c r="J119" s="27">
        <v>5.35</v>
      </c>
      <c r="K119" s="27">
        <v>7.38</v>
      </c>
      <c r="L119" s="27">
        <v>7.06</v>
      </c>
      <c r="M119" s="27">
        <v>7.08</v>
      </c>
      <c r="N119" s="44">
        <v>7.1</v>
      </c>
      <c r="O119" s="27">
        <v>7.14</v>
      </c>
      <c r="P119" s="27">
        <v>7.15</v>
      </c>
      <c r="Q119" s="27">
        <v>7.16</v>
      </c>
      <c r="R119" s="27">
        <v>7.17</v>
      </c>
      <c r="S119" s="27">
        <v>7.18</v>
      </c>
      <c r="T119" s="27">
        <v>7.18</v>
      </c>
      <c r="U119" s="27">
        <v>7.2</v>
      </c>
      <c r="V119" s="27">
        <v>7.21</v>
      </c>
      <c r="W119">
        <v>7.22</v>
      </c>
      <c r="X119">
        <v>7.24</v>
      </c>
      <c r="Y119">
        <v>7.25</v>
      </c>
      <c r="Z119">
        <v>7.27</v>
      </c>
      <c r="AA119">
        <v>6.57</v>
      </c>
    </row>
    <row r="120" spans="1:27">
      <c r="A120" t="s">
        <v>180</v>
      </c>
      <c r="B120">
        <v>710406</v>
      </c>
      <c r="C120" s="27">
        <v>3.25</v>
      </c>
      <c r="D120" s="27">
        <v>3.25</v>
      </c>
      <c r="E120" s="27">
        <v>3.25</v>
      </c>
      <c r="F120" s="27">
        <v>3.25</v>
      </c>
      <c r="G120" s="27">
        <v>3.25</v>
      </c>
      <c r="H120" s="27">
        <v>3.25</v>
      </c>
      <c r="I120" s="27">
        <v>3.25</v>
      </c>
      <c r="J120" s="27">
        <v>3.25</v>
      </c>
      <c r="K120" s="27">
        <v>3.25</v>
      </c>
      <c r="L120" s="27">
        <v>3.25</v>
      </c>
      <c r="M120" s="27">
        <v>3.25</v>
      </c>
      <c r="N120" s="44">
        <v>3.25</v>
      </c>
      <c r="O120" s="27">
        <v>3.25</v>
      </c>
      <c r="P120" s="27">
        <v>3.25</v>
      </c>
      <c r="Q120" s="27">
        <v>3.25</v>
      </c>
      <c r="R120" s="27">
        <v>3.25</v>
      </c>
      <c r="S120" s="27">
        <v>3.25</v>
      </c>
      <c r="T120" s="27">
        <v>3.25</v>
      </c>
      <c r="U120" s="27">
        <v>3.25</v>
      </c>
      <c r="V120" s="27">
        <v>3.25</v>
      </c>
      <c r="W120">
        <v>3.25</v>
      </c>
      <c r="X120">
        <v>3.25</v>
      </c>
      <c r="Y120">
        <v>3.25</v>
      </c>
      <c r="Z120">
        <v>3.25</v>
      </c>
      <c r="AA120">
        <v>3.25</v>
      </c>
    </row>
    <row r="121" spans="1:27">
      <c r="A121" t="s">
        <v>181</v>
      </c>
      <c r="B121">
        <v>710411</v>
      </c>
      <c r="C121" s="27">
        <v>4.25</v>
      </c>
      <c r="D121" s="27">
        <v>4.25</v>
      </c>
      <c r="E121" s="27">
        <v>4.25</v>
      </c>
      <c r="F121" s="27">
        <v>4.25</v>
      </c>
      <c r="G121" s="27">
        <v>4.25</v>
      </c>
      <c r="H121" s="27">
        <v>4.25</v>
      </c>
      <c r="I121" s="27">
        <v>4.25</v>
      </c>
      <c r="J121" s="27">
        <v>4.25</v>
      </c>
      <c r="K121" s="27">
        <v>4.25</v>
      </c>
      <c r="L121" s="27">
        <v>4.25</v>
      </c>
      <c r="M121" s="27">
        <v>4.25</v>
      </c>
      <c r="N121" s="44">
        <v>4.25</v>
      </c>
      <c r="O121" s="27">
        <v>4.25</v>
      </c>
      <c r="P121" s="27">
        <v>4.25</v>
      </c>
      <c r="Q121" s="27">
        <v>4.25</v>
      </c>
      <c r="R121" s="27">
        <v>4.25</v>
      </c>
      <c r="S121" s="27">
        <v>4.25</v>
      </c>
      <c r="T121" s="27">
        <v>4.25</v>
      </c>
      <c r="U121" s="27">
        <v>4.25</v>
      </c>
      <c r="V121" s="27">
        <v>4.25</v>
      </c>
      <c r="W121">
        <v>4.25</v>
      </c>
      <c r="X121">
        <v>4.25</v>
      </c>
      <c r="Y121">
        <v>4.25</v>
      </c>
      <c r="Z121">
        <v>4.25</v>
      </c>
      <c r="AA121">
        <v>4.25</v>
      </c>
    </row>
    <row r="122" spans="1:27">
      <c r="A122" t="s">
        <v>981</v>
      </c>
      <c r="B122">
        <v>710412</v>
      </c>
      <c r="C122" s="27">
        <v>3.25</v>
      </c>
      <c r="D122" s="27">
        <v>3.25</v>
      </c>
      <c r="E122" s="27">
        <v>3.25</v>
      </c>
      <c r="F122" s="27">
        <v>3.25</v>
      </c>
      <c r="G122" s="27">
        <v>3.25</v>
      </c>
      <c r="H122" s="27">
        <v>3.25</v>
      </c>
      <c r="I122" s="27">
        <v>3.25</v>
      </c>
      <c r="J122" s="27">
        <v>3.25</v>
      </c>
      <c r="K122" s="27">
        <v>3.25</v>
      </c>
      <c r="L122" s="27">
        <v>3.25</v>
      </c>
      <c r="M122" s="27">
        <v>3.25</v>
      </c>
      <c r="N122" s="44">
        <v>3.25</v>
      </c>
      <c r="O122" s="27">
        <v>3.25</v>
      </c>
      <c r="P122" s="27">
        <v>3.25</v>
      </c>
      <c r="Q122" s="27">
        <v>3.25</v>
      </c>
      <c r="R122" s="27">
        <v>3.25</v>
      </c>
      <c r="S122" s="27">
        <v>3.25</v>
      </c>
      <c r="T122" s="27">
        <v>3.25</v>
      </c>
      <c r="U122" s="27">
        <v>3.25</v>
      </c>
      <c r="V122" s="27">
        <v>3.25</v>
      </c>
      <c r="W122">
        <v>3.25</v>
      </c>
      <c r="X122">
        <v>3.25</v>
      </c>
      <c r="Y122">
        <v>3.25</v>
      </c>
      <c r="Z122">
        <v>3.25</v>
      </c>
      <c r="AA122">
        <v>3.25</v>
      </c>
    </row>
    <row r="123" spans="1:27">
      <c r="A123" t="s">
        <v>12</v>
      </c>
      <c r="B123" t="s">
        <v>12</v>
      </c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44"/>
      <c r="O123" s="27"/>
      <c r="P123" s="27"/>
      <c r="Q123" s="27"/>
      <c r="R123" s="27"/>
      <c r="S123" s="27"/>
      <c r="T123" s="27"/>
      <c r="U123" s="27"/>
      <c r="V123" s="27"/>
    </row>
    <row r="124" spans="1:27">
      <c r="A124" t="s">
        <v>183</v>
      </c>
      <c r="C124" s="27">
        <v>5.73</v>
      </c>
      <c r="D124" s="27">
        <v>5.73</v>
      </c>
      <c r="E124" s="27">
        <v>5.73</v>
      </c>
      <c r="F124" s="27">
        <v>5.72</v>
      </c>
      <c r="G124" s="27">
        <v>5.72</v>
      </c>
      <c r="H124" s="27">
        <v>5.71</v>
      </c>
      <c r="I124" s="27">
        <v>5.71</v>
      </c>
      <c r="J124" s="27">
        <v>5.71</v>
      </c>
      <c r="K124" s="27">
        <v>7.38</v>
      </c>
      <c r="L124" s="27">
        <v>7.06</v>
      </c>
      <c r="M124" s="27">
        <v>7.08</v>
      </c>
      <c r="N124" s="44">
        <v>7.1</v>
      </c>
      <c r="O124" s="27">
        <v>7.14</v>
      </c>
      <c r="P124" s="27">
        <v>7.15</v>
      </c>
      <c r="Q124" s="27">
        <v>7.16</v>
      </c>
      <c r="R124" s="27">
        <v>7.17</v>
      </c>
      <c r="S124" s="27">
        <v>7.18</v>
      </c>
      <c r="T124" s="27">
        <v>7.18</v>
      </c>
      <c r="U124" s="27">
        <v>7.2</v>
      </c>
      <c r="V124" s="27">
        <v>7.21</v>
      </c>
      <c r="W124">
        <v>7.22</v>
      </c>
      <c r="X124">
        <v>7.24</v>
      </c>
      <c r="Y124">
        <v>7.25</v>
      </c>
      <c r="Z124">
        <v>7.27</v>
      </c>
      <c r="AA124">
        <v>6.7</v>
      </c>
    </row>
    <row r="125" spans="1:27"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44"/>
      <c r="O125" s="27"/>
      <c r="P125" s="27"/>
      <c r="Q125" s="27"/>
      <c r="R125" s="27"/>
      <c r="S125" s="27"/>
      <c r="T125" s="27"/>
      <c r="U125" s="27"/>
      <c r="V125" s="27"/>
    </row>
    <row r="126" spans="1:27">
      <c r="A126" t="s">
        <v>982</v>
      </c>
      <c r="B126">
        <v>710421</v>
      </c>
      <c r="C126" s="27">
        <v>5.25</v>
      </c>
      <c r="D126" s="27">
        <v>5.25</v>
      </c>
      <c r="E126" s="27">
        <v>5.25</v>
      </c>
      <c r="F126" s="27">
        <v>5.25</v>
      </c>
      <c r="G126" s="27">
        <v>5.25</v>
      </c>
      <c r="H126" s="27">
        <v>5.25</v>
      </c>
      <c r="I126" s="27">
        <v>5.25</v>
      </c>
      <c r="J126" s="27">
        <v>5.25</v>
      </c>
      <c r="K126" s="27">
        <v>5.25</v>
      </c>
      <c r="L126" s="27">
        <v>5.25</v>
      </c>
      <c r="M126" s="27">
        <v>5.25</v>
      </c>
      <c r="N126" s="44">
        <v>5.25</v>
      </c>
      <c r="O126" s="27">
        <v>5.25</v>
      </c>
      <c r="P126" s="27">
        <v>5.25</v>
      </c>
      <c r="Q126" s="27">
        <v>5.25</v>
      </c>
      <c r="R126" s="27">
        <v>5.25</v>
      </c>
      <c r="S126" s="27">
        <v>5.25</v>
      </c>
      <c r="T126" s="27">
        <v>5.25</v>
      </c>
      <c r="U126" s="27">
        <v>5.25</v>
      </c>
      <c r="V126" s="27">
        <v>5.25</v>
      </c>
      <c r="W126">
        <v>5.25</v>
      </c>
      <c r="X126">
        <v>5.25</v>
      </c>
      <c r="Y126">
        <v>5.25</v>
      </c>
      <c r="Z126">
        <v>5.25</v>
      </c>
      <c r="AA126">
        <v>5.25</v>
      </c>
    </row>
    <row r="127" spans="1:27">
      <c r="A127" t="s">
        <v>983</v>
      </c>
      <c r="B127">
        <v>710422</v>
      </c>
      <c r="C127" s="27">
        <v>5.5</v>
      </c>
      <c r="D127" s="27">
        <v>5.5</v>
      </c>
      <c r="E127" s="27">
        <v>5.5</v>
      </c>
      <c r="F127" s="27">
        <v>5.5</v>
      </c>
      <c r="G127" s="27">
        <v>5.5</v>
      </c>
      <c r="H127" s="27">
        <v>5.5</v>
      </c>
      <c r="I127" s="27">
        <v>5.5</v>
      </c>
      <c r="J127" s="27">
        <v>5.5</v>
      </c>
      <c r="K127" s="27">
        <v>5.5</v>
      </c>
      <c r="L127" s="27">
        <v>5.5</v>
      </c>
      <c r="M127" s="27">
        <v>5.5</v>
      </c>
      <c r="N127" s="44">
        <v>5.5</v>
      </c>
      <c r="O127" s="27">
        <v>5.5</v>
      </c>
      <c r="P127" s="27">
        <v>5.5</v>
      </c>
      <c r="Q127" s="27">
        <v>5.5</v>
      </c>
      <c r="R127" s="27">
        <v>5.5</v>
      </c>
      <c r="S127" s="27">
        <v>5.5</v>
      </c>
      <c r="T127" s="27">
        <v>5.5</v>
      </c>
      <c r="U127" s="27">
        <v>5.5</v>
      </c>
      <c r="V127" s="27">
        <v>5.5</v>
      </c>
      <c r="W127">
        <v>5.5</v>
      </c>
      <c r="X127">
        <v>5.5</v>
      </c>
      <c r="Y127">
        <v>5.5</v>
      </c>
      <c r="Z127">
        <v>5.5</v>
      </c>
      <c r="AA127">
        <v>5.5</v>
      </c>
    </row>
    <row r="128" spans="1:27">
      <c r="A128" t="s">
        <v>186</v>
      </c>
      <c r="B128">
        <v>710415</v>
      </c>
      <c r="C128" s="27">
        <v>8.5</v>
      </c>
      <c r="D128" s="27">
        <v>8.5</v>
      </c>
      <c r="E128" s="27">
        <v>8.5</v>
      </c>
      <c r="F128" s="27">
        <v>8.5</v>
      </c>
      <c r="G128" s="27">
        <v>8.5</v>
      </c>
      <c r="H128" s="27">
        <v>8.5</v>
      </c>
      <c r="I128" s="27">
        <v>8.5</v>
      </c>
      <c r="J128" s="27">
        <v>8.5</v>
      </c>
      <c r="K128" s="27">
        <v>8.25</v>
      </c>
      <c r="L128" s="27">
        <v>8</v>
      </c>
      <c r="M128" s="27">
        <v>8</v>
      </c>
      <c r="N128" s="44">
        <v>7.75</v>
      </c>
      <c r="O128" s="27">
        <v>7.5</v>
      </c>
      <c r="P128" s="27">
        <v>7.5</v>
      </c>
      <c r="Q128" s="27">
        <v>7.5</v>
      </c>
      <c r="R128" s="27">
        <v>7.5</v>
      </c>
      <c r="S128" s="27">
        <v>7.5</v>
      </c>
      <c r="T128" s="27">
        <v>7.25</v>
      </c>
      <c r="U128" s="27">
        <v>7.25</v>
      </c>
      <c r="V128" s="27">
        <v>7.25</v>
      </c>
      <c r="W128">
        <v>7</v>
      </c>
      <c r="X128">
        <v>7</v>
      </c>
      <c r="Y128">
        <v>7</v>
      </c>
      <c r="Z128">
        <v>7</v>
      </c>
      <c r="AA128">
        <v>7.8</v>
      </c>
    </row>
    <row r="129" spans="1:27">
      <c r="A129" t="s">
        <v>187</v>
      </c>
      <c r="B129">
        <v>710420</v>
      </c>
      <c r="C129" s="27">
        <v>8.5</v>
      </c>
      <c r="D129" s="27">
        <v>8.5</v>
      </c>
      <c r="E129" s="27">
        <v>8.5</v>
      </c>
      <c r="F129" s="27">
        <v>8.5</v>
      </c>
      <c r="G129" s="27">
        <v>8.5</v>
      </c>
      <c r="H129" s="27">
        <v>8.5</v>
      </c>
      <c r="I129" s="27">
        <v>8.5</v>
      </c>
      <c r="J129" s="27">
        <v>8.5</v>
      </c>
      <c r="K129" s="27">
        <v>8.51</v>
      </c>
      <c r="L129" s="27">
        <v>8.39</v>
      </c>
      <c r="M129" s="27">
        <v>8.14</v>
      </c>
      <c r="N129" s="44">
        <v>8.1300000000000008</v>
      </c>
      <c r="O129" s="27">
        <v>8.1199999999999992</v>
      </c>
      <c r="P129" s="27">
        <v>7.98</v>
      </c>
      <c r="Q129" s="27">
        <v>7.97</v>
      </c>
      <c r="R129" s="27">
        <v>7.95</v>
      </c>
      <c r="S129" s="27">
        <v>7.79</v>
      </c>
      <c r="T129" s="27">
        <v>7.76</v>
      </c>
      <c r="U129" s="27">
        <v>7.74</v>
      </c>
      <c r="V129" s="27">
        <v>7.72</v>
      </c>
      <c r="W129">
        <v>7.7</v>
      </c>
      <c r="X129">
        <v>7.69</v>
      </c>
      <c r="Y129">
        <v>7.51</v>
      </c>
      <c r="Z129">
        <v>7.49</v>
      </c>
      <c r="AA129">
        <v>8.11</v>
      </c>
    </row>
    <row r="130" spans="1:27">
      <c r="A130" t="s">
        <v>12</v>
      </c>
      <c r="B130" t="s">
        <v>12</v>
      </c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44"/>
      <c r="O130" s="27"/>
      <c r="P130" s="27"/>
      <c r="Q130" s="27"/>
      <c r="R130" s="27"/>
      <c r="S130" s="27"/>
      <c r="T130" s="27"/>
      <c r="U130" s="27"/>
      <c r="V130" s="27"/>
    </row>
    <row r="131" spans="1:27">
      <c r="A131" t="s">
        <v>188</v>
      </c>
      <c r="C131" s="27">
        <v>8.5</v>
      </c>
      <c r="D131" s="27">
        <v>8.5</v>
      </c>
      <c r="E131" s="27">
        <v>8.5</v>
      </c>
      <c r="F131" s="27">
        <v>8.5</v>
      </c>
      <c r="G131" s="27">
        <v>8.5</v>
      </c>
      <c r="H131" s="27">
        <v>8.5</v>
      </c>
      <c r="I131" s="27">
        <v>8.5</v>
      </c>
      <c r="J131" s="27">
        <v>8.5</v>
      </c>
      <c r="K131" s="27">
        <v>8.51</v>
      </c>
      <c r="L131" s="27">
        <v>8.39</v>
      </c>
      <c r="M131" s="27">
        <v>8.14</v>
      </c>
      <c r="N131" s="44">
        <v>8.1300000000000008</v>
      </c>
      <c r="O131" s="27">
        <v>8.1199999999999992</v>
      </c>
      <c r="P131" s="27">
        <v>7.98</v>
      </c>
      <c r="Q131" s="27">
        <v>7.97</v>
      </c>
      <c r="R131" s="27">
        <v>7.95</v>
      </c>
      <c r="S131" s="27">
        <v>7.79</v>
      </c>
      <c r="T131" s="27">
        <v>7.76</v>
      </c>
      <c r="U131" s="27">
        <v>7.74</v>
      </c>
      <c r="V131" s="27">
        <v>7.72</v>
      </c>
      <c r="W131">
        <v>7.7</v>
      </c>
      <c r="X131">
        <v>7.69</v>
      </c>
      <c r="Y131">
        <v>7.51</v>
      </c>
      <c r="Z131">
        <v>7.49</v>
      </c>
      <c r="AA131">
        <v>8.11</v>
      </c>
    </row>
    <row r="132" spans="1:27"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44"/>
      <c r="O132" s="27"/>
      <c r="P132" s="27"/>
      <c r="Q132" s="27"/>
      <c r="R132" s="27"/>
      <c r="S132" s="27"/>
      <c r="T132" s="27"/>
      <c r="U132" s="27"/>
      <c r="V132" s="27"/>
    </row>
    <row r="133" spans="1:27">
      <c r="A133" t="s">
        <v>984</v>
      </c>
      <c r="B133">
        <v>710440</v>
      </c>
      <c r="C133" s="27">
        <v>5.87</v>
      </c>
      <c r="D133" s="27">
        <v>5.87</v>
      </c>
      <c r="E133" s="27">
        <v>5.87</v>
      </c>
      <c r="F133" s="27">
        <v>5.87</v>
      </c>
      <c r="G133" s="27">
        <v>5.87</v>
      </c>
      <c r="H133" s="27">
        <v>5.87</v>
      </c>
      <c r="I133" s="27">
        <v>5.87</v>
      </c>
      <c r="J133" s="27">
        <v>5.87</v>
      </c>
      <c r="K133" s="27">
        <v>5.87</v>
      </c>
      <c r="L133" s="27">
        <v>5.87</v>
      </c>
      <c r="M133" s="27">
        <v>5.87</v>
      </c>
      <c r="N133" s="44">
        <v>5.87</v>
      </c>
      <c r="O133" s="27">
        <v>5.87</v>
      </c>
      <c r="P133" s="27">
        <v>5.87</v>
      </c>
      <c r="Q133" s="27">
        <v>5.87</v>
      </c>
      <c r="R133" s="27">
        <v>5.87</v>
      </c>
      <c r="S133" s="27">
        <v>5.87</v>
      </c>
      <c r="T133" s="27">
        <v>5.87</v>
      </c>
      <c r="U133" s="27">
        <v>5.87</v>
      </c>
      <c r="V133" s="27">
        <v>5.87</v>
      </c>
      <c r="W133">
        <v>5.87</v>
      </c>
      <c r="X133">
        <v>5.87</v>
      </c>
      <c r="Y133">
        <v>5.87</v>
      </c>
      <c r="Z133">
        <v>5.87</v>
      </c>
      <c r="AA133">
        <v>5.87</v>
      </c>
    </row>
    <row r="134" spans="1:27">
      <c r="A134" t="s">
        <v>12</v>
      </c>
      <c r="B134" t="s">
        <v>12</v>
      </c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44"/>
      <c r="O134" s="27"/>
      <c r="P134" s="27"/>
      <c r="Q134" s="27"/>
      <c r="R134" s="27"/>
      <c r="S134" s="27"/>
      <c r="T134" s="27"/>
      <c r="U134" s="27"/>
      <c r="V134" s="27"/>
    </row>
    <row r="135" spans="1:27">
      <c r="A135" t="s">
        <v>985</v>
      </c>
      <c r="B135">
        <v>710442</v>
      </c>
      <c r="C135" s="27">
        <v>0</v>
      </c>
      <c r="D135" s="27">
        <v>0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7.72</v>
      </c>
      <c r="L135" s="27">
        <v>0</v>
      </c>
      <c r="M135" s="27">
        <v>0</v>
      </c>
      <c r="N135" s="44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  <c r="V135" s="27">
        <v>0</v>
      </c>
      <c r="W135">
        <v>0</v>
      </c>
      <c r="X135">
        <v>0</v>
      </c>
      <c r="Y135">
        <v>0</v>
      </c>
      <c r="Z135">
        <v>0</v>
      </c>
      <c r="AA135">
        <v>0.32</v>
      </c>
    </row>
    <row r="136" spans="1:27">
      <c r="A136" t="s">
        <v>986</v>
      </c>
      <c r="C136" s="27">
        <v>5.87</v>
      </c>
      <c r="D136" s="27">
        <v>5.87</v>
      </c>
      <c r="E136" s="27">
        <v>5.87</v>
      </c>
      <c r="F136" s="27">
        <v>5.87</v>
      </c>
      <c r="G136" s="27">
        <v>5.87</v>
      </c>
      <c r="H136" s="27">
        <v>5.87</v>
      </c>
      <c r="I136" s="27">
        <v>5.87</v>
      </c>
      <c r="J136" s="27">
        <v>5.87</v>
      </c>
      <c r="K136" s="27">
        <v>5.87</v>
      </c>
      <c r="L136" s="27">
        <v>5.87</v>
      </c>
      <c r="M136" s="27">
        <v>5.87</v>
      </c>
      <c r="N136" s="44">
        <v>5.87</v>
      </c>
      <c r="O136" s="27">
        <v>5.87</v>
      </c>
      <c r="P136" s="27">
        <v>5.87</v>
      </c>
      <c r="Q136" s="27">
        <v>5.87</v>
      </c>
      <c r="R136" s="27">
        <v>5.87</v>
      </c>
      <c r="S136" s="27">
        <v>5.87</v>
      </c>
      <c r="T136" s="27">
        <v>5.87</v>
      </c>
      <c r="U136" s="27">
        <v>5.87</v>
      </c>
      <c r="V136" s="27">
        <v>5.87</v>
      </c>
      <c r="W136">
        <v>5.87</v>
      </c>
      <c r="X136">
        <v>5.87</v>
      </c>
      <c r="Y136">
        <v>5.87</v>
      </c>
      <c r="Z136">
        <v>5.87</v>
      </c>
      <c r="AA136">
        <v>5.87</v>
      </c>
    </row>
    <row r="137" spans="1:27"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44"/>
      <c r="O137" s="27"/>
      <c r="P137" s="27"/>
      <c r="Q137" s="27"/>
      <c r="R137" s="27"/>
      <c r="S137" s="27"/>
      <c r="T137" s="27"/>
      <c r="U137" s="27"/>
      <c r="V137" s="27"/>
    </row>
    <row r="138" spans="1:27">
      <c r="A138" t="s">
        <v>987</v>
      </c>
      <c r="B138">
        <v>710460</v>
      </c>
      <c r="C138" s="27">
        <v>8.5</v>
      </c>
      <c r="D138" s="27">
        <v>8.5</v>
      </c>
      <c r="E138" s="27">
        <v>8.5</v>
      </c>
      <c r="F138" s="27">
        <v>8.5</v>
      </c>
      <c r="G138" s="27">
        <v>8.5</v>
      </c>
      <c r="H138" s="27">
        <v>8.5</v>
      </c>
      <c r="I138" s="27">
        <v>8.5</v>
      </c>
      <c r="J138" s="27">
        <v>8.5</v>
      </c>
      <c r="K138" s="27">
        <v>8.16</v>
      </c>
      <c r="L138" s="27">
        <v>8.16</v>
      </c>
      <c r="M138" s="27">
        <v>8.0299999999999994</v>
      </c>
      <c r="N138" s="44">
        <v>7.91</v>
      </c>
      <c r="O138" s="27">
        <v>7.82</v>
      </c>
      <c r="P138" s="27">
        <v>7.74</v>
      </c>
      <c r="Q138" s="27">
        <v>7.66</v>
      </c>
      <c r="R138" s="27">
        <v>7.57</v>
      </c>
      <c r="S138" s="27">
        <v>7.49</v>
      </c>
      <c r="T138" s="27">
        <v>7.41</v>
      </c>
      <c r="U138" s="27">
        <v>7.32</v>
      </c>
      <c r="V138" s="27">
        <v>7.24</v>
      </c>
      <c r="W138">
        <v>7.16</v>
      </c>
      <c r="X138">
        <v>7.07</v>
      </c>
      <c r="Y138">
        <v>6.99</v>
      </c>
      <c r="Z138">
        <v>6.91</v>
      </c>
      <c r="AA138">
        <v>7.86</v>
      </c>
    </row>
    <row r="139" spans="1:27">
      <c r="A139" t="s">
        <v>12</v>
      </c>
      <c r="B139" t="s">
        <v>12</v>
      </c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44"/>
      <c r="O139" s="27"/>
      <c r="P139" s="27"/>
      <c r="Q139" s="27"/>
      <c r="R139" s="27"/>
      <c r="S139" s="27"/>
      <c r="T139" s="27"/>
      <c r="U139" s="27"/>
      <c r="V139" s="27"/>
    </row>
    <row r="140" spans="1:27">
      <c r="A140" t="s">
        <v>988</v>
      </c>
      <c r="B140">
        <v>710462</v>
      </c>
      <c r="C140" s="27">
        <v>0</v>
      </c>
      <c r="D140" s="27">
        <v>0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8.43</v>
      </c>
      <c r="L140" s="27">
        <v>0</v>
      </c>
      <c r="M140" s="27">
        <v>0</v>
      </c>
      <c r="N140" s="44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  <c r="V140" s="27">
        <v>0</v>
      </c>
      <c r="W140">
        <v>0</v>
      </c>
      <c r="X140">
        <v>0</v>
      </c>
      <c r="Y140">
        <v>0</v>
      </c>
      <c r="Z140">
        <v>0</v>
      </c>
      <c r="AA140">
        <v>0.35</v>
      </c>
    </row>
    <row r="141" spans="1:27">
      <c r="A141" t="s">
        <v>198</v>
      </c>
      <c r="B141">
        <v>710464</v>
      </c>
      <c r="C141" s="27">
        <v>0</v>
      </c>
      <c r="D141" s="27">
        <v>0</v>
      </c>
      <c r="E141" s="27">
        <v>0</v>
      </c>
      <c r="F141" s="27">
        <v>0</v>
      </c>
      <c r="G141" s="27">
        <v>0</v>
      </c>
      <c r="H141" s="27">
        <v>0</v>
      </c>
      <c r="I141" s="27">
        <v>0</v>
      </c>
      <c r="J141" s="27">
        <v>0</v>
      </c>
      <c r="K141" s="27">
        <v>9.64</v>
      </c>
      <c r="L141" s="27">
        <v>0</v>
      </c>
      <c r="M141" s="27">
        <v>0</v>
      </c>
      <c r="N141" s="44">
        <v>0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  <c r="V141" s="27">
        <v>0</v>
      </c>
      <c r="W141">
        <v>0</v>
      </c>
      <c r="X141">
        <v>0</v>
      </c>
      <c r="Y141">
        <v>0</v>
      </c>
      <c r="Z141">
        <v>0</v>
      </c>
      <c r="AA141">
        <v>0.4</v>
      </c>
    </row>
    <row r="142" spans="1:27">
      <c r="A142" t="s">
        <v>989</v>
      </c>
      <c r="B142">
        <v>710466</v>
      </c>
      <c r="C142" s="27">
        <v>0</v>
      </c>
      <c r="D142" s="27">
        <v>0</v>
      </c>
      <c r="E142" s="27">
        <v>0</v>
      </c>
      <c r="F142" s="27">
        <v>0</v>
      </c>
      <c r="G142" s="27">
        <v>0</v>
      </c>
      <c r="H142" s="27">
        <v>0</v>
      </c>
      <c r="I142" s="27">
        <v>0</v>
      </c>
      <c r="J142" s="27">
        <v>0</v>
      </c>
      <c r="K142" s="27">
        <v>8.4700000000000006</v>
      </c>
      <c r="L142" s="27">
        <v>0</v>
      </c>
      <c r="M142" s="27">
        <v>0</v>
      </c>
      <c r="N142" s="44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  <c r="V142" s="27">
        <v>0</v>
      </c>
      <c r="W142">
        <v>0</v>
      </c>
      <c r="X142">
        <v>0</v>
      </c>
      <c r="Y142">
        <v>0</v>
      </c>
      <c r="Z142">
        <v>0</v>
      </c>
      <c r="AA142">
        <v>0.35</v>
      </c>
    </row>
    <row r="143" spans="1:27">
      <c r="A143" t="s">
        <v>990</v>
      </c>
      <c r="B143">
        <v>710468</v>
      </c>
      <c r="C143" s="27">
        <v>0</v>
      </c>
      <c r="D143" s="27">
        <v>0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8.16</v>
      </c>
      <c r="L143" s="27">
        <v>0</v>
      </c>
      <c r="M143" s="27">
        <v>0</v>
      </c>
      <c r="N143" s="44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  <c r="V143" s="27">
        <v>0</v>
      </c>
      <c r="W143">
        <v>0</v>
      </c>
      <c r="X143">
        <v>0</v>
      </c>
      <c r="Y143">
        <v>0</v>
      </c>
      <c r="Z143">
        <v>0</v>
      </c>
      <c r="AA143">
        <v>0.34</v>
      </c>
    </row>
    <row r="144" spans="1:27">
      <c r="A144" t="s">
        <v>991</v>
      </c>
      <c r="C144" s="27">
        <v>8.5399999999999991</v>
      </c>
      <c r="D144" s="27">
        <v>8.5399999999999991</v>
      </c>
      <c r="E144" s="27">
        <v>8.5399999999999991</v>
      </c>
      <c r="F144" s="27">
        <v>8.5399999999999991</v>
      </c>
      <c r="G144" s="27">
        <v>8.5399999999999991</v>
      </c>
      <c r="H144" s="27">
        <v>8.5399999999999991</v>
      </c>
      <c r="I144" s="27">
        <v>8.5399999999999991</v>
      </c>
      <c r="J144" s="27">
        <v>8.5399999999999991</v>
      </c>
      <c r="K144" s="27">
        <v>8.1999999999999993</v>
      </c>
      <c r="L144" s="27">
        <v>8.1999999999999993</v>
      </c>
      <c r="M144" s="27">
        <v>8.07</v>
      </c>
      <c r="N144" s="44">
        <v>7.95</v>
      </c>
      <c r="O144" s="27">
        <v>7.86</v>
      </c>
      <c r="P144" s="27">
        <v>7.78</v>
      </c>
      <c r="Q144" s="27">
        <v>7.7</v>
      </c>
      <c r="R144" s="27">
        <v>7.61</v>
      </c>
      <c r="S144" s="27">
        <v>7.53</v>
      </c>
      <c r="T144" s="27">
        <v>7.45</v>
      </c>
      <c r="U144" s="27">
        <v>7.35</v>
      </c>
      <c r="V144" s="27">
        <v>7.27</v>
      </c>
      <c r="W144">
        <v>7.19</v>
      </c>
      <c r="X144">
        <v>7.1</v>
      </c>
      <c r="Y144">
        <v>7.02</v>
      </c>
      <c r="Z144">
        <v>6.94</v>
      </c>
      <c r="AA144">
        <v>7.9</v>
      </c>
    </row>
    <row r="145" spans="1:27"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44"/>
      <c r="O145" s="27"/>
      <c r="P145" s="27"/>
      <c r="Q145" s="27"/>
      <c r="R145" s="27"/>
      <c r="S145" s="27"/>
      <c r="T145" s="27"/>
      <c r="U145" s="27"/>
      <c r="V145" s="27"/>
    </row>
    <row r="146" spans="1:27">
      <c r="A146" t="s">
        <v>992</v>
      </c>
      <c r="B146">
        <v>710505</v>
      </c>
      <c r="C146" s="27">
        <v>7.47</v>
      </c>
      <c r="D146" s="27">
        <v>7.47</v>
      </c>
      <c r="E146" s="27">
        <v>7.47</v>
      </c>
      <c r="F146" s="27">
        <v>7.47</v>
      </c>
      <c r="G146" s="27">
        <v>7.47</v>
      </c>
      <c r="H146" s="27">
        <v>7.47</v>
      </c>
      <c r="I146" s="27">
        <v>7.47</v>
      </c>
      <c r="J146" s="27">
        <v>7.47</v>
      </c>
      <c r="K146" s="27">
        <v>7.03</v>
      </c>
      <c r="L146" s="27">
        <v>6.56</v>
      </c>
      <c r="M146" s="27">
        <v>6.59</v>
      </c>
      <c r="N146" s="44">
        <v>6.63</v>
      </c>
      <c r="O146" s="27">
        <v>6.7</v>
      </c>
      <c r="P146" s="27">
        <v>6.71</v>
      </c>
      <c r="Q146" s="27">
        <v>6.72</v>
      </c>
      <c r="R146" s="27">
        <v>6.74</v>
      </c>
      <c r="S146" s="27">
        <v>6.75</v>
      </c>
      <c r="T146" s="27">
        <v>6.77</v>
      </c>
      <c r="U146" s="27">
        <v>6.79</v>
      </c>
      <c r="V146" s="27">
        <v>6.81</v>
      </c>
      <c r="W146">
        <v>6.83</v>
      </c>
      <c r="X146">
        <v>6.86</v>
      </c>
      <c r="Y146">
        <v>6.88</v>
      </c>
      <c r="Z146">
        <v>6.9</v>
      </c>
      <c r="AA146">
        <v>7</v>
      </c>
    </row>
    <row r="147" spans="1:27">
      <c r="A147" t="s">
        <v>993</v>
      </c>
      <c r="B147">
        <v>710510</v>
      </c>
      <c r="C147" s="27">
        <v>6</v>
      </c>
      <c r="D147" s="27">
        <v>6</v>
      </c>
      <c r="E147" s="27">
        <v>6</v>
      </c>
      <c r="F147" s="27">
        <v>6</v>
      </c>
      <c r="G147" s="27">
        <v>6</v>
      </c>
      <c r="H147" s="27">
        <v>6</v>
      </c>
      <c r="I147" s="27">
        <v>6</v>
      </c>
      <c r="J147" s="27">
        <v>6</v>
      </c>
      <c r="K147" s="27">
        <v>5.56</v>
      </c>
      <c r="L147" s="27">
        <v>5.09</v>
      </c>
      <c r="M147" s="27">
        <v>5.12</v>
      </c>
      <c r="N147" s="44">
        <v>5.16</v>
      </c>
      <c r="O147" s="27">
        <v>5.23</v>
      </c>
      <c r="P147" s="27">
        <v>5.24</v>
      </c>
      <c r="Q147" s="27">
        <v>5.25</v>
      </c>
      <c r="R147" s="27">
        <v>5.27</v>
      </c>
      <c r="S147" s="27">
        <v>5.28</v>
      </c>
      <c r="T147" s="27">
        <v>5.3</v>
      </c>
      <c r="U147" s="27">
        <v>5.32</v>
      </c>
      <c r="V147" s="27">
        <v>5.34</v>
      </c>
      <c r="W147">
        <v>5.36</v>
      </c>
      <c r="X147">
        <v>5.39</v>
      </c>
      <c r="Y147">
        <v>5.41</v>
      </c>
      <c r="Z147">
        <v>5.43</v>
      </c>
      <c r="AA147">
        <v>5.53</v>
      </c>
    </row>
    <row r="148" spans="1:27">
      <c r="A148" t="s">
        <v>207</v>
      </c>
      <c r="B148">
        <v>710515</v>
      </c>
      <c r="C148" s="27">
        <v>6</v>
      </c>
      <c r="D148" s="27">
        <v>6</v>
      </c>
      <c r="E148" s="27">
        <v>6</v>
      </c>
      <c r="F148" s="27">
        <v>6</v>
      </c>
      <c r="G148" s="27">
        <v>6</v>
      </c>
      <c r="H148" s="27">
        <v>6</v>
      </c>
      <c r="I148" s="27">
        <v>6</v>
      </c>
      <c r="J148" s="27">
        <v>6</v>
      </c>
      <c r="K148" s="27">
        <v>5.56</v>
      </c>
      <c r="L148" s="27">
        <v>5.09</v>
      </c>
      <c r="M148" s="27">
        <v>5.12</v>
      </c>
      <c r="N148" s="44">
        <v>5.16</v>
      </c>
      <c r="O148" s="27">
        <v>5.23</v>
      </c>
      <c r="P148" s="27">
        <v>5.24</v>
      </c>
      <c r="Q148" s="27">
        <v>5.25</v>
      </c>
      <c r="R148" s="27">
        <v>5.27</v>
      </c>
      <c r="S148" s="27">
        <v>5.28</v>
      </c>
      <c r="T148" s="27">
        <v>5.3</v>
      </c>
      <c r="U148" s="27">
        <v>5.32</v>
      </c>
      <c r="V148" s="27">
        <v>5.34</v>
      </c>
      <c r="W148">
        <v>5.36</v>
      </c>
      <c r="X148">
        <v>5.39</v>
      </c>
      <c r="Y148">
        <v>5.41</v>
      </c>
      <c r="Z148">
        <v>5.43</v>
      </c>
      <c r="AA148">
        <v>5.53</v>
      </c>
    </row>
    <row r="149" spans="1:27">
      <c r="A149" t="s">
        <v>994</v>
      </c>
      <c r="B149">
        <v>710547</v>
      </c>
      <c r="C149" s="27">
        <v>5</v>
      </c>
      <c r="D149" s="27">
        <v>5</v>
      </c>
      <c r="E149" s="27">
        <v>5</v>
      </c>
      <c r="F149" s="27">
        <v>5</v>
      </c>
      <c r="G149" s="27">
        <v>5</v>
      </c>
      <c r="H149" s="27">
        <v>5</v>
      </c>
      <c r="I149" s="27">
        <v>5</v>
      </c>
      <c r="J149" s="27">
        <v>5</v>
      </c>
      <c r="K149" s="27">
        <v>4.5599999999999996</v>
      </c>
      <c r="L149" s="27">
        <v>4.09</v>
      </c>
      <c r="M149" s="27">
        <v>4.12</v>
      </c>
      <c r="N149" s="44">
        <v>4.16</v>
      </c>
      <c r="O149" s="27">
        <v>4.2300000000000004</v>
      </c>
      <c r="P149" s="27">
        <v>4.24</v>
      </c>
      <c r="Q149" s="27">
        <v>4.25</v>
      </c>
      <c r="R149" s="27">
        <v>4.2699999999999996</v>
      </c>
      <c r="S149" s="27">
        <v>4.28</v>
      </c>
      <c r="T149" s="27">
        <v>4.3</v>
      </c>
      <c r="U149" s="27">
        <v>4.32</v>
      </c>
      <c r="V149" s="27">
        <v>4.34</v>
      </c>
      <c r="W149">
        <v>4.3600000000000003</v>
      </c>
      <c r="X149">
        <v>4.3899999999999997</v>
      </c>
      <c r="Y149">
        <v>4.41</v>
      </c>
      <c r="Z149">
        <v>4.43</v>
      </c>
      <c r="AA149">
        <v>4.53</v>
      </c>
    </row>
    <row r="150" spans="1:27">
      <c r="A150" t="s">
        <v>209</v>
      </c>
      <c r="B150">
        <v>710520</v>
      </c>
      <c r="C150" s="27">
        <v>7</v>
      </c>
      <c r="D150" s="27">
        <v>7</v>
      </c>
      <c r="E150" s="27">
        <v>7</v>
      </c>
      <c r="F150" s="27">
        <v>7</v>
      </c>
      <c r="G150" s="27">
        <v>7</v>
      </c>
      <c r="H150" s="27">
        <v>7</v>
      </c>
      <c r="I150" s="27">
        <v>7</v>
      </c>
      <c r="J150" s="27">
        <v>7</v>
      </c>
      <c r="K150" s="27">
        <v>6.56</v>
      </c>
      <c r="L150" s="27">
        <v>6.09</v>
      </c>
      <c r="M150" s="27">
        <v>6.12</v>
      </c>
      <c r="N150" s="44">
        <v>6.16</v>
      </c>
      <c r="O150" s="27">
        <v>6.23</v>
      </c>
      <c r="P150" s="27">
        <v>6.24</v>
      </c>
      <c r="Q150" s="27">
        <v>6.25</v>
      </c>
      <c r="R150" s="27">
        <v>6.27</v>
      </c>
      <c r="S150" s="27">
        <v>6.28</v>
      </c>
      <c r="T150" s="27">
        <v>6.3</v>
      </c>
      <c r="U150" s="27">
        <v>6.32</v>
      </c>
      <c r="V150" s="27">
        <v>6.34</v>
      </c>
      <c r="W150">
        <v>6.36</v>
      </c>
      <c r="X150">
        <v>6.39</v>
      </c>
      <c r="Y150">
        <v>6.41</v>
      </c>
      <c r="Z150">
        <v>6.43</v>
      </c>
      <c r="AA150">
        <v>6.53</v>
      </c>
    </row>
    <row r="151" spans="1:27">
      <c r="A151" t="s">
        <v>995</v>
      </c>
      <c r="B151">
        <v>710521</v>
      </c>
      <c r="C151" s="27">
        <v>1</v>
      </c>
      <c r="D151" s="27">
        <v>1</v>
      </c>
      <c r="E151" s="27">
        <v>1</v>
      </c>
      <c r="F151" s="27">
        <v>1</v>
      </c>
      <c r="G151" s="27">
        <v>1</v>
      </c>
      <c r="H151" s="27">
        <v>1</v>
      </c>
      <c r="I151" s="27">
        <v>1</v>
      </c>
      <c r="J151" s="27">
        <v>1</v>
      </c>
      <c r="K151" s="27">
        <v>1</v>
      </c>
      <c r="L151" s="27">
        <v>1</v>
      </c>
      <c r="M151" s="27">
        <v>1</v>
      </c>
      <c r="N151" s="44">
        <v>1</v>
      </c>
      <c r="O151" s="27">
        <v>1</v>
      </c>
      <c r="P151" s="27">
        <v>1</v>
      </c>
      <c r="Q151" s="27">
        <v>1</v>
      </c>
      <c r="R151" s="27">
        <v>1</v>
      </c>
      <c r="S151" s="27">
        <v>1</v>
      </c>
      <c r="T151" s="27">
        <v>1</v>
      </c>
      <c r="U151" s="27">
        <v>1</v>
      </c>
      <c r="V151" s="27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t="s">
        <v>996</v>
      </c>
      <c r="B152">
        <v>710525</v>
      </c>
      <c r="C152" s="27">
        <v>7.5</v>
      </c>
      <c r="D152" s="27">
        <v>7.5</v>
      </c>
      <c r="E152" s="27">
        <v>7.5</v>
      </c>
      <c r="F152" s="27">
        <v>7.5</v>
      </c>
      <c r="G152" s="27">
        <v>7.5</v>
      </c>
      <c r="H152" s="27">
        <v>7.5</v>
      </c>
      <c r="I152" s="27">
        <v>7.5</v>
      </c>
      <c r="J152" s="27">
        <v>7.5</v>
      </c>
      <c r="K152" s="27">
        <v>7.06</v>
      </c>
      <c r="L152" s="27">
        <v>6.59</v>
      </c>
      <c r="M152" s="27">
        <v>6.62</v>
      </c>
      <c r="N152" s="44">
        <v>6.66</v>
      </c>
      <c r="O152" s="27">
        <v>6.73</v>
      </c>
      <c r="P152" s="27">
        <v>6.74</v>
      </c>
      <c r="Q152" s="27">
        <v>6.75</v>
      </c>
      <c r="R152" s="27">
        <v>6.77</v>
      </c>
      <c r="S152" s="27">
        <v>6.78</v>
      </c>
      <c r="T152" s="27">
        <v>6.8</v>
      </c>
      <c r="U152" s="27">
        <v>6.82</v>
      </c>
      <c r="V152" s="27">
        <v>6.84</v>
      </c>
      <c r="W152">
        <v>6.86</v>
      </c>
      <c r="X152">
        <v>6.89</v>
      </c>
      <c r="Y152">
        <v>6.91</v>
      </c>
      <c r="Z152">
        <v>6.93</v>
      </c>
      <c r="AA152">
        <v>7.03</v>
      </c>
    </row>
    <row r="153" spans="1:27">
      <c r="A153" t="s">
        <v>997</v>
      </c>
      <c r="B153">
        <v>710535</v>
      </c>
      <c r="C153" s="27">
        <v>0.25</v>
      </c>
      <c r="D153" s="27">
        <v>0.25</v>
      </c>
      <c r="E153" s="27">
        <v>0.25</v>
      </c>
      <c r="F153" s="27">
        <v>0.25</v>
      </c>
      <c r="G153" s="27">
        <v>0.25</v>
      </c>
      <c r="H153" s="27">
        <v>0.25</v>
      </c>
      <c r="I153" s="27">
        <v>0.25</v>
      </c>
      <c r="J153" s="27">
        <v>0.25</v>
      </c>
      <c r="K153" s="27">
        <v>0.25</v>
      </c>
      <c r="L153" s="27">
        <v>0.25</v>
      </c>
      <c r="M153" s="27">
        <v>0.25</v>
      </c>
      <c r="N153" s="44">
        <v>0.25</v>
      </c>
      <c r="O153" s="27">
        <v>0.25</v>
      </c>
      <c r="P153" s="27">
        <v>0.25</v>
      </c>
      <c r="Q153" s="27">
        <v>0.25</v>
      </c>
      <c r="R153" s="27">
        <v>0.25</v>
      </c>
      <c r="S153" s="27">
        <v>0.25</v>
      </c>
      <c r="T153" s="27">
        <v>0.25</v>
      </c>
      <c r="U153" s="27">
        <v>0.25</v>
      </c>
      <c r="V153" s="27">
        <v>0.25</v>
      </c>
      <c r="W153">
        <v>0.25</v>
      </c>
      <c r="X153">
        <v>0.25</v>
      </c>
      <c r="Y153">
        <v>0.25</v>
      </c>
      <c r="Z153">
        <v>0.25</v>
      </c>
      <c r="AA153">
        <v>0.25</v>
      </c>
    </row>
    <row r="154" spans="1:27">
      <c r="A154" t="s">
        <v>998</v>
      </c>
      <c r="B154">
        <v>710540</v>
      </c>
      <c r="C154" s="27">
        <v>4</v>
      </c>
      <c r="D154" s="27">
        <v>4</v>
      </c>
      <c r="E154" s="27">
        <v>4</v>
      </c>
      <c r="F154" s="27">
        <v>4</v>
      </c>
      <c r="G154" s="27">
        <v>4</v>
      </c>
      <c r="H154" s="27">
        <v>4</v>
      </c>
      <c r="I154" s="27">
        <v>4</v>
      </c>
      <c r="J154" s="27">
        <v>4</v>
      </c>
      <c r="K154" s="27">
        <v>4</v>
      </c>
      <c r="L154" s="27">
        <v>4</v>
      </c>
      <c r="M154" s="27">
        <v>4</v>
      </c>
      <c r="N154" s="44">
        <v>4</v>
      </c>
      <c r="O154" s="27">
        <v>4</v>
      </c>
      <c r="P154" s="27">
        <v>4</v>
      </c>
      <c r="Q154" s="27">
        <v>4</v>
      </c>
      <c r="R154" s="27">
        <v>4</v>
      </c>
      <c r="S154" s="27">
        <v>4</v>
      </c>
      <c r="T154" s="27">
        <v>4</v>
      </c>
      <c r="U154" s="27">
        <v>4</v>
      </c>
      <c r="V154" s="27">
        <v>4</v>
      </c>
      <c r="W154">
        <v>4</v>
      </c>
      <c r="X154">
        <v>4</v>
      </c>
      <c r="Y154">
        <v>4</v>
      </c>
      <c r="Z154">
        <v>4</v>
      </c>
      <c r="AA154">
        <v>4</v>
      </c>
    </row>
    <row r="155" spans="1:27">
      <c r="A155" t="s">
        <v>215</v>
      </c>
      <c r="B155">
        <v>710545</v>
      </c>
      <c r="C155" s="27">
        <v>8.9499999999999993</v>
      </c>
      <c r="D155" s="27">
        <v>8.9499999999999993</v>
      </c>
      <c r="E155" s="27">
        <v>8.9499999999999993</v>
      </c>
      <c r="F155" s="27">
        <v>8.9499999999999993</v>
      </c>
      <c r="G155" s="27">
        <v>8.9499999999999993</v>
      </c>
      <c r="H155" s="27">
        <v>8.9499999999999993</v>
      </c>
      <c r="I155" s="27">
        <v>8.9499999999999993</v>
      </c>
      <c r="J155" s="27">
        <v>8.9499999999999993</v>
      </c>
      <c r="K155" s="27">
        <v>8.9499999999999993</v>
      </c>
      <c r="L155" s="27">
        <v>8.9499999999999993</v>
      </c>
      <c r="M155" s="27">
        <v>8.9499999999999993</v>
      </c>
      <c r="N155" s="44">
        <v>8.9499999999999993</v>
      </c>
      <c r="O155" s="27">
        <v>8.9499999999999993</v>
      </c>
      <c r="P155" s="27">
        <v>8.9499999999999993</v>
      </c>
      <c r="Q155" s="27">
        <v>8.9499999999999993</v>
      </c>
      <c r="R155" s="27">
        <v>8.9499999999999993</v>
      </c>
      <c r="S155" s="27">
        <v>8.9499999999999993</v>
      </c>
      <c r="T155" s="27">
        <v>8.9499999999999993</v>
      </c>
      <c r="U155" s="27">
        <v>8.9499999999999993</v>
      </c>
      <c r="V155" s="27">
        <v>8.9499999999999993</v>
      </c>
      <c r="W155">
        <v>8.9499999999999993</v>
      </c>
      <c r="X155">
        <v>8.9499999999999993</v>
      </c>
      <c r="Y155">
        <v>8.9499999999999993</v>
      </c>
      <c r="Z155">
        <v>8.9499999999999993</v>
      </c>
      <c r="AA155">
        <v>8.9499999999999993</v>
      </c>
    </row>
    <row r="156" spans="1:27">
      <c r="A156" t="s">
        <v>12</v>
      </c>
      <c r="B156" t="s">
        <v>12</v>
      </c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44"/>
      <c r="O156" s="27"/>
      <c r="P156" s="27"/>
      <c r="Q156" s="27"/>
      <c r="R156" s="27"/>
      <c r="S156" s="27"/>
      <c r="T156" s="27"/>
      <c r="U156" s="27"/>
      <c r="V156" s="27"/>
    </row>
    <row r="157" spans="1:27">
      <c r="A157" t="s">
        <v>218</v>
      </c>
      <c r="C157" s="27">
        <v>6.26</v>
      </c>
      <c r="D157" s="27">
        <v>6.26</v>
      </c>
      <c r="E157" s="27">
        <v>6.26</v>
      </c>
      <c r="F157" s="27">
        <v>6.26</v>
      </c>
      <c r="G157" s="27">
        <v>6.26</v>
      </c>
      <c r="H157" s="27">
        <v>6.26</v>
      </c>
      <c r="I157" s="27">
        <v>6.23</v>
      </c>
      <c r="J157" s="27">
        <v>6.19</v>
      </c>
      <c r="K157" s="27">
        <v>5.75</v>
      </c>
      <c r="L157" s="27">
        <v>5.28</v>
      </c>
      <c r="M157" s="27">
        <v>5.31</v>
      </c>
      <c r="N157" s="44">
        <v>5.35</v>
      </c>
      <c r="O157" s="27">
        <v>5.42</v>
      </c>
      <c r="P157" s="27">
        <v>5.43</v>
      </c>
      <c r="Q157" s="27">
        <v>5.44</v>
      </c>
      <c r="R157" s="27">
        <v>5.46</v>
      </c>
      <c r="S157" s="27">
        <v>5.47</v>
      </c>
      <c r="T157" s="27">
        <v>5.49</v>
      </c>
      <c r="U157" s="27">
        <v>5.51</v>
      </c>
      <c r="V157" s="27">
        <v>5.53</v>
      </c>
      <c r="W157">
        <v>5.55</v>
      </c>
      <c r="X157">
        <v>5.58</v>
      </c>
      <c r="Y157">
        <v>5.6</v>
      </c>
      <c r="Z157">
        <v>5.62</v>
      </c>
      <c r="AA157">
        <v>5.74</v>
      </c>
    </row>
    <row r="158" spans="1:27"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44"/>
      <c r="O158" s="27"/>
      <c r="P158" s="27"/>
      <c r="Q158" s="27"/>
      <c r="R158" s="27"/>
      <c r="S158" s="27"/>
      <c r="T158" s="27"/>
      <c r="U158" s="27"/>
      <c r="V158" s="27"/>
    </row>
    <row r="159" spans="1:27">
      <c r="A159" t="s">
        <v>999</v>
      </c>
      <c r="B159">
        <v>710550</v>
      </c>
      <c r="C159" s="27">
        <v>8.34</v>
      </c>
      <c r="D159" s="27">
        <v>8.34</v>
      </c>
      <c r="E159" s="27">
        <v>8.34</v>
      </c>
      <c r="F159" s="27">
        <v>8.34</v>
      </c>
      <c r="G159" s="27">
        <v>8.34</v>
      </c>
      <c r="H159" s="27">
        <v>8.34</v>
      </c>
      <c r="I159" s="27">
        <v>8.34</v>
      </c>
      <c r="J159" s="27">
        <v>8.34</v>
      </c>
      <c r="K159" s="27">
        <v>6.48</v>
      </c>
      <c r="L159" s="27">
        <v>6.03</v>
      </c>
      <c r="M159" s="27">
        <v>6.03</v>
      </c>
      <c r="N159" s="44">
        <v>6.04</v>
      </c>
      <c r="O159" s="27">
        <v>6.06</v>
      </c>
      <c r="P159" s="27">
        <v>6.06</v>
      </c>
      <c r="Q159" s="27">
        <v>6.06</v>
      </c>
      <c r="R159" s="27">
        <v>6.06</v>
      </c>
      <c r="S159" s="27">
        <v>6.07</v>
      </c>
      <c r="T159" s="27">
        <v>6.07</v>
      </c>
      <c r="U159" s="27">
        <v>6.08</v>
      </c>
      <c r="V159" s="27">
        <v>6.08</v>
      </c>
      <c r="W159">
        <v>6.09</v>
      </c>
      <c r="X159">
        <v>6.09</v>
      </c>
      <c r="Y159">
        <v>6.1</v>
      </c>
      <c r="Z159">
        <v>6.1</v>
      </c>
      <c r="AA159">
        <v>6.84</v>
      </c>
    </row>
    <row r="160" spans="1:27">
      <c r="A160" t="s">
        <v>1000</v>
      </c>
      <c r="B160">
        <v>710555</v>
      </c>
      <c r="C160" s="27">
        <v>8.5</v>
      </c>
      <c r="D160" s="27">
        <v>8.5</v>
      </c>
      <c r="E160" s="27">
        <v>8.5</v>
      </c>
      <c r="F160" s="27">
        <v>8.5</v>
      </c>
      <c r="G160" s="27">
        <v>8.5</v>
      </c>
      <c r="H160" s="27">
        <v>8.5</v>
      </c>
      <c r="I160" s="27">
        <v>8.5</v>
      </c>
      <c r="J160" s="27">
        <v>8.5</v>
      </c>
      <c r="K160" s="27">
        <v>7.25</v>
      </c>
      <c r="L160" s="27">
        <v>7</v>
      </c>
      <c r="M160" s="27">
        <v>7</v>
      </c>
      <c r="N160" s="44">
        <v>6.75</v>
      </c>
      <c r="O160" s="27">
        <v>6.5</v>
      </c>
      <c r="P160" s="27">
        <v>6.5</v>
      </c>
      <c r="Q160" s="27">
        <v>6.5</v>
      </c>
      <c r="R160" s="27">
        <v>6.5</v>
      </c>
      <c r="S160" s="27">
        <v>6.5</v>
      </c>
      <c r="T160" s="27">
        <v>6.25</v>
      </c>
      <c r="U160" s="27">
        <v>6.25</v>
      </c>
      <c r="V160" s="27">
        <v>6.25</v>
      </c>
      <c r="W160">
        <v>6</v>
      </c>
      <c r="X160">
        <v>6</v>
      </c>
      <c r="Y160">
        <v>6</v>
      </c>
      <c r="Z160">
        <v>6</v>
      </c>
      <c r="AA160">
        <v>7.14</v>
      </c>
    </row>
    <row r="161" spans="1:27">
      <c r="A161" t="s">
        <v>221</v>
      </c>
      <c r="B161">
        <v>710563</v>
      </c>
      <c r="C161" s="27">
        <v>7.84</v>
      </c>
      <c r="D161" s="27">
        <v>7.84</v>
      </c>
      <c r="E161" s="27">
        <v>7.84</v>
      </c>
      <c r="F161" s="27">
        <v>7.84</v>
      </c>
      <c r="G161" s="27">
        <v>7.84</v>
      </c>
      <c r="H161" s="27">
        <v>7.84</v>
      </c>
      <c r="I161" s="27">
        <v>7.84</v>
      </c>
      <c r="J161" s="27">
        <v>7.84</v>
      </c>
      <c r="K161" s="27">
        <v>6</v>
      </c>
      <c r="L161" s="27">
        <v>5.59</v>
      </c>
      <c r="M161" s="27">
        <v>5.6</v>
      </c>
      <c r="N161" s="44">
        <v>5.6</v>
      </c>
      <c r="O161" s="27">
        <v>5.6</v>
      </c>
      <c r="P161" s="27">
        <v>5.61</v>
      </c>
      <c r="Q161" s="27">
        <v>5.61</v>
      </c>
      <c r="R161" s="27">
        <v>5.61</v>
      </c>
      <c r="S161" s="27">
        <v>5.61</v>
      </c>
      <c r="T161" s="27">
        <v>5.61</v>
      </c>
      <c r="U161" s="27">
        <v>5.61</v>
      </c>
      <c r="V161" s="27">
        <v>5.61</v>
      </c>
      <c r="W161">
        <v>5.61</v>
      </c>
      <c r="X161">
        <v>5.62</v>
      </c>
      <c r="Y161">
        <v>5.62</v>
      </c>
      <c r="Z161">
        <v>5.62</v>
      </c>
      <c r="AA161">
        <v>6.37</v>
      </c>
    </row>
    <row r="162" spans="1:27">
      <c r="A162" t="s">
        <v>222</v>
      </c>
      <c r="B162">
        <v>710564</v>
      </c>
      <c r="C162" s="27">
        <v>7.33</v>
      </c>
      <c r="D162" s="27">
        <v>7.33</v>
      </c>
      <c r="E162" s="27">
        <v>7.33</v>
      </c>
      <c r="F162" s="27">
        <v>7.33</v>
      </c>
      <c r="G162" s="27">
        <v>7.33</v>
      </c>
      <c r="H162" s="27">
        <v>7.33</v>
      </c>
      <c r="I162" s="27">
        <v>7.33</v>
      </c>
      <c r="J162" s="27">
        <v>7.33</v>
      </c>
      <c r="K162" s="27">
        <v>5.92</v>
      </c>
      <c r="L162" s="27">
        <v>5.46</v>
      </c>
      <c r="M162" s="27">
        <v>5.48</v>
      </c>
      <c r="N162" s="44">
        <v>5.51</v>
      </c>
      <c r="O162" s="27">
        <v>5.55</v>
      </c>
      <c r="P162" s="27">
        <v>5.56</v>
      </c>
      <c r="Q162" s="27">
        <v>5.57</v>
      </c>
      <c r="R162" s="27">
        <v>5.58</v>
      </c>
      <c r="S162" s="27">
        <v>5.58</v>
      </c>
      <c r="T162" s="27">
        <v>5.59</v>
      </c>
      <c r="U162" s="27">
        <v>5.61</v>
      </c>
      <c r="V162" s="27">
        <v>5.62</v>
      </c>
      <c r="W162">
        <v>5.64</v>
      </c>
      <c r="X162">
        <v>5.65</v>
      </c>
      <c r="Y162">
        <v>5.67</v>
      </c>
      <c r="Z162">
        <v>5.68</v>
      </c>
      <c r="AA162">
        <v>6.18</v>
      </c>
    </row>
    <row r="163" spans="1:27">
      <c r="A163" t="s">
        <v>223</v>
      </c>
      <c r="B163">
        <v>710565</v>
      </c>
      <c r="C163" s="27">
        <v>6.99</v>
      </c>
      <c r="D163" s="27">
        <v>6.99</v>
      </c>
      <c r="E163" s="27">
        <v>6.99</v>
      </c>
      <c r="F163" s="27">
        <v>6.99</v>
      </c>
      <c r="G163" s="27">
        <v>6.99</v>
      </c>
      <c r="H163" s="27">
        <v>6.99</v>
      </c>
      <c r="I163" s="27">
        <v>6.99</v>
      </c>
      <c r="J163" s="27">
        <v>6.99</v>
      </c>
      <c r="K163" s="27">
        <v>5.87</v>
      </c>
      <c r="L163" s="27">
        <v>5.44</v>
      </c>
      <c r="M163" s="27">
        <v>5.47</v>
      </c>
      <c r="N163" s="44">
        <v>5.5</v>
      </c>
      <c r="O163" s="27">
        <v>5.56</v>
      </c>
      <c r="P163" s="27">
        <v>5.57</v>
      </c>
      <c r="Q163" s="27">
        <v>5.59</v>
      </c>
      <c r="R163" s="27">
        <v>5.6</v>
      </c>
      <c r="S163" s="27">
        <v>5.61</v>
      </c>
      <c r="T163" s="27">
        <v>5.62</v>
      </c>
      <c r="U163" s="27">
        <v>5.64</v>
      </c>
      <c r="V163" s="27">
        <v>5.66</v>
      </c>
      <c r="W163">
        <v>5.68</v>
      </c>
      <c r="X163">
        <v>5.7</v>
      </c>
      <c r="Y163">
        <v>5.72</v>
      </c>
      <c r="Z163">
        <v>5.74</v>
      </c>
      <c r="AA163">
        <v>6.08</v>
      </c>
    </row>
    <row r="164" spans="1:27">
      <c r="A164" t="s">
        <v>224</v>
      </c>
      <c r="B164">
        <v>710570</v>
      </c>
      <c r="C164" s="27">
        <v>6.68</v>
      </c>
      <c r="D164" s="27">
        <v>6.68</v>
      </c>
      <c r="E164" s="27">
        <v>6.68</v>
      </c>
      <c r="F164" s="27">
        <v>6.68</v>
      </c>
      <c r="G164" s="27">
        <v>6.68</v>
      </c>
      <c r="H164" s="27">
        <v>6.68</v>
      </c>
      <c r="I164" s="27">
        <v>6.68</v>
      </c>
      <c r="J164" s="27">
        <v>6.68</v>
      </c>
      <c r="K164" s="27">
        <v>5.98</v>
      </c>
      <c r="L164" s="27">
        <v>5.63</v>
      </c>
      <c r="M164" s="27">
        <v>5.65</v>
      </c>
      <c r="N164" s="44">
        <v>5.66</v>
      </c>
      <c r="O164" s="27">
        <v>5.7</v>
      </c>
      <c r="P164" s="27">
        <v>5.71</v>
      </c>
      <c r="Q164" s="27">
        <v>5.72</v>
      </c>
      <c r="R164" s="27">
        <v>5.73</v>
      </c>
      <c r="S164" s="27">
        <v>5.73</v>
      </c>
      <c r="T164" s="27">
        <v>5.74</v>
      </c>
      <c r="U164" s="27">
        <v>5.76</v>
      </c>
      <c r="V164" s="27">
        <v>5.77</v>
      </c>
      <c r="W164">
        <v>5.78</v>
      </c>
      <c r="X164">
        <v>5.79</v>
      </c>
      <c r="Y164">
        <v>5.81</v>
      </c>
      <c r="Z164">
        <v>5.82</v>
      </c>
      <c r="AA164">
        <v>6.06</v>
      </c>
    </row>
    <row r="165" spans="1:27">
      <c r="A165" t="s">
        <v>1001</v>
      </c>
      <c r="B165">
        <v>710575</v>
      </c>
      <c r="C165" s="27">
        <v>9.5</v>
      </c>
      <c r="D165" s="27">
        <v>9.5</v>
      </c>
      <c r="E165" s="27">
        <v>9.5</v>
      </c>
      <c r="F165" s="27">
        <v>9.5</v>
      </c>
      <c r="G165" s="27">
        <v>9.5</v>
      </c>
      <c r="H165" s="27">
        <v>9.5</v>
      </c>
      <c r="I165" s="27">
        <v>9.5</v>
      </c>
      <c r="J165" s="27">
        <v>9.5</v>
      </c>
      <c r="K165" s="27">
        <v>8.25</v>
      </c>
      <c r="L165" s="27">
        <v>8</v>
      </c>
      <c r="M165" s="27">
        <v>8</v>
      </c>
      <c r="N165" s="44">
        <v>7.75</v>
      </c>
      <c r="O165" s="27">
        <v>7.5</v>
      </c>
      <c r="P165" s="27">
        <v>7.5</v>
      </c>
      <c r="Q165" s="27">
        <v>7.5</v>
      </c>
      <c r="R165" s="27">
        <v>7.5</v>
      </c>
      <c r="S165" s="27">
        <v>7.5</v>
      </c>
      <c r="T165" s="27">
        <v>7.25</v>
      </c>
      <c r="U165" s="27">
        <v>7.25</v>
      </c>
      <c r="V165" s="27">
        <v>7.25</v>
      </c>
      <c r="W165">
        <v>7</v>
      </c>
      <c r="X165">
        <v>7</v>
      </c>
      <c r="Y165">
        <v>7</v>
      </c>
      <c r="Z165">
        <v>7</v>
      </c>
      <c r="AA165">
        <v>8.14</v>
      </c>
    </row>
    <row r="166" spans="1:27">
      <c r="A166" t="s">
        <v>1002</v>
      </c>
      <c r="B166">
        <v>710580</v>
      </c>
      <c r="C166" s="27">
        <v>4</v>
      </c>
      <c r="D166" s="27">
        <v>4</v>
      </c>
      <c r="E166" s="27">
        <v>4</v>
      </c>
      <c r="F166" s="27">
        <v>4</v>
      </c>
      <c r="G166" s="27">
        <v>4</v>
      </c>
      <c r="H166" s="27">
        <v>4</v>
      </c>
      <c r="I166" s="27">
        <v>4</v>
      </c>
      <c r="J166" s="27">
        <v>4</v>
      </c>
      <c r="K166" s="27">
        <v>4</v>
      </c>
      <c r="L166" s="27">
        <v>4</v>
      </c>
      <c r="M166" s="27">
        <v>4</v>
      </c>
      <c r="N166" s="44">
        <v>4</v>
      </c>
      <c r="O166" s="27">
        <v>4</v>
      </c>
      <c r="P166" s="27">
        <v>4</v>
      </c>
      <c r="Q166" s="27">
        <v>4</v>
      </c>
      <c r="R166" s="27">
        <v>4</v>
      </c>
      <c r="S166" s="27">
        <v>4</v>
      </c>
      <c r="T166" s="27">
        <v>4</v>
      </c>
      <c r="U166" s="27">
        <v>4</v>
      </c>
      <c r="V166" s="27">
        <v>4</v>
      </c>
      <c r="W166">
        <v>4</v>
      </c>
      <c r="X166">
        <v>4</v>
      </c>
      <c r="Y166">
        <v>4</v>
      </c>
      <c r="Z166">
        <v>4</v>
      </c>
      <c r="AA166">
        <v>4</v>
      </c>
    </row>
    <row r="167" spans="1:27">
      <c r="A167" t="s">
        <v>1003</v>
      </c>
      <c r="B167">
        <v>710590</v>
      </c>
      <c r="C167" s="27">
        <v>9.75</v>
      </c>
      <c r="D167" s="27">
        <v>9.75</v>
      </c>
      <c r="E167" s="27">
        <v>9.75</v>
      </c>
      <c r="F167" s="27">
        <v>9.75</v>
      </c>
      <c r="G167" s="27">
        <v>9.75</v>
      </c>
      <c r="H167" s="27">
        <v>9.75</v>
      </c>
      <c r="I167" s="27">
        <v>9.75</v>
      </c>
      <c r="J167" s="27">
        <v>9.75</v>
      </c>
      <c r="K167" s="27">
        <v>8.5</v>
      </c>
      <c r="L167" s="27">
        <v>8.25</v>
      </c>
      <c r="M167" s="27">
        <v>8.25</v>
      </c>
      <c r="N167" s="44">
        <v>8</v>
      </c>
      <c r="O167" s="27">
        <v>7.75</v>
      </c>
      <c r="P167" s="27">
        <v>7.75</v>
      </c>
      <c r="Q167" s="27">
        <v>7.75</v>
      </c>
      <c r="R167" s="27">
        <v>7.75</v>
      </c>
      <c r="S167" s="27">
        <v>7.75</v>
      </c>
      <c r="T167" s="27">
        <v>7.5</v>
      </c>
      <c r="U167" s="27">
        <v>7.5</v>
      </c>
      <c r="V167" s="27">
        <v>7.5</v>
      </c>
      <c r="W167">
        <v>7.25</v>
      </c>
      <c r="X167">
        <v>7.25</v>
      </c>
      <c r="Y167">
        <v>7.25</v>
      </c>
      <c r="Z167">
        <v>7.25</v>
      </c>
      <c r="AA167">
        <v>8.39</v>
      </c>
    </row>
    <row r="168" spans="1:27">
      <c r="A168" t="s">
        <v>1004</v>
      </c>
      <c r="B168">
        <v>710595</v>
      </c>
      <c r="C168" s="27">
        <v>2.1800000000000002</v>
      </c>
      <c r="D168" s="27">
        <v>2.1800000000000002</v>
      </c>
      <c r="E168" s="27">
        <v>2.1800000000000002</v>
      </c>
      <c r="F168" s="27">
        <v>2.1800000000000002</v>
      </c>
      <c r="G168" s="27">
        <v>2.1800000000000002</v>
      </c>
      <c r="H168" s="27">
        <v>2.1800000000000002</v>
      </c>
      <c r="I168" s="27">
        <v>2.1800000000000002</v>
      </c>
      <c r="J168" s="27">
        <v>2.1800000000000002</v>
      </c>
      <c r="K168" s="27">
        <v>2.1800000000000002</v>
      </c>
      <c r="L168" s="27">
        <v>2.1800000000000002</v>
      </c>
      <c r="M168" s="27">
        <v>2.1800000000000002</v>
      </c>
      <c r="N168" s="44">
        <v>2.1800000000000002</v>
      </c>
      <c r="O168" s="27">
        <v>2.1800000000000002</v>
      </c>
      <c r="P168" s="27">
        <v>2.1800000000000002</v>
      </c>
      <c r="Q168" s="27">
        <v>2.1800000000000002</v>
      </c>
      <c r="R168" s="27">
        <v>2.1800000000000002</v>
      </c>
      <c r="S168" s="27">
        <v>2.1800000000000002</v>
      </c>
      <c r="T168" s="27">
        <v>2.1800000000000002</v>
      </c>
      <c r="U168" s="27">
        <v>2.1800000000000002</v>
      </c>
      <c r="V168" s="27">
        <v>2.1800000000000002</v>
      </c>
      <c r="W168">
        <v>2.1800000000000002</v>
      </c>
      <c r="X168">
        <v>2.1800000000000002</v>
      </c>
      <c r="Y168">
        <v>2.1800000000000002</v>
      </c>
      <c r="Z168">
        <v>2.1800000000000002</v>
      </c>
      <c r="AA168">
        <v>2.1800000000000002</v>
      </c>
    </row>
    <row r="169" spans="1:27">
      <c r="A169" t="s">
        <v>12</v>
      </c>
      <c r="B169" t="s">
        <v>12</v>
      </c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44"/>
      <c r="O169" s="27"/>
      <c r="P169" s="27"/>
      <c r="Q169" s="27"/>
      <c r="R169" s="27"/>
      <c r="S169" s="27"/>
      <c r="T169" s="27"/>
      <c r="U169" s="27"/>
      <c r="V169" s="27"/>
    </row>
    <row r="170" spans="1:27">
      <c r="A170" t="s">
        <v>229</v>
      </c>
      <c r="C170" s="27">
        <v>6.73</v>
      </c>
      <c r="D170" s="27">
        <v>6.7</v>
      </c>
      <c r="E170" s="27">
        <v>6.74</v>
      </c>
      <c r="F170" s="27">
        <v>6.77</v>
      </c>
      <c r="G170" s="27">
        <v>6.77</v>
      </c>
      <c r="H170" s="27">
        <v>6.74</v>
      </c>
      <c r="I170" s="27">
        <v>6.72</v>
      </c>
      <c r="J170" s="27">
        <v>6.72</v>
      </c>
      <c r="K170" s="27">
        <v>6.01</v>
      </c>
      <c r="L170" s="27">
        <v>5.67</v>
      </c>
      <c r="M170" s="27">
        <v>5.69</v>
      </c>
      <c r="N170" s="44">
        <v>5.69</v>
      </c>
      <c r="O170" s="27">
        <v>5.72</v>
      </c>
      <c r="P170" s="27">
        <v>5.73</v>
      </c>
      <c r="Q170" s="27">
        <v>5.74</v>
      </c>
      <c r="R170" s="27">
        <v>5.75</v>
      </c>
      <c r="S170" s="27">
        <v>5.75</v>
      </c>
      <c r="T170" s="27">
        <v>5.75</v>
      </c>
      <c r="U170" s="27">
        <v>5.77</v>
      </c>
      <c r="V170" s="27">
        <v>5.78</v>
      </c>
      <c r="W170">
        <v>5.78</v>
      </c>
      <c r="X170">
        <v>5.79</v>
      </c>
      <c r="Y170">
        <v>5.8</v>
      </c>
      <c r="Z170">
        <v>5.81</v>
      </c>
      <c r="AA170">
        <v>6.09</v>
      </c>
    </row>
    <row r="171" spans="1:27"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44"/>
      <c r="O171" s="27"/>
      <c r="P171" s="27"/>
      <c r="Q171" s="27"/>
      <c r="R171" s="27"/>
      <c r="S171" s="27"/>
      <c r="T171" s="27"/>
      <c r="U171" s="27"/>
      <c r="V171" s="27"/>
    </row>
    <row r="172" spans="1:27">
      <c r="A172" t="s">
        <v>1005</v>
      </c>
      <c r="B172">
        <v>710585</v>
      </c>
      <c r="C172" s="27">
        <v>0.01</v>
      </c>
      <c r="D172" s="27">
        <v>0.01</v>
      </c>
      <c r="E172" s="27">
        <v>0.01</v>
      </c>
      <c r="F172" s="27">
        <v>0.01</v>
      </c>
      <c r="G172" s="27">
        <v>0.01</v>
      </c>
      <c r="H172" s="27">
        <v>0.01</v>
      </c>
      <c r="I172" s="27">
        <v>0.01</v>
      </c>
      <c r="J172" s="27">
        <v>0.01</v>
      </c>
      <c r="K172" s="27">
        <v>0.01</v>
      </c>
      <c r="L172" s="27">
        <v>0.01</v>
      </c>
      <c r="M172" s="27">
        <v>0.01</v>
      </c>
      <c r="N172" s="44">
        <v>0.01</v>
      </c>
      <c r="O172" s="27">
        <v>0.01</v>
      </c>
      <c r="P172" s="27">
        <v>0.01</v>
      </c>
      <c r="Q172" s="27">
        <v>0.01</v>
      </c>
      <c r="R172" s="27">
        <v>0.01</v>
      </c>
      <c r="S172" s="27">
        <v>0.01</v>
      </c>
      <c r="T172" s="27">
        <v>0.01</v>
      </c>
      <c r="U172" s="27">
        <v>0.01</v>
      </c>
      <c r="V172" s="27">
        <v>0.01</v>
      </c>
      <c r="W172">
        <v>0.01</v>
      </c>
      <c r="X172">
        <v>0.01</v>
      </c>
      <c r="Y172">
        <v>0.01</v>
      </c>
      <c r="Z172">
        <v>0.01</v>
      </c>
      <c r="AA172">
        <v>0.01</v>
      </c>
    </row>
    <row r="173" spans="1:27">
      <c r="A173" t="s">
        <v>12</v>
      </c>
      <c r="B173" t="s">
        <v>12</v>
      </c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44"/>
      <c r="O173" s="27"/>
      <c r="P173" s="27"/>
      <c r="Q173" s="27"/>
      <c r="R173" s="27"/>
      <c r="S173" s="27"/>
      <c r="T173" s="27"/>
      <c r="U173" s="27"/>
      <c r="V173" s="27"/>
    </row>
    <row r="174" spans="1:27">
      <c r="A174" t="s">
        <v>232</v>
      </c>
      <c r="C174" s="27">
        <v>6.63</v>
      </c>
      <c r="D174" s="27">
        <v>6.6</v>
      </c>
      <c r="E174" s="27">
        <v>6.63</v>
      </c>
      <c r="F174" s="27">
        <v>6.65</v>
      </c>
      <c r="G174" s="27">
        <v>6.65</v>
      </c>
      <c r="H174" s="27">
        <v>6.63</v>
      </c>
      <c r="I174" s="27">
        <v>6.61</v>
      </c>
      <c r="J174" s="27">
        <v>6.61</v>
      </c>
      <c r="K174" s="27">
        <v>5.96</v>
      </c>
      <c r="L174" s="27">
        <v>5.59</v>
      </c>
      <c r="M174" s="27">
        <v>5.61</v>
      </c>
      <c r="N174" s="44">
        <v>5.62</v>
      </c>
      <c r="O174" s="27">
        <v>5.66</v>
      </c>
      <c r="P174" s="27">
        <v>5.67</v>
      </c>
      <c r="Q174" s="27">
        <v>5.67</v>
      </c>
      <c r="R174" s="27">
        <v>5.69</v>
      </c>
      <c r="S174" s="27">
        <v>5.69</v>
      </c>
      <c r="T174" s="27">
        <v>5.69</v>
      </c>
      <c r="U174" s="27">
        <v>5.71</v>
      </c>
      <c r="V174" s="27">
        <v>5.72</v>
      </c>
      <c r="W174">
        <v>5.73</v>
      </c>
      <c r="X174">
        <v>5.74</v>
      </c>
      <c r="Y174">
        <v>5.76</v>
      </c>
      <c r="Z174">
        <v>5.77</v>
      </c>
      <c r="AA174">
        <v>6.01</v>
      </c>
    </row>
    <row r="175" spans="1:27"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44"/>
      <c r="O175" s="27"/>
      <c r="P175" s="27"/>
      <c r="Q175" s="27"/>
      <c r="R175" s="27"/>
      <c r="S175" s="27"/>
      <c r="T175" s="27"/>
      <c r="U175" s="27"/>
      <c r="V175" s="27"/>
    </row>
    <row r="176" spans="1:27">
      <c r="A176" t="s">
        <v>1006</v>
      </c>
      <c r="B176">
        <v>710605</v>
      </c>
      <c r="C176" s="27">
        <v>0</v>
      </c>
      <c r="D176" s="27">
        <v>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8</v>
      </c>
      <c r="L176" s="27">
        <v>8</v>
      </c>
      <c r="M176" s="27">
        <v>8</v>
      </c>
      <c r="N176" s="44">
        <v>8</v>
      </c>
      <c r="O176" s="27">
        <v>8</v>
      </c>
      <c r="P176" s="27">
        <v>8</v>
      </c>
      <c r="Q176" s="27">
        <v>8</v>
      </c>
      <c r="R176" s="27">
        <v>8</v>
      </c>
      <c r="S176" s="27">
        <v>8</v>
      </c>
      <c r="T176" s="27">
        <v>8</v>
      </c>
      <c r="U176" s="27">
        <v>8</v>
      </c>
      <c r="V176" s="27">
        <v>8</v>
      </c>
      <c r="W176">
        <v>8</v>
      </c>
      <c r="X176">
        <v>8</v>
      </c>
      <c r="Y176">
        <v>8</v>
      </c>
      <c r="Z176">
        <v>8</v>
      </c>
      <c r="AA176">
        <v>5.33</v>
      </c>
    </row>
    <row r="177" spans="1:27">
      <c r="A177" t="s">
        <v>1007</v>
      </c>
      <c r="B177">
        <v>710610</v>
      </c>
      <c r="C177" s="27">
        <v>0</v>
      </c>
      <c r="D177" s="27">
        <v>0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0</v>
      </c>
      <c r="K177" s="27">
        <v>8</v>
      </c>
      <c r="L177" s="27">
        <v>8</v>
      </c>
      <c r="M177" s="27">
        <v>8</v>
      </c>
      <c r="N177" s="44">
        <v>8</v>
      </c>
      <c r="O177" s="27">
        <v>8</v>
      </c>
      <c r="P177" s="27">
        <v>8</v>
      </c>
      <c r="Q177" s="27">
        <v>8</v>
      </c>
      <c r="R177" s="27">
        <v>8</v>
      </c>
      <c r="S177" s="27">
        <v>8</v>
      </c>
      <c r="T177" s="27">
        <v>8</v>
      </c>
      <c r="U177" s="27">
        <v>8</v>
      </c>
      <c r="V177" s="27">
        <v>8</v>
      </c>
      <c r="W177">
        <v>8</v>
      </c>
      <c r="X177">
        <v>8</v>
      </c>
      <c r="Y177">
        <v>8</v>
      </c>
      <c r="Z177">
        <v>8</v>
      </c>
      <c r="AA177">
        <v>5.33</v>
      </c>
    </row>
    <row r="178" spans="1:27">
      <c r="A178" t="s">
        <v>235</v>
      </c>
      <c r="B178">
        <v>710615</v>
      </c>
      <c r="C178" s="27">
        <v>12.9</v>
      </c>
      <c r="D178" s="27">
        <v>12.9</v>
      </c>
      <c r="E178" s="27">
        <v>12.9</v>
      </c>
      <c r="F178" s="27">
        <v>12.9</v>
      </c>
      <c r="G178" s="27">
        <v>12.9</v>
      </c>
      <c r="H178" s="27">
        <v>12.9</v>
      </c>
      <c r="I178" s="27">
        <v>12.9</v>
      </c>
      <c r="J178" s="27">
        <v>12.9</v>
      </c>
      <c r="K178" s="27">
        <v>11.65</v>
      </c>
      <c r="L178" s="27">
        <v>11.4</v>
      </c>
      <c r="M178" s="27">
        <v>11.4</v>
      </c>
      <c r="N178" s="44">
        <v>11.15</v>
      </c>
      <c r="O178" s="27">
        <v>10.9</v>
      </c>
      <c r="P178" s="27">
        <v>10.9</v>
      </c>
      <c r="Q178" s="27">
        <v>10.9</v>
      </c>
      <c r="R178" s="27">
        <v>10.9</v>
      </c>
      <c r="S178" s="27">
        <v>10.9</v>
      </c>
      <c r="T178" s="27">
        <v>10.65</v>
      </c>
      <c r="U178" s="27">
        <v>10.65</v>
      </c>
      <c r="V178" s="27">
        <v>10.65</v>
      </c>
      <c r="W178">
        <v>10.4</v>
      </c>
      <c r="X178">
        <v>10.4</v>
      </c>
      <c r="Y178">
        <v>10.4</v>
      </c>
      <c r="Z178">
        <v>10.4</v>
      </c>
      <c r="AA178">
        <v>11.54</v>
      </c>
    </row>
    <row r="179" spans="1:27">
      <c r="A179" t="s">
        <v>236</v>
      </c>
      <c r="B179">
        <v>710620</v>
      </c>
      <c r="C179" s="27">
        <v>14.9</v>
      </c>
      <c r="D179" s="27">
        <v>14.9</v>
      </c>
      <c r="E179" s="27">
        <v>14.9</v>
      </c>
      <c r="F179" s="27">
        <v>14.9</v>
      </c>
      <c r="G179" s="27">
        <v>14.9</v>
      </c>
      <c r="H179" s="27">
        <v>14.9</v>
      </c>
      <c r="I179" s="27">
        <v>14.9</v>
      </c>
      <c r="J179" s="27">
        <v>14.9</v>
      </c>
      <c r="K179" s="27">
        <v>13.65</v>
      </c>
      <c r="L179" s="27">
        <v>13.4</v>
      </c>
      <c r="M179" s="27">
        <v>13.4</v>
      </c>
      <c r="N179" s="44">
        <v>13.15</v>
      </c>
      <c r="O179" s="27">
        <v>12.9</v>
      </c>
      <c r="P179" s="27">
        <v>12.9</v>
      </c>
      <c r="Q179" s="27">
        <v>12.9</v>
      </c>
      <c r="R179" s="27">
        <v>12.9</v>
      </c>
      <c r="S179" s="27">
        <v>12.9</v>
      </c>
      <c r="T179" s="27">
        <v>12.65</v>
      </c>
      <c r="U179" s="27">
        <v>12.65</v>
      </c>
      <c r="V179" s="27">
        <v>12.65</v>
      </c>
      <c r="W179">
        <v>12.4</v>
      </c>
      <c r="X179">
        <v>12.4</v>
      </c>
      <c r="Y179">
        <v>12.4</v>
      </c>
      <c r="Z179">
        <v>12.4</v>
      </c>
      <c r="AA179">
        <v>13.54</v>
      </c>
    </row>
    <row r="180" spans="1:27">
      <c r="A180" t="s">
        <v>1008</v>
      </c>
      <c r="B180">
        <v>710623</v>
      </c>
      <c r="C180" s="27">
        <v>14.9</v>
      </c>
      <c r="D180" s="27">
        <v>14.9</v>
      </c>
      <c r="E180" s="27">
        <v>14.9</v>
      </c>
      <c r="F180" s="27">
        <v>14.9</v>
      </c>
      <c r="G180" s="27">
        <v>14.9</v>
      </c>
      <c r="H180" s="27">
        <v>14.9</v>
      </c>
      <c r="I180" s="27">
        <v>14.9</v>
      </c>
      <c r="J180" s="27">
        <v>14.9</v>
      </c>
      <c r="K180" s="27">
        <v>15.65</v>
      </c>
      <c r="L180" s="27">
        <v>15.4</v>
      </c>
      <c r="M180" s="27">
        <v>15.4</v>
      </c>
      <c r="N180" s="44">
        <v>15.15</v>
      </c>
      <c r="O180" s="27">
        <v>14.9</v>
      </c>
      <c r="P180" s="27">
        <v>14.9</v>
      </c>
      <c r="Q180" s="27">
        <v>14.9</v>
      </c>
      <c r="R180" s="27">
        <v>14.9</v>
      </c>
      <c r="S180" s="27">
        <v>14.9</v>
      </c>
      <c r="T180" s="27">
        <v>14.65</v>
      </c>
      <c r="U180" s="27">
        <v>14.65</v>
      </c>
      <c r="V180" s="27">
        <v>14.65</v>
      </c>
      <c r="W180">
        <v>14.4</v>
      </c>
      <c r="X180">
        <v>14.4</v>
      </c>
      <c r="Y180">
        <v>14.4</v>
      </c>
      <c r="Z180">
        <v>14.4</v>
      </c>
      <c r="AA180">
        <v>14.87</v>
      </c>
    </row>
    <row r="181" spans="1:27">
      <c r="A181" t="s">
        <v>239</v>
      </c>
      <c r="B181">
        <v>710625</v>
      </c>
      <c r="C181" s="27">
        <v>15.9</v>
      </c>
      <c r="D181" s="27">
        <v>15.9</v>
      </c>
      <c r="E181" s="27">
        <v>15.9</v>
      </c>
      <c r="F181" s="27">
        <v>15.9</v>
      </c>
      <c r="G181" s="27">
        <v>15.9</v>
      </c>
      <c r="H181" s="27">
        <v>15.9</v>
      </c>
      <c r="I181" s="27">
        <v>15.9</v>
      </c>
      <c r="J181" s="27">
        <v>15.9</v>
      </c>
      <c r="K181" s="27">
        <v>13.65</v>
      </c>
      <c r="L181" s="27">
        <v>13.4</v>
      </c>
      <c r="M181" s="27">
        <v>13.4</v>
      </c>
      <c r="N181" s="44">
        <v>13.15</v>
      </c>
      <c r="O181" s="27">
        <v>12.9</v>
      </c>
      <c r="P181" s="27">
        <v>12.9</v>
      </c>
      <c r="Q181" s="27">
        <v>12.9</v>
      </c>
      <c r="R181" s="27">
        <v>12.9</v>
      </c>
      <c r="S181" s="27">
        <v>12.9</v>
      </c>
      <c r="T181" s="27">
        <v>12.65</v>
      </c>
      <c r="U181" s="27">
        <v>12.65</v>
      </c>
      <c r="V181" s="27">
        <v>12.65</v>
      </c>
      <c r="W181">
        <v>12.4</v>
      </c>
      <c r="X181">
        <v>12.4</v>
      </c>
      <c r="Y181">
        <v>12.4</v>
      </c>
      <c r="Z181">
        <v>12.4</v>
      </c>
      <c r="AA181">
        <v>13.87</v>
      </c>
    </row>
    <row r="182" spans="1:27">
      <c r="A182" t="s">
        <v>12</v>
      </c>
      <c r="B182" t="s">
        <v>12</v>
      </c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44"/>
      <c r="O182" s="27"/>
      <c r="P182" s="27"/>
      <c r="Q182" s="27"/>
      <c r="R182" s="27"/>
      <c r="S182" s="27"/>
      <c r="T182" s="27"/>
      <c r="U182" s="27"/>
      <c r="V182" s="27"/>
    </row>
    <row r="183" spans="1:27">
      <c r="A183" t="s">
        <v>235</v>
      </c>
      <c r="C183" s="27">
        <v>13.25</v>
      </c>
      <c r="D183" s="27">
        <v>13.25</v>
      </c>
      <c r="E183" s="27">
        <v>13.24</v>
      </c>
      <c r="F183" s="27">
        <v>13.24</v>
      </c>
      <c r="G183" s="27">
        <v>13.25</v>
      </c>
      <c r="H183" s="27">
        <v>13.25</v>
      </c>
      <c r="I183" s="27">
        <v>13.25</v>
      </c>
      <c r="J183" s="27">
        <v>13.26</v>
      </c>
      <c r="K183" s="27">
        <v>12.2</v>
      </c>
      <c r="L183" s="27">
        <v>11.93</v>
      </c>
      <c r="M183" s="27">
        <v>11.93</v>
      </c>
      <c r="N183" s="44">
        <v>11.69</v>
      </c>
      <c r="O183" s="27">
        <v>11.45</v>
      </c>
      <c r="P183" s="27">
        <v>11.45</v>
      </c>
      <c r="Q183" s="27">
        <v>11.45</v>
      </c>
      <c r="R183" s="27">
        <v>11.45</v>
      </c>
      <c r="S183" s="27">
        <v>11.45</v>
      </c>
      <c r="T183" s="27">
        <v>11.2</v>
      </c>
      <c r="U183" s="27">
        <v>11.2</v>
      </c>
      <c r="V183" s="27">
        <v>11.2</v>
      </c>
      <c r="W183">
        <v>10.95</v>
      </c>
      <c r="X183">
        <v>10.95</v>
      </c>
      <c r="Y183">
        <v>10.95</v>
      </c>
      <c r="Z183">
        <v>10.95</v>
      </c>
      <c r="AA183">
        <v>12.02</v>
      </c>
    </row>
    <row r="184" spans="1:27"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44"/>
      <c r="O184" s="27"/>
      <c r="P184" s="27"/>
      <c r="Q184" s="27"/>
      <c r="R184" s="27"/>
      <c r="S184" s="27"/>
      <c r="T184" s="27"/>
      <c r="U184" s="27"/>
      <c r="V184" s="27"/>
    </row>
    <row r="185" spans="1:27">
      <c r="A185" t="s">
        <v>1009</v>
      </c>
      <c r="B185">
        <v>710650</v>
      </c>
      <c r="C185" s="27">
        <v>10.039999999999999</v>
      </c>
      <c r="D185" s="27">
        <v>10.039999999999999</v>
      </c>
      <c r="E185" s="27">
        <v>10.039999999999999</v>
      </c>
      <c r="F185" s="27">
        <v>10.039999999999999</v>
      </c>
      <c r="G185" s="27">
        <v>10.039999999999999</v>
      </c>
      <c r="H185" s="27">
        <v>10.039999999999999</v>
      </c>
      <c r="I185" s="27">
        <v>10.039999999999999</v>
      </c>
      <c r="J185" s="27">
        <v>10.039999999999999</v>
      </c>
      <c r="K185" s="27">
        <v>8.23</v>
      </c>
      <c r="L185" s="27">
        <v>8.23</v>
      </c>
      <c r="M185" s="27">
        <v>8.2200000000000006</v>
      </c>
      <c r="N185" s="44">
        <v>8.2100000000000009</v>
      </c>
      <c r="O185" s="27">
        <v>8.19</v>
      </c>
      <c r="P185" s="27">
        <v>8.19</v>
      </c>
      <c r="Q185" s="27">
        <v>8.18</v>
      </c>
      <c r="R185" s="27">
        <v>8.18</v>
      </c>
      <c r="S185" s="27">
        <v>8.17</v>
      </c>
      <c r="T185" s="27">
        <v>8.17</v>
      </c>
      <c r="U185" s="27">
        <v>8.17</v>
      </c>
      <c r="V185" s="27">
        <v>8.17</v>
      </c>
      <c r="W185">
        <v>8.16</v>
      </c>
      <c r="X185">
        <v>8.16</v>
      </c>
      <c r="Y185">
        <v>8.15</v>
      </c>
      <c r="Z185">
        <v>8.14</v>
      </c>
      <c r="AA185">
        <v>8.8000000000000007</v>
      </c>
    </row>
    <row r="186" spans="1:27">
      <c r="A186" t="s">
        <v>1010</v>
      </c>
      <c r="B186">
        <v>710655</v>
      </c>
      <c r="C186" s="27">
        <v>10.54</v>
      </c>
      <c r="D186" s="27">
        <v>10.54</v>
      </c>
      <c r="E186" s="27">
        <v>10.54</v>
      </c>
      <c r="F186" s="27">
        <v>10.54</v>
      </c>
      <c r="G186" s="27">
        <v>10.54</v>
      </c>
      <c r="H186" s="27">
        <v>10.54</v>
      </c>
      <c r="I186" s="27">
        <v>10.54</v>
      </c>
      <c r="J186" s="27">
        <v>10.54</v>
      </c>
      <c r="K186" s="27">
        <v>8.6199999999999992</v>
      </c>
      <c r="L186" s="27">
        <v>8.6199999999999992</v>
      </c>
      <c r="M186" s="27">
        <v>8.6</v>
      </c>
      <c r="N186" s="44">
        <v>8.59</v>
      </c>
      <c r="O186" s="27">
        <v>8.58</v>
      </c>
      <c r="P186" s="27">
        <v>8.57</v>
      </c>
      <c r="Q186" s="27">
        <v>8.57</v>
      </c>
      <c r="R186" s="27">
        <v>8.56</v>
      </c>
      <c r="S186" s="27">
        <v>8.56</v>
      </c>
      <c r="T186" s="27">
        <v>8.56</v>
      </c>
      <c r="U186" s="27">
        <v>8.5500000000000007</v>
      </c>
      <c r="V186" s="27">
        <v>8.5500000000000007</v>
      </c>
      <c r="W186">
        <v>8.5500000000000007</v>
      </c>
      <c r="X186">
        <v>8.5500000000000007</v>
      </c>
      <c r="Y186">
        <v>8.5399999999999991</v>
      </c>
      <c r="Z186">
        <v>8.5299999999999994</v>
      </c>
      <c r="AA186">
        <v>9.23</v>
      </c>
    </row>
    <row r="187" spans="1:27">
      <c r="A187" t="s">
        <v>12</v>
      </c>
      <c r="B187" t="s">
        <v>12</v>
      </c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44"/>
      <c r="O187" s="27"/>
      <c r="P187" s="27"/>
      <c r="Q187" s="27"/>
      <c r="R187" s="27"/>
      <c r="S187" s="27"/>
      <c r="T187" s="27"/>
      <c r="U187" s="27"/>
      <c r="V187" s="27"/>
    </row>
    <row r="188" spans="1:27">
      <c r="A188" t="s">
        <v>1011</v>
      </c>
      <c r="C188" s="27">
        <v>10.44</v>
      </c>
      <c r="D188" s="27">
        <v>10.45</v>
      </c>
      <c r="E188" s="27">
        <v>10.45</v>
      </c>
      <c r="F188" s="27">
        <v>10.46</v>
      </c>
      <c r="G188" s="27">
        <v>10.46</v>
      </c>
      <c r="H188" s="27">
        <v>10.46</v>
      </c>
      <c r="I188" s="27">
        <v>10.46</v>
      </c>
      <c r="J188" s="27">
        <v>10.47</v>
      </c>
      <c r="K188" s="27">
        <v>8.57</v>
      </c>
      <c r="L188" s="27">
        <v>8.57</v>
      </c>
      <c r="M188" s="27">
        <v>8.56</v>
      </c>
      <c r="N188" s="44">
        <v>8.5500000000000007</v>
      </c>
      <c r="O188" s="27">
        <v>8.5299999999999994</v>
      </c>
      <c r="P188" s="27">
        <v>8.5299999999999994</v>
      </c>
      <c r="Q188" s="27">
        <v>8.52</v>
      </c>
      <c r="R188" s="27">
        <v>8.52</v>
      </c>
      <c r="S188" s="27">
        <v>8.51</v>
      </c>
      <c r="T188" s="27">
        <v>8.51</v>
      </c>
      <c r="U188" s="27">
        <v>8.51</v>
      </c>
      <c r="V188" s="27">
        <v>8.51</v>
      </c>
      <c r="W188">
        <v>8.5</v>
      </c>
      <c r="X188">
        <v>8.5</v>
      </c>
      <c r="Y188">
        <v>8.49</v>
      </c>
      <c r="Z188">
        <v>8.48</v>
      </c>
      <c r="AA188">
        <v>9.17</v>
      </c>
    </row>
    <row r="189" spans="1:27"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44"/>
      <c r="O189" s="27"/>
      <c r="P189" s="27"/>
      <c r="Q189" s="27"/>
      <c r="R189" s="27"/>
      <c r="S189" s="27"/>
      <c r="T189" s="27"/>
      <c r="U189" s="27"/>
      <c r="V189" s="27"/>
    </row>
    <row r="190" spans="1:27">
      <c r="A190" t="s">
        <v>244</v>
      </c>
      <c r="B190">
        <v>710705</v>
      </c>
      <c r="C190" s="27">
        <v>11.49</v>
      </c>
      <c r="D190" s="27">
        <v>11.49</v>
      </c>
      <c r="E190" s="27">
        <v>11.49</v>
      </c>
      <c r="F190" s="27">
        <v>11.49</v>
      </c>
      <c r="G190" s="27">
        <v>11.49</v>
      </c>
      <c r="H190" s="27">
        <v>11.49</v>
      </c>
      <c r="I190" s="27">
        <v>11.49</v>
      </c>
      <c r="J190" s="27">
        <v>11.49</v>
      </c>
      <c r="K190" s="27">
        <v>11.49</v>
      </c>
      <c r="L190" s="27">
        <v>11.49</v>
      </c>
      <c r="M190" s="27">
        <v>11.49</v>
      </c>
      <c r="N190" s="44">
        <v>11.49</v>
      </c>
      <c r="O190" s="27">
        <v>11.49</v>
      </c>
      <c r="P190" s="27">
        <v>11.49</v>
      </c>
      <c r="Q190" s="27">
        <v>11.49</v>
      </c>
      <c r="R190" s="27">
        <v>11.49</v>
      </c>
      <c r="S190" s="27">
        <v>11.49</v>
      </c>
      <c r="T190" s="27">
        <v>11.49</v>
      </c>
      <c r="U190" s="27">
        <v>11.49</v>
      </c>
      <c r="V190" s="27">
        <v>11.49</v>
      </c>
      <c r="W190">
        <v>11.49</v>
      </c>
      <c r="X190">
        <v>11.49</v>
      </c>
      <c r="Y190">
        <v>11.49</v>
      </c>
      <c r="Z190">
        <v>11.49</v>
      </c>
      <c r="AA190">
        <v>11.49</v>
      </c>
    </row>
    <row r="191" spans="1:27">
      <c r="A191" t="s">
        <v>245</v>
      </c>
      <c r="B191">
        <v>710710</v>
      </c>
      <c r="C191" s="27">
        <v>14.5</v>
      </c>
      <c r="D191" s="27">
        <v>14.5</v>
      </c>
      <c r="E191" s="27">
        <v>14.5</v>
      </c>
      <c r="F191" s="27">
        <v>14.5</v>
      </c>
      <c r="G191" s="27">
        <v>14.5</v>
      </c>
      <c r="H191" s="27">
        <v>14.5</v>
      </c>
      <c r="I191" s="27">
        <v>14.5</v>
      </c>
      <c r="J191" s="27">
        <v>14.5</v>
      </c>
      <c r="K191" s="27">
        <v>14.19</v>
      </c>
      <c r="L191" s="27">
        <v>13.72</v>
      </c>
      <c r="M191" s="27">
        <v>13.75</v>
      </c>
      <c r="N191" s="44">
        <v>13.79</v>
      </c>
      <c r="O191" s="27">
        <v>13.86</v>
      </c>
      <c r="P191" s="27">
        <v>13.87</v>
      </c>
      <c r="Q191" s="27">
        <v>13.88</v>
      </c>
      <c r="R191" s="27">
        <v>13.9</v>
      </c>
      <c r="S191" s="27">
        <v>13.91</v>
      </c>
      <c r="T191" s="27">
        <v>13.92</v>
      </c>
      <c r="U191" s="27">
        <v>13.95</v>
      </c>
      <c r="V191" s="27">
        <v>13.97</v>
      </c>
      <c r="W191">
        <v>13.99</v>
      </c>
      <c r="X191">
        <v>14.02</v>
      </c>
      <c r="Y191">
        <v>14.04</v>
      </c>
      <c r="Z191">
        <v>14.06</v>
      </c>
      <c r="AA191">
        <v>14.12</v>
      </c>
    </row>
    <row r="192" spans="1:27">
      <c r="A192" t="s">
        <v>246</v>
      </c>
      <c r="B192">
        <v>710715</v>
      </c>
      <c r="C192" s="27">
        <v>11.5</v>
      </c>
      <c r="D192" s="27">
        <v>11.5</v>
      </c>
      <c r="E192" s="27">
        <v>11.5</v>
      </c>
      <c r="F192" s="27">
        <v>11.5</v>
      </c>
      <c r="G192" s="27">
        <v>11.5</v>
      </c>
      <c r="H192" s="27">
        <v>11.5</v>
      </c>
      <c r="I192" s="27">
        <v>11.5</v>
      </c>
      <c r="J192" s="27">
        <v>11.5</v>
      </c>
      <c r="K192" s="27">
        <v>12</v>
      </c>
      <c r="L192" s="27">
        <v>11.75</v>
      </c>
      <c r="M192" s="27">
        <v>11.75</v>
      </c>
      <c r="N192" s="44">
        <v>11.5</v>
      </c>
      <c r="O192" s="27">
        <v>11.25</v>
      </c>
      <c r="P192" s="27">
        <v>11.25</v>
      </c>
      <c r="Q192" s="27">
        <v>11.25</v>
      </c>
      <c r="R192" s="27">
        <v>11.25</v>
      </c>
      <c r="S192" s="27">
        <v>11.25</v>
      </c>
      <c r="T192" s="27">
        <v>11</v>
      </c>
      <c r="U192" s="27">
        <v>11</v>
      </c>
      <c r="V192" s="27">
        <v>11</v>
      </c>
      <c r="W192">
        <v>10.75</v>
      </c>
      <c r="X192">
        <v>10.75</v>
      </c>
      <c r="Y192">
        <v>10.75</v>
      </c>
      <c r="Z192">
        <v>10.75</v>
      </c>
      <c r="AA192">
        <v>11.3</v>
      </c>
    </row>
    <row r="193" spans="1:27">
      <c r="A193" t="s">
        <v>12</v>
      </c>
      <c r="B193" t="s">
        <v>12</v>
      </c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44"/>
      <c r="O193" s="27"/>
      <c r="P193" s="27"/>
      <c r="Q193" s="27"/>
      <c r="R193" s="27"/>
      <c r="S193" s="27"/>
      <c r="T193" s="27"/>
      <c r="U193" s="27"/>
      <c r="V193" s="27"/>
    </row>
    <row r="194" spans="1:27">
      <c r="A194" t="s">
        <v>247</v>
      </c>
      <c r="C194" s="27">
        <v>11.51</v>
      </c>
      <c r="D194" s="27">
        <v>11.51</v>
      </c>
      <c r="E194" s="27">
        <v>11.51</v>
      </c>
      <c r="F194" s="27">
        <v>11.51</v>
      </c>
      <c r="G194" s="27">
        <v>11.51</v>
      </c>
      <c r="H194" s="27">
        <v>11.51</v>
      </c>
      <c r="I194" s="27">
        <v>11.51</v>
      </c>
      <c r="J194" s="27">
        <v>11.51</v>
      </c>
      <c r="K194" s="27">
        <v>11.54</v>
      </c>
      <c r="L194" s="27">
        <v>11.52</v>
      </c>
      <c r="M194" s="27">
        <v>11.52</v>
      </c>
      <c r="N194" s="44">
        <v>11.5</v>
      </c>
      <c r="O194" s="27">
        <v>11.49</v>
      </c>
      <c r="P194" s="27">
        <v>11.49</v>
      </c>
      <c r="Q194" s="27">
        <v>11.49</v>
      </c>
      <c r="R194" s="27">
        <v>11.49</v>
      </c>
      <c r="S194" s="27">
        <v>11.49</v>
      </c>
      <c r="T194" s="27">
        <v>11.47</v>
      </c>
      <c r="U194" s="27">
        <v>11.47</v>
      </c>
      <c r="V194" s="27">
        <v>11.47</v>
      </c>
      <c r="W194">
        <v>11.45</v>
      </c>
      <c r="X194">
        <v>11.45</v>
      </c>
      <c r="Y194">
        <v>11.45</v>
      </c>
      <c r="Z194">
        <v>11.45</v>
      </c>
      <c r="AA194">
        <v>11.49</v>
      </c>
    </row>
    <row r="195" spans="1:27"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44"/>
      <c r="O195" s="27"/>
      <c r="P195" s="27"/>
      <c r="Q195" s="27"/>
      <c r="R195" s="27"/>
      <c r="S195" s="27"/>
      <c r="T195" s="27"/>
      <c r="U195" s="27"/>
      <c r="V195" s="27"/>
    </row>
    <row r="196" spans="1:27">
      <c r="A196" t="s">
        <v>248</v>
      </c>
      <c r="B196">
        <v>710805</v>
      </c>
      <c r="C196" s="27">
        <v>2.2000000000000002</v>
      </c>
      <c r="D196" s="27">
        <v>2.2000000000000002</v>
      </c>
      <c r="E196" s="27">
        <v>2.2000000000000002</v>
      </c>
      <c r="F196" s="27">
        <v>2.2000000000000002</v>
      </c>
      <c r="G196" s="27">
        <v>2.2000000000000002</v>
      </c>
      <c r="H196" s="27">
        <v>2.2000000000000002</v>
      </c>
      <c r="I196" s="27">
        <v>2.2000000000000002</v>
      </c>
      <c r="J196" s="27">
        <v>2.2000000000000002</v>
      </c>
      <c r="K196" s="27">
        <v>2.2000000000000002</v>
      </c>
      <c r="L196" s="27">
        <v>2.2000000000000002</v>
      </c>
      <c r="M196" s="27">
        <v>2.2000000000000002</v>
      </c>
      <c r="N196" s="44">
        <v>2.2000000000000002</v>
      </c>
      <c r="O196" s="27">
        <v>2.2000000000000002</v>
      </c>
      <c r="P196" s="27">
        <v>2.2000000000000002</v>
      </c>
      <c r="Q196" s="27">
        <v>2.2000000000000002</v>
      </c>
      <c r="R196" s="27">
        <v>2.2000000000000002</v>
      </c>
      <c r="S196" s="27">
        <v>2.2000000000000002</v>
      </c>
      <c r="T196" s="27">
        <v>2.2000000000000002</v>
      </c>
      <c r="U196" s="27">
        <v>2.2000000000000002</v>
      </c>
      <c r="V196" s="27">
        <v>2.2000000000000002</v>
      </c>
      <c r="W196">
        <v>2.2000000000000002</v>
      </c>
      <c r="X196">
        <v>2.2000000000000002</v>
      </c>
      <c r="Y196">
        <v>2.2000000000000002</v>
      </c>
      <c r="Z196">
        <v>2.2000000000000002</v>
      </c>
      <c r="AA196">
        <v>2.2000000000000002</v>
      </c>
    </row>
    <row r="197" spans="1:27">
      <c r="A197" t="s">
        <v>249</v>
      </c>
      <c r="B197">
        <v>710807</v>
      </c>
      <c r="C197" s="27">
        <v>3.25</v>
      </c>
      <c r="D197" s="27">
        <v>3.25</v>
      </c>
      <c r="E197" s="27">
        <v>3.25</v>
      </c>
      <c r="F197" s="27">
        <v>3.25</v>
      </c>
      <c r="G197" s="27">
        <v>3.25</v>
      </c>
      <c r="H197" s="27">
        <v>3.25</v>
      </c>
      <c r="I197" s="27">
        <v>3.25</v>
      </c>
      <c r="J197" s="27">
        <v>3.25</v>
      </c>
      <c r="K197" s="27">
        <v>3.25</v>
      </c>
      <c r="L197" s="27">
        <v>3.25</v>
      </c>
      <c r="M197" s="27">
        <v>3.25</v>
      </c>
      <c r="N197" s="44">
        <v>3.25</v>
      </c>
      <c r="O197" s="27">
        <v>3.25</v>
      </c>
      <c r="P197" s="27">
        <v>3.25</v>
      </c>
      <c r="Q197" s="27">
        <v>3.25</v>
      </c>
      <c r="R197" s="27">
        <v>3.25</v>
      </c>
      <c r="S197" s="27">
        <v>3.25</v>
      </c>
      <c r="T197" s="27">
        <v>3.25</v>
      </c>
      <c r="U197" s="27">
        <v>3.25</v>
      </c>
      <c r="V197" s="27">
        <v>3.25</v>
      </c>
      <c r="W197">
        <v>3.25</v>
      </c>
      <c r="X197">
        <v>3.25</v>
      </c>
      <c r="Y197">
        <v>3.25</v>
      </c>
      <c r="Z197">
        <v>3.25</v>
      </c>
      <c r="AA197">
        <v>3.25</v>
      </c>
    </row>
    <row r="198" spans="1:27">
      <c r="A198" t="s">
        <v>1012</v>
      </c>
      <c r="B198">
        <v>710810</v>
      </c>
      <c r="C198" s="27">
        <v>2.2000000000000002</v>
      </c>
      <c r="D198" s="27">
        <v>2.2000000000000002</v>
      </c>
      <c r="E198" s="27">
        <v>2.2000000000000002</v>
      </c>
      <c r="F198" s="27">
        <v>2.2000000000000002</v>
      </c>
      <c r="G198" s="27">
        <v>2.2000000000000002</v>
      </c>
      <c r="H198" s="27">
        <v>2.2000000000000002</v>
      </c>
      <c r="I198" s="27">
        <v>2.2000000000000002</v>
      </c>
      <c r="J198" s="27">
        <v>2.2000000000000002</v>
      </c>
      <c r="K198" s="27">
        <v>2.2000000000000002</v>
      </c>
      <c r="L198" s="27">
        <v>2.2000000000000002</v>
      </c>
      <c r="M198" s="27">
        <v>2.2000000000000002</v>
      </c>
      <c r="N198" s="44">
        <v>2.2000000000000002</v>
      </c>
      <c r="O198" s="27">
        <v>2.2000000000000002</v>
      </c>
      <c r="P198" s="27">
        <v>2.2000000000000002</v>
      </c>
      <c r="Q198" s="27">
        <v>2.2000000000000002</v>
      </c>
      <c r="R198" s="27">
        <v>2.2000000000000002</v>
      </c>
      <c r="S198" s="27">
        <v>2.2000000000000002</v>
      </c>
      <c r="T198" s="27">
        <v>2.2000000000000002</v>
      </c>
      <c r="U198" s="27">
        <v>2.2000000000000002</v>
      </c>
      <c r="V198" s="27">
        <v>2.2000000000000002</v>
      </c>
      <c r="W198">
        <v>2.2000000000000002</v>
      </c>
      <c r="X198">
        <v>2.2000000000000002</v>
      </c>
      <c r="Y198">
        <v>2.2000000000000002</v>
      </c>
      <c r="Z198">
        <v>2.2000000000000002</v>
      </c>
      <c r="AA198">
        <v>2.2000000000000002</v>
      </c>
    </row>
    <row r="199" spans="1:27"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44"/>
      <c r="O199" s="27"/>
      <c r="P199" s="27"/>
      <c r="Q199" s="27"/>
      <c r="R199" s="27"/>
      <c r="S199" s="27"/>
      <c r="T199" s="27"/>
      <c r="U199" s="27"/>
      <c r="V199" s="27"/>
    </row>
    <row r="200" spans="1:27">
      <c r="A200" t="s">
        <v>12</v>
      </c>
      <c r="B200" t="s">
        <v>12</v>
      </c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44"/>
      <c r="O200" s="27"/>
      <c r="P200" s="27"/>
      <c r="Q200" s="27"/>
      <c r="R200" s="27"/>
      <c r="S200" s="27"/>
      <c r="T200" s="27"/>
      <c r="U200" s="27"/>
      <c r="V200" s="27"/>
    </row>
    <row r="201" spans="1:27">
      <c r="A201" t="s">
        <v>248</v>
      </c>
      <c r="C201" s="27">
        <v>2.2000000000000002</v>
      </c>
      <c r="D201" s="27">
        <v>2.2000000000000002</v>
      </c>
      <c r="E201" s="27">
        <v>2.2000000000000002</v>
      </c>
      <c r="F201" s="27">
        <v>2.2000000000000002</v>
      </c>
      <c r="G201" s="27">
        <v>2.2000000000000002</v>
      </c>
      <c r="H201" s="27">
        <v>2.2000000000000002</v>
      </c>
      <c r="I201" s="27">
        <v>2.2000000000000002</v>
      </c>
      <c r="J201" s="27">
        <v>2.2000000000000002</v>
      </c>
      <c r="K201" s="27">
        <v>2.2000000000000002</v>
      </c>
      <c r="L201" s="27">
        <v>2.2000000000000002</v>
      </c>
      <c r="M201" s="27">
        <v>2.2000000000000002</v>
      </c>
      <c r="N201" s="44">
        <v>2.2000000000000002</v>
      </c>
      <c r="O201" s="27">
        <v>2.2000000000000002</v>
      </c>
      <c r="P201" s="27">
        <v>2.2000000000000002</v>
      </c>
      <c r="Q201" s="27">
        <v>2.2000000000000002</v>
      </c>
      <c r="R201" s="27">
        <v>2.2000000000000002</v>
      </c>
      <c r="S201" s="27">
        <v>2.2000000000000002</v>
      </c>
      <c r="T201" s="27">
        <v>2.2000000000000002</v>
      </c>
      <c r="U201" s="27">
        <v>2.2000000000000002</v>
      </c>
      <c r="V201" s="27">
        <v>2.2000000000000002</v>
      </c>
      <c r="W201">
        <v>2.2000000000000002</v>
      </c>
      <c r="X201">
        <v>2.2000000000000002</v>
      </c>
      <c r="Y201">
        <v>2.2000000000000002</v>
      </c>
      <c r="Z201">
        <v>2.2000000000000002</v>
      </c>
      <c r="AA201">
        <v>2.2000000000000002</v>
      </c>
    </row>
    <row r="202" spans="1:27"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44"/>
      <c r="O202" s="27"/>
      <c r="P202" s="27"/>
      <c r="Q202" s="27"/>
      <c r="R202" s="27"/>
      <c r="S202" s="27"/>
      <c r="T202" s="27"/>
      <c r="U202" s="27"/>
      <c r="V202" s="27"/>
    </row>
    <row r="203" spans="1:27">
      <c r="A203" t="s">
        <v>260</v>
      </c>
      <c r="C203" s="27">
        <v>7.69</v>
      </c>
      <c r="D203" s="27">
        <v>7.71</v>
      </c>
      <c r="E203" s="27">
        <v>7.74</v>
      </c>
      <c r="F203" s="27">
        <v>7.77</v>
      </c>
      <c r="G203" s="27">
        <v>7.79</v>
      </c>
      <c r="H203" s="27">
        <v>7.81</v>
      </c>
      <c r="I203" s="27">
        <v>7.83</v>
      </c>
      <c r="J203" s="27">
        <v>7.84</v>
      </c>
      <c r="K203" s="27">
        <v>7.16</v>
      </c>
      <c r="L203" s="27">
        <v>6.9</v>
      </c>
      <c r="M203" s="27">
        <v>6.92</v>
      </c>
      <c r="N203" s="44">
        <v>6.93</v>
      </c>
      <c r="O203" s="27">
        <v>6.7</v>
      </c>
      <c r="P203" s="27">
        <v>6.7</v>
      </c>
      <c r="Q203" s="27">
        <v>6.71</v>
      </c>
      <c r="R203" s="27">
        <v>6.72</v>
      </c>
      <c r="S203" s="27">
        <v>6.72</v>
      </c>
      <c r="T203" s="27">
        <v>6.71</v>
      </c>
      <c r="U203" s="27">
        <v>6.72</v>
      </c>
      <c r="V203" s="27">
        <v>6.73</v>
      </c>
      <c r="W203">
        <v>6.73</v>
      </c>
      <c r="X203">
        <v>6.74</v>
      </c>
      <c r="Y203">
        <v>6.74</v>
      </c>
      <c r="Z203">
        <v>6.74</v>
      </c>
      <c r="AA203">
        <v>7.11</v>
      </c>
    </row>
    <row r="204" spans="1:27"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44"/>
      <c r="O204" s="27"/>
      <c r="P204" s="27"/>
      <c r="Q204" s="27"/>
      <c r="R204" s="27"/>
      <c r="S204" s="27"/>
      <c r="T204" s="27"/>
      <c r="U204" s="27"/>
      <c r="V204" s="27"/>
    </row>
    <row r="205" spans="1:27">
      <c r="A205" t="s">
        <v>271</v>
      </c>
      <c r="B205">
        <v>710399</v>
      </c>
      <c r="C205" s="27">
        <v>5.5</v>
      </c>
      <c r="D205" s="27">
        <v>5.5</v>
      </c>
      <c r="E205" s="27">
        <v>5.5</v>
      </c>
      <c r="F205" s="27">
        <v>5.5</v>
      </c>
      <c r="G205" s="27">
        <v>5.5</v>
      </c>
      <c r="H205" s="27">
        <v>5.5</v>
      </c>
      <c r="I205" s="27">
        <v>5.5</v>
      </c>
      <c r="J205" s="27">
        <v>5.5</v>
      </c>
      <c r="K205" s="27">
        <v>0</v>
      </c>
      <c r="L205" s="27">
        <v>0</v>
      </c>
      <c r="M205" s="27">
        <v>0</v>
      </c>
      <c r="N205" s="44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  <c r="V205" s="27">
        <v>0</v>
      </c>
      <c r="W205">
        <v>0</v>
      </c>
      <c r="X205">
        <v>0</v>
      </c>
      <c r="Y205">
        <v>0</v>
      </c>
      <c r="Z205">
        <v>0</v>
      </c>
      <c r="AA205">
        <v>1.83</v>
      </c>
    </row>
    <row r="206" spans="1:27">
      <c r="A206" t="s">
        <v>281</v>
      </c>
      <c r="C206" s="27">
        <v>7.84</v>
      </c>
      <c r="D206" s="27">
        <v>7.86</v>
      </c>
      <c r="E206" s="27">
        <v>7.89</v>
      </c>
      <c r="F206" s="27">
        <v>7.92</v>
      </c>
      <c r="G206" s="27">
        <v>7.95</v>
      </c>
      <c r="H206" s="27">
        <v>7.97</v>
      </c>
      <c r="I206" s="27">
        <v>7.99</v>
      </c>
      <c r="J206" s="27">
        <v>8</v>
      </c>
      <c r="K206" s="27">
        <v>7.31</v>
      </c>
      <c r="L206" s="27">
        <v>7.04</v>
      </c>
      <c r="M206" s="27">
        <v>7.07</v>
      </c>
      <c r="N206" s="44">
        <v>7.07</v>
      </c>
      <c r="O206" s="27">
        <v>6.84</v>
      </c>
      <c r="P206" s="27">
        <v>6.84</v>
      </c>
      <c r="Q206" s="27">
        <v>6.85</v>
      </c>
      <c r="R206" s="27">
        <v>6.85</v>
      </c>
      <c r="S206" s="27">
        <v>6.86</v>
      </c>
      <c r="T206" s="27">
        <v>6.85</v>
      </c>
      <c r="U206" s="27">
        <v>6.86</v>
      </c>
      <c r="V206" s="27">
        <v>6.87</v>
      </c>
      <c r="W206">
        <v>6.86</v>
      </c>
      <c r="X206">
        <v>6.87</v>
      </c>
      <c r="Y206">
        <v>6.87</v>
      </c>
      <c r="Z206">
        <v>6.88</v>
      </c>
      <c r="AA206">
        <v>7.26</v>
      </c>
    </row>
    <row r="207" spans="1:27"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44"/>
      <c r="O207" s="27"/>
      <c r="P207" s="27"/>
      <c r="Q207" s="27"/>
      <c r="R207" s="27"/>
      <c r="S207" s="27"/>
      <c r="T207" s="27"/>
      <c r="U207" s="27"/>
      <c r="V207" s="27"/>
    </row>
    <row r="208" spans="1:27"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44"/>
      <c r="O208" s="27"/>
      <c r="P208" s="27"/>
      <c r="Q208" s="27"/>
      <c r="R208" s="27"/>
      <c r="S208" s="27"/>
      <c r="T208" s="27"/>
      <c r="U208" s="27"/>
      <c r="V208" s="27"/>
    </row>
    <row r="209" spans="1:27">
      <c r="A209" t="s">
        <v>332</v>
      </c>
      <c r="C209" s="27">
        <v>6.23</v>
      </c>
      <c r="D209" s="27">
        <v>6.24</v>
      </c>
      <c r="E209" s="27">
        <v>6.26</v>
      </c>
      <c r="F209" s="27">
        <v>6.29</v>
      </c>
      <c r="G209" s="27">
        <v>6.33</v>
      </c>
      <c r="H209" s="27">
        <v>6.36</v>
      </c>
      <c r="I209" s="27">
        <v>6.32</v>
      </c>
      <c r="J209" s="27">
        <v>6.32</v>
      </c>
      <c r="K209" s="27">
        <v>5.84</v>
      </c>
      <c r="L209" s="27">
        <v>5.63</v>
      </c>
      <c r="M209" s="27">
        <v>5.71</v>
      </c>
      <c r="N209" s="44">
        <v>5.67</v>
      </c>
      <c r="O209" s="27">
        <v>5.52</v>
      </c>
      <c r="P209" s="27">
        <v>5.51</v>
      </c>
      <c r="Q209" s="27">
        <v>5.54</v>
      </c>
      <c r="R209" s="27">
        <v>5.54</v>
      </c>
      <c r="S209" s="27">
        <v>5.58</v>
      </c>
      <c r="T209" s="27">
        <v>5.56</v>
      </c>
      <c r="U209" s="27">
        <v>5.6</v>
      </c>
      <c r="V209" s="27">
        <v>5.6</v>
      </c>
      <c r="W209">
        <v>5.62</v>
      </c>
      <c r="X209">
        <v>5.61</v>
      </c>
      <c r="Y209">
        <v>5.63</v>
      </c>
      <c r="Z209">
        <v>5.61</v>
      </c>
      <c r="AA209">
        <v>5.84</v>
      </c>
    </row>
    <row r="210" spans="1:27">
      <c r="A210" t="s">
        <v>1013</v>
      </c>
      <c r="B210" t="s">
        <v>334</v>
      </c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44"/>
      <c r="O210" s="27"/>
      <c r="P210" s="27"/>
      <c r="Q210" s="27"/>
      <c r="R210" s="27"/>
      <c r="S210" s="27"/>
      <c r="T210" s="27"/>
      <c r="U210" s="27"/>
      <c r="V210" s="27"/>
    </row>
    <row r="211" spans="1:27"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44"/>
      <c r="O211" s="27"/>
      <c r="P211" s="27"/>
      <c r="Q211" s="27"/>
      <c r="R211" s="27"/>
      <c r="S211" s="27"/>
      <c r="T211" s="27"/>
      <c r="U211" s="27"/>
      <c r="V211" s="27"/>
    </row>
    <row r="212" spans="1:27">
      <c r="A212" t="s">
        <v>335</v>
      </c>
      <c r="B212">
        <v>820005</v>
      </c>
      <c r="C212" s="27">
        <v>0.03</v>
      </c>
      <c r="D212" s="27">
        <v>0.03</v>
      </c>
      <c r="E212" s="27">
        <v>0.03</v>
      </c>
      <c r="F212" s="27">
        <v>0.03</v>
      </c>
      <c r="G212" s="27">
        <v>0.03</v>
      </c>
      <c r="H212" s="27">
        <v>0.03</v>
      </c>
      <c r="I212" s="27">
        <v>0.03</v>
      </c>
      <c r="J212" s="27">
        <v>0.03</v>
      </c>
      <c r="K212" s="27">
        <v>0.03</v>
      </c>
      <c r="L212" s="27">
        <v>0.03</v>
      </c>
      <c r="M212" s="27">
        <v>0.03</v>
      </c>
      <c r="N212" s="44">
        <v>0.03</v>
      </c>
      <c r="O212" s="27">
        <v>0.03</v>
      </c>
      <c r="P212" s="27">
        <v>0.03</v>
      </c>
      <c r="Q212" s="27">
        <v>0.03</v>
      </c>
      <c r="R212" s="27">
        <v>0.03</v>
      </c>
      <c r="S212" s="27">
        <v>0.03</v>
      </c>
      <c r="T212" s="27">
        <v>0.03</v>
      </c>
      <c r="U212" s="27">
        <v>0.03</v>
      </c>
      <c r="V212" s="27">
        <v>0.03</v>
      </c>
      <c r="W212">
        <v>0.03</v>
      </c>
      <c r="X212">
        <v>0.03</v>
      </c>
      <c r="Y212">
        <v>0.03</v>
      </c>
      <c r="Z212">
        <v>0.03</v>
      </c>
      <c r="AA212">
        <v>0.03</v>
      </c>
    </row>
    <row r="213" spans="1:27">
      <c r="A213" t="s">
        <v>336</v>
      </c>
      <c r="B213">
        <v>820010</v>
      </c>
      <c r="C213" s="27">
        <v>0.03</v>
      </c>
      <c r="D213" s="27">
        <v>0.03</v>
      </c>
      <c r="E213" s="27">
        <v>0.03</v>
      </c>
      <c r="F213" s="27">
        <v>0.03</v>
      </c>
      <c r="G213" s="27">
        <v>0.03</v>
      </c>
      <c r="H213" s="27">
        <v>0.03</v>
      </c>
      <c r="I213" s="27">
        <v>0.03</v>
      </c>
      <c r="J213" s="27">
        <v>0.03</v>
      </c>
      <c r="K213" s="27">
        <v>0.03</v>
      </c>
      <c r="L213" s="27">
        <v>0.03</v>
      </c>
      <c r="M213" s="27">
        <v>0.03</v>
      </c>
      <c r="N213" s="44">
        <v>0.03</v>
      </c>
      <c r="O213" s="27">
        <v>0.03</v>
      </c>
      <c r="P213" s="27">
        <v>0.03</v>
      </c>
      <c r="Q213" s="27">
        <v>0.03</v>
      </c>
      <c r="R213" s="27">
        <v>0.03</v>
      </c>
      <c r="S213" s="27">
        <v>0.03</v>
      </c>
      <c r="T213" s="27">
        <v>0.03</v>
      </c>
      <c r="U213" s="27">
        <v>0.03</v>
      </c>
      <c r="V213" s="27">
        <v>0.03</v>
      </c>
      <c r="W213">
        <v>0.03</v>
      </c>
      <c r="X213">
        <v>0.03</v>
      </c>
      <c r="Y213">
        <v>0.03</v>
      </c>
      <c r="Z213">
        <v>0.03</v>
      </c>
      <c r="AA213">
        <v>0.03</v>
      </c>
    </row>
    <row r="214" spans="1:27">
      <c r="A214" t="s">
        <v>12</v>
      </c>
      <c r="B214" t="s">
        <v>12</v>
      </c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44"/>
      <c r="O214" s="27"/>
      <c r="P214" s="27"/>
      <c r="Q214" s="27"/>
      <c r="R214" s="27"/>
      <c r="S214" s="27"/>
      <c r="T214" s="27"/>
      <c r="U214" s="27"/>
      <c r="V214" s="27"/>
    </row>
    <row r="215" spans="1:27">
      <c r="A215" t="s">
        <v>1014</v>
      </c>
      <c r="C215" s="27">
        <v>0.03</v>
      </c>
      <c r="D215" s="27">
        <v>0.03</v>
      </c>
      <c r="E215" s="27">
        <v>0.03</v>
      </c>
      <c r="F215" s="27">
        <v>0.03</v>
      </c>
      <c r="G215" s="27">
        <v>0.03</v>
      </c>
      <c r="H215" s="27">
        <v>0.03</v>
      </c>
      <c r="I215" s="27">
        <v>0.03</v>
      </c>
      <c r="J215" s="27">
        <v>0.03</v>
      </c>
      <c r="K215" s="27">
        <v>0.03</v>
      </c>
      <c r="L215" s="27">
        <v>0.03</v>
      </c>
      <c r="M215" s="27">
        <v>0.03</v>
      </c>
      <c r="N215" s="44">
        <v>0.03</v>
      </c>
      <c r="O215" s="27">
        <v>0.03</v>
      </c>
      <c r="P215" s="27">
        <v>0.03</v>
      </c>
      <c r="Q215" s="27">
        <v>0.03</v>
      </c>
      <c r="R215" s="27">
        <v>0.03</v>
      </c>
      <c r="S215" s="27">
        <v>0.03</v>
      </c>
      <c r="T215" s="27">
        <v>0.03</v>
      </c>
      <c r="U215" s="27">
        <v>0.03</v>
      </c>
      <c r="V215" s="27">
        <v>0.03</v>
      </c>
      <c r="W215">
        <v>0.03</v>
      </c>
      <c r="X215">
        <v>0.03</v>
      </c>
      <c r="Y215">
        <v>0.03</v>
      </c>
      <c r="Z215">
        <v>0.03</v>
      </c>
      <c r="AA215">
        <v>0.03</v>
      </c>
    </row>
    <row r="216" spans="1:27"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44"/>
      <c r="O216" s="27"/>
      <c r="P216" s="27"/>
      <c r="Q216" s="27"/>
      <c r="R216" s="27"/>
      <c r="S216" s="27"/>
      <c r="T216" s="27"/>
      <c r="U216" s="27"/>
      <c r="V216" s="27"/>
    </row>
    <row r="217" spans="1:27">
      <c r="A217" t="s">
        <v>1015</v>
      </c>
      <c r="B217">
        <v>820110</v>
      </c>
      <c r="C217" s="27">
        <v>1.1000000000000001</v>
      </c>
      <c r="D217" s="27">
        <v>1.1000000000000001</v>
      </c>
      <c r="E217" s="27">
        <v>1.1000000000000001</v>
      </c>
      <c r="F217" s="27">
        <v>1.1000000000000001</v>
      </c>
      <c r="G217" s="27">
        <v>1.1000000000000001</v>
      </c>
      <c r="H217" s="27">
        <v>1.1000000000000001</v>
      </c>
      <c r="I217" s="27">
        <v>1.1000000000000001</v>
      </c>
      <c r="J217" s="27">
        <v>1.1000000000000001</v>
      </c>
      <c r="K217" s="27">
        <v>2.65</v>
      </c>
      <c r="L217" s="27">
        <v>2.65</v>
      </c>
      <c r="M217" s="27">
        <v>2.65</v>
      </c>
      <c r="N217" s="44">
        <v>2.65</v>
      </c>
      <c r="O217" s="27">
        <v>2.65</v>
      </c>
      <c r="P217" s="27">
        <v>2.65</v>
      </c>
      <c r="Q217" s="27">
        <v>2.65</v>
      </c>
      <c r="R217" s="27">
        <v>2.65</v>
      </c>
      <c r="S217" s="27">
        <v>2.65</v>
      </c>
      <c r="T217" s="27">
        <v>2.65</v>
      </c>
      <c r="U217" s="27">
        <v>2.65</v>
      </c>
      <c r="V217" s="27">
        <v>2.65</v>
      </c>
      <c r="W217">
        <v>2.65</v>
      </c>
      <c r="X217">
        <v>2.65</v>
      </c>
      <c r="Y217">
        <v>2.65</v>
      </c>
      <c r="Z217">
        <v>2.65</v>
      </c>
      <c r="AA217">
        <v>2.13</v>
      </c>
    </row>
    <row r="218" spans="1:27">
      <c r="A218" t="s">
        <v>1016</v>
      </c>
      <c r="C218" s="27">
        <v>0.2</v>
      </c>
      <c r="D218" s="27">
        <v>0.2</v>
      </c>
      <c r="E218" s="27">
        <v>0.2</v>
      </c>
      <c r="F218" s="27">
        <v>0.2</v>
      </c>
      <c r="G218" s="27">
        <v>0.2</v>
      </c>
      <c r="H218" s="27">
        <v>0.2</v>
      </c>
      <c r="I218" s="27">
        <v>0.2</v>
      </c>
      <c r="J218" s="27">
        <v>0.2</v>
      </c>
      <c r="K218" s="27">
        <v>0.2</v>
      </c>
      <c r="L218" s="27">
        <v>0.2</v>
      </c>
      <c r="M218" s="27">
        <v>0.2</v>
      </c>
      <c r="N218" s="44">
        <v>0.2</v>
      </c>
      <c r="O218" s="27">
        <v>0.2</v>
      </c>
      <c r="P218" s="27">
        <v>0.2</v>
      </c>
      <c r="Q218" s="27">
        <v>0.2</v>
      </c>
      <c r="R218" s="27">
        <v>0.2</v>
      </c>
      <c r="S218" s="27">
        <v>0.2</v>
      </c>
      <c r="T218" s="27">
        <v>0.2</v>
      </c>
      <c r="U218" s="27">
        <v>0.2</v>
      </c>
      <c r="V218" s="27">
        <v>0.2</v>
      </c>
      <c r="W218">
        <v>0.2</v>
      </c>
      <c r="X218">
        <v>0.2</v>
      </c>
      <c r="Y218">
        <v>0.2</v>
      </c>
      <c r="Z218">
        <v>0.2</v>
      </c>
      <c r="AA218">
        <v>0.2</v>
      </c>
    </row>
    <row r="219" spans="1:27">
      <c r="A219" t="s">
        <v>12</v>
      </c>
      <c r="B219" t="s">
        <v>12</v>
      </c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44"/>
      <c r="O219" s="27"/>
      <c r="P219" s="27"/>
      <c r="Q219" s="27"/>
      <c r="R219" s="27"/>
      <c r="S219" s="27"/>
      <c r="T219" s="27"/>
      <c r="U219" s="27"/>
      <c r="V219" s="27"/>
    </row>
    <row r="220" spans="1:27">
      <c r="A220" t="s">
        <v>1017</v>
      </c>
      <c r="C220" s="27">
        <v>0.53</v>
      </c>
      <c r="D220" s="27">
        <v>0.53</v>
      </c>
      <c r="E220" s="27">
        <v>0.52</v>
      </c>
      <c r="F220" s="27">
        <v>0.52</v>
      </c>
      <c r="G220" s="27">
        <v>0.52</v>
      </c>
      <c r="H220" s="27">
        <v>0.52</v>
      </c>
      <c r="I220" s="27">
        <v>0.53</v>
      </c>
      <c r="J220" s="27">
        <v>0.53</v>
      </c>
      <c r="K220" s="27">
        <v>1.0900000000000001</v>
      </c>
      <c r="L220" s="27">
        <v>1.1100000000000001</v>
      </c>
      <c r="M220" s="27">
        <v>1.1200000000000001</v>
      </c>
      <c r="N220" s="44">
        <v>1.1399999999999999</v>
      </c>
      <c r="O220" s="27">
        <v>1.1599999999999999</v>
      </c>
      <c r="P220" s="27">
        <v>1.18</v>
      </c>
      <c r="Q220" s="27">
        <v>1.2</v>
      </c>
      <c r="R220" s="27">
        <v>1.22</v>
      </c>
      <c r="S220" s="27">
        <v>1.24</v>
      </c>
      <c r="T220" s="27">
        <v>1.26</v>
      </c>
      <c r="U220" s="27">
        <v>1.29</v>
      </c>
      <c r="V220" s="27">
        <v>1.31</v>
      </c>
      <c r="W220">
        <v>1.34</v>
      </c>
      <c r="X220">
        <v>1.36</v>
      </c>
      <c r="Y220">
        <v>1.39</v>
      </c>
      <c r="Z220">
        <v>1.42</v>
      </c>
      <c r="AA220">
        <v>1</v>
      </c>
    </row>
    <row r="221" spans="1:27"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44"/>
      <c r="O221" s="27"/>
      <c r="P221" s="27"/>
      <c r="Q221" s="27"/>
      <c r="R221" s="27"/>
      <c r="S221" s="27"/>
      <c r="T221" s="27"/>
      <c r="U221" s="27"/>
      <c r="V221" s="27"/>
    </row>
    <row r="222" spans="1:27"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44"/>
      <c r="O222" s="27"/>
      <c r="P222" s="27"/>
      <c r="Q222" s="27"/>
      <c r="R222" s="27"/>
      <c r="S222" s="27"/>
      <c r="T222" s="27"/>
      <c r="U222" s="27"/>
      <c r="V222" s="27"/>
    </row>
    <row r="223" spans="1:27">
      <c r="A223" t="s">
        <v>1018</v>
      </c>
      <c r="B223">
        <v>820116</v>
      </c>
      <c r="C223" s="27">
        <v>0.25</v>
      </c>
      <c r="D223" s="27">
        <v>0.25</v>
      </c>
      <c r="E223" s="27">
        <v>0.25</v>
      </c>
      <c r="F223" s="27">
        <v>0.25</v>
      </c>
      <c r="G223" s="27">
        <v>0.25</v>
      </c>
      <c r="H223" s="27">
        <v>0.25</v>
      </c>
      <c r="I223" s="27">
        <v>0.25</v>
      </c>
      <c r="J223" s="27">
        <v>0.25</v>
      </c>
      <c r="K223" s="27">
        <v>0.25</v>
      </c>
      <c r="L223" s="27">
        <v>0.25</v>
      </c>
      <c r="M223" s="27">
        <v>0.25</v>
      </c>
      <c r="N223" s="44">
        <v>0.25</v>
      </c>
      <c r="O223" s="27">
        <v>0.25</v>
      </c>
      <c r="P223" s="27">
        <v>0.25</v>
      </c>
      <c r="Q223" s="27">
        <v>0.25</v>
      </c>
      <c r="R223" s="27">
        <v>0.25</v>
      </c>
      <c r="S223" s="27">
        <v>0.25</v>
      </c>
      <c r="T223" s="27">
        <v>0.25</v>
      </c>
      <c r="U223" s="27">
        <v>0.25</v>
      </c>
      <c r="V223" s="27">
        <v>0.25</v>
      </c>
      <c r="W223">
        <v>0.25</v>
      </c>
      <c r="X223">
        <v>0.25</v>
      </c>
      <c r="Y223">
        <v>0.25</v>
      </c>
      <c r="Z223">
        <v>0.25</v>
      </c>
      <c r="AA223">
        <v>0.25</v>
      </c>
    </row>
    <row r="224" spans="1:27">
      <c r="A224" t="s">
        <v>1019</v>
      </c>
      <c r="C224" s="27">
        <v>0.14000000000000001</v>
      </c>
      <c r="D224" s="27">
        <v>0.14000000000000001</v>
      </c>
      <c r="E224" s="27">
        <v>0.14000000000000001</v>
      </c>
      <c r="F224" s="27">
        <v>0.14000000000000001</v>
      </c>
      <c r="G224" s="27">
        <v>0.14000000000000001</v>
      </c>
      <c r="H224" s="27">
        <v>0.14000000000000001</v>
      </c>
      <c r="I224" s="27">
        <v>0.14000000000000001</v>
      </c>
      <c r="J224" s="27">
        <v>0.14000000000000001</v>
      </c>
      <c r="K224" s="27">
        <v>0.14000000000000001</v>
      </c>
      <c r="L224" s="27">
        <v>0.14000000000000001</v>
      </c>
      <c r="M224" s="27">
        <v>0.14000000000000001</v>
      </c>
      <c r="N224" s="44">
        <v>0.14000000000000001</v>
      </c>
      <c r="O224" s="27">
        <v>0.14000000000000001</v>
      </c>
      <c r="P224" s="27">
        <v>0.14000000000000001</v>
      </c>
      <c r="Q224" s="27">
        <v>0.14000000000000001</v>
      </c>
      <c r="R224" s="27">
        <v>0.14000000000000001</v>
      </c>
      <c r="S224" s="27">
        <v>0.14000000000000001</v>
      </c>
      <c r="T224" s="27">
        <v>0.14000000000000001</v>
      </c>
      <c r="U224" s="27">
        <v>0.14000000000000001</v>
      </c>
      <c r="V224" s="27">
        <v>0.14000000000000001</v>
      </c>
      <c r="W224">
        <v>0.14000000000000001</v>
      </c>
      <c r="X224">
        <v>0.14000000000000001</v>
      </c>
      <c r="Y224">
        <v>0.14000000000000001</v>
      </c>
      <c r="Z224">
        <v>0.14000000000000001</v>
      </c>
      <c r="AA224">
        <v>0.14000000000000001</v>
      </c>
    </row>
    <row r="225" spans="1:27">
      <c r="A225" t="s">
        <v>1020</v>
      </c>
      <c r="C225" s="27">
        <v>0.3</v>
      </c>
      <c r="D225" s="27">
        <v>0.3</v>
      </c>
      <c r="E225" s="27">
        <v>0.3</v>
      </c>
      <c r="F225" s="27">
        <v>0.3</v>
      </c>
      <c r="G225" s="27">
        <v>0.3</v>
      </c>
      <c r="H225" s="27">
        <v>0.3</v>
      </c>
      <c r="I225" s="27">
        <v>0.3</v>
      </c>
      <c r="J225" s="27">
        <v>0.3</v>
      </c>
      <c r="K225" s="27">
        <v>0.3</v>
      </c>
      <c r="L225" s="27">
        <v>0.3</v>
      </c>
      <c r="M225" s="27">
        <v>0.3</v>
      </c>
      <c r="N225" s="44">
        <v>0.3</v>
      </c>
      <c r="O225" s="27">
        <v>0.3</v>
      </c>
      <c r="P225" s="27">
        <v>0.3</v>
      </c>
      <c r="Q225" s="27">
        <v>0.3</v>
      </c>
      <c r="R225" s="27">
        <v>0.3</v>
      </c>
      <c r="S225" s="27">
        <v>0.3</v>
      </c>
      <c r="T225" s="27">
        <v>0.3</v>
      </c>
      <c r="U225" s="27">
        <v>0.3</v>
      </c>
      <c r="V225" s="27">
        <v>0.3</v>
      </c>
      <c r="W225">
        <v>0.3</v>
      </c>
      <c r="X225">
        <v>0.3</v>
      </c>
      <c r="Y225">
        <v>0.3</v>
      </c>
      <c r="Z225">
        <v>0.3</v>
      </c>
      <c r="AA225">
        <v>0.3</v>
      </c>
    </row>
    <row r="226" spans="1:27">
      <c r="A226" t="s">
        <v>1021</v>
      </c>
      <c r="C226" s="27">
        <v>0.39</v>
      </c>
      <c r="D226" s="27">
        <v>0.39</v>
      </c>
      <c r="E226" s="27">
        <v>0.39</v>
      </c>
      <c r="F226" s="27">
        <v>0.39</v>
      </c>
      <c r="G226" s="27">
        <v>0.39</v>
      </c>
      <c r="H226" s="27">
        <v>0.39</v>
      </c>
      <c r="I226" s="27">
        <v>0.39</v>
      </c>
      <c r="J226" s="27">
        <v>0.39</v>
      </c>
      <c r="K226" s="27">
        <v>0.39</v>
      </c>
      <c r="L226" s="27">
        <v>0.39</v>
      </c>
      <c r="M226" s="27">
        <v>0.39</v>
      </c>
      <c r="N226" s="44">
        <v>0.39</v>
      </c>
      <c r="O226" s="27">
        <v>0.39</v>
      </c>
      <c r="P226" s="27">
        <v>0.39</v>
      </c>
      <c r="Q226" s="27">
        <v>0.39</v>
      </c>
      <c r="R226" s="27">
        <v>0.39</v>
      </c>
      <c r="S226" s="27">
        <v>0.39</v>
      </c>
      <c r="T226" s="27">
        <v>0.39</v>
      </c>
      <c r="U226" s="27">
        <v>0.39</v>
      </c>
      <c r="V226" s="27">
        <v>0.39</v>
      </c>
      <c r="W226">
        <v>0.39</v>
      </c>
      <c r="X226">
        <v>0.39</v>
      </c>
      <c r="Y226">
        <v>0.39</v>
      </c>
      <c r="Z226">
        <v>0.39</v>
      </c>
      <c r="AA226">
        <v>0.39</v>
      </c>
    </row>
    <row r="227" spans="1:27">
      <c r="A227" t="s">
        <v>1022</v>
      </c>
      <c r="C227" s="27">
        <v>0.17</v>
      </c>
      <c r="D227" s="27">
        <v>0.17</v>
      </c>
      <c r="E227" s="27">
        <v>0.17</v>
      </c>
      <c r="F227" s="27">
        <v>0.17</v>
      </c>
      <c r="G227" s="27">
        <v>0.17</v>
      </c>
      <c r="H227" s="27">
        <v>0.17</v>
      </c>
      <c r="I227" s="27">
        <v>0.17</v>
      </c>
      <c r="J227" s="27">
        <v>0.17</v>
      </c>
      <c r="K227" s="27">
        <v>0.17</v>
      </c>
      <c r="L227" s="27">
        <v>0.17</v>
      </c>
      <c r="M227" s="27">
        <v>0.17</v>
      </c>
      <c r="N227" s="44">
        <v>0.17</v>
      </c>
      <c r="O227" s="27">
        <v>0.17</v>
      </c>
      <c r="P227" s="27">
        <v>0.17</v>
      </c>
      <c r="Q227" s="27">
        <v>0.17</v>
      </c>
      <c r="R227" s="27">
        <v>0.17</v>
      </c>
      <c r="S227" s="27">
        <v>0.17</v>
      </c>
      <c r="T227" s="27">
        <v>0.17</v>
      </c>
      <c r="U227" s="27">
        <v>0.17</v>
      </c>
      <c r="V227" s="27">
        <v>0.17</v>
      </c>
      <c r="W227">
        <v>0.17</v>
      </c>
      <c r="X227">
        <v>0.17</v>
      </c>
      <c r="Y227">
        <v>0.17</v>
      </c>
      <c r="Z227">
        <v>0.17</v>
      </c>
      <c r="AA227">
        <v>0.17</v>
      </c>
    </row>
    <row r="228" spans="1:27">
      <c r="A228" t="s">
        <v>12</v>
      </c>
      <c r="B228" t="s">
        <v>12</v>
      </c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44"/>
      <c r="O228" s="27"/>
      <c r="P228" s="27"/>
      <c r="Q228" s="27"/>
      <c r="R228" s="27"/>
      <c r="S228" s="27"/>
      <c r="T228" s="27"/>
      <c r="U228" s="27"/>
      <c r="V228" s="27"/>
    </row>
    <row r="229" spans="1:27">
      <c r="A229" t="s">
        <v>1023</v>
      </c>
      <c r="C229" s="27">
        <v>0.26</v>
      </c>
      <c r="D229" s="27">
        <v>0.26</v>
      </c>
      <c r="E229" s="27">
        <v>0.25</v>
      </c>
      <c r="F229" s="27">
        <v>0.25</v>
      </c>
      <c r="G229" s="27">
        <v>0.25</v>
      </c>
      <c r="H229" s="27">
        <v>0.25</v>
      </c>
      <c r="I229" s="27">
        <v>0.25</v>
      </c>
      <c r="J229" s="27">
        <v>0.25</v>
      </c>
      <c r="K229" s="27">
        <v>0.25</v>
      </c>
      <c r="L229" s="27">
        <v>0.25</v>
      </c>
      <c r="M229" s="27">
        <v>0.25</v>
      </c>
      <c r="N229" s="44">
        <v>0.25</v>
      </c>
      <c r="O229" s="27">
        <v>0.25</v>
      </c>
      <c r="P229" s="27">
        <v>0.25</v>
      </c>
      <c r="Q229" s="27">
        <v>0.25</v>
      </c>
      <c r="R229" s="27">
        <v>0.25</v>
      </c>
      <c r="S229" s="27">
        <v>0.25</v>
      </c>
      <c r="T229" s="27">
        <v>0.25</v>
      </c>
      <c r="U229" s="27">
        <v>0.25</v>
      </c>
      <c r="V229" s="27">
        <v>0.25</v>
      </c>
      <c r="W229">
        <v>0.25</v>
      </c>
      <c r="X229">
        <v>0.25</v>
      </c>
      <c r="Y229">
        <v>0.25</v>
      </c>
      <c r="Z229">
        <v>0.25</v>
      </c>
      <c r="AA229">
        <v>0.25</v>
      </c>
    </row>
    <row r="230" spans="1:27">
      <c r="A230" t="s">
        <v>12</v>
      </c>
      <c r="B230" t="s">
        <v>12</v>
      </c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44"/>
      <c r="O230" s="27"/>
      <c r="P230" s="27"/>
      <c r="Q230" s="27"/>
      <c r="R230" s="27"/>
      <c r="S230" s="27"/>
      <c r="T230" s="27"/>
      <c r="U230" s="27"/>
      <c r="V230" s="27"/>
    </row>
    <row r="231" spans="1:27">
      <c r="A231" t="s">
        <v>361</v>
      </c>
      <c r="C231" s="27">
        <v>0.37</v>
      </c>
      <c r="D231" s="27">
        <v>0.38</v>
      </c>
      <c r="E231" s="27">
        <v>0.38</v>
      </c>
      <c r="F231" s="27">
        <v>0.37</v>
      </c>
      <c r="G231" s="27">
        <v>0.37</v>
      </c>
      <c r="H231" s="27">
        <v>0.37</v>
      </c>
      <c r="I231" s="27">
        <v>0.38</v>
      </c>
      <c r="J231" s="27">
        <v>0.38</v>
      </c>
      <c r="K231" s="27">
        <v>0.77</v>
      </c>
      <c r="L231" s="27">
        <v>0.78</v>
      </c>
      <c r="M231" s="27">
        <v>0.79</v>
      </c>
      <c r="N231" s="44">
        <v>0.8</v>
      </c>
      <c r="O231" s="27">
        <v>0.81</v>
      </c>
      <c r="P231" s="27">
        <v>0.82</v>
      </c>
      <c r="Q231" s="27">
        <v>0.83</v>
      </c>
      <c r="R231" s="27">
        <v>0.84</v>
      </c>
      <c r="S231" s="27">
        <v>0.85</v>
      </c>
      <c r="T231" s="27">
        <v>0.86</v>
      </c>
      <c r="U231" s="27">
        <v>0.87</v>
      </c>
      <c r="V231" s="27">
        <v>0.88</v>
      </c>
      <c r="W231">
        <v>0.89</v>
      </c>
      <c r="X231">
        <v>0.9</v>
      </c>
      <c r="Y231">
        <v>0.91</v>
      </c>
      <c r="Z231">
        <v>0.93</v>
      </c>
      <c r="AA231">
        <v>0.69</v>
      </c>
    </row>
    <row r="232" spans="1:27"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44"/>
      <c r="O232" s="27"/>
      <c r="P232" s="27"/>
      <c r="Q232" s="27"/>
      <c r="R232" s="27"/>
      <c r="S232" s="27"/>
      <c r="T232" s="27"/>
      <c r="U232" s="27"/>
      <c r="V232" s="27"/>
    </row>
    <row r="233" spans="1:27"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44"/>
      <c r="O233" s="27"/>
      <c r="P233" s="27"/>
      <c r="Q233" s="27"/>
      <c r="R233" s="27"/>
      <c r="S233" s="27"/>
      <c r="T233" s="27"/>
      <c r="U233" s="27"/>
      <c r="V233" s="27"/>
    </row>
    <row r="234" spans="1:27">
      <c r="A234" t="s">
        <v>365</v>
      </c>
      <c r="B234">
        <v>820305</v>
      </c>
      <c r="C234" s="27">
        <v>0.01</v>
      </c>
      <c r="D234" s="27">
        <v>0.01</v>
      </c>
      <c r="E234" s="27">
        <v>0.01</v>
      </c>
      <c r="F234" s="27">
        <v>0.01</v>
      </c>
      <c r="G234" s="27">
        <v>0.01</v>
      </c>
      <c r="H234" s="27">
        <v>0.01</v>
      </c>
      <c r="I234" s="27">
        <v>0.01</v>
      </c>
      <c r="J234" s="27">
        <v>0.01</v>
      </c>
      <c r="K234" s="27">
        <v>0.01</v>
      </c>
      <c r="L234" s="27">
        <v>0.01</v>
      </c>
      <c r="M234" s="27">
        <v>0.01</v>
      </c>
      <c r="N234" s="44">
        <v>0.01</v>
      </c>
      <c r="O234" s="27">
        <v>0.01</v>
      </c>
      <c r="P234" s="27">
        <v>0.01</v>
      </c>
      <c r="Q234" s="27">
        <v>0.01</v>
      </c>
      <c r="R234" s="27">
        <v>0.01</v>
      </c>
      <c r="S234" s="27">
        <v>0.01</v>
      </c>
      <c r="T234" s="27">
        <v>0.01</v>
      </c>
      <c r="U234" s="27">
        <v>0.01</v>
      </c>
      <c r="V234" s="27">
        <v>0.01</v>
      </c>
      <c r="W234">
        <v>0.01</v>
      </c>
      <c r="X234">
        <v>0.01</v>
      </c>
      <c r="Y234">
        <v>0.01</v>
      </c>
      <c r="Z234">
        <v>0.01</v>
      </c>
      <c r="AA234">
        <v>0.01</v>
      </c>
    </row>
    <row r="235" spans="1:27">
      <c r="A235" t="s">
        <v>12</v>
      </c>
      <c r="B235" t="s">
        <v>12</v>
      </c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44"/>
      <c r="O235" s="27"/>
      <c r="P235" s="27"/>
      <c r="Q235" s="27"/>
      <c r="R235" s="27"/>
      <c r="S235" s="27"/>
      <c r="T235" s="27"/>
      <c r="U235" s="27"/>
      <c r="V235" s="27"/>
    </row>
    <row r="236" spans="1:27">
      <c r="A236" t="s">
        <v>12</v>
      </c>
      <c r="B236" t="s">
        <v>12</v>
      </c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44"/>
      <c r="O236" s="27"/>
      <c r="P236" s="27"/>
      <c r="Q236" s="27"/>
      <c r="R236" s="27"/>
      <c r="S236" s="27"/>
      <c r="T236" s="27"/>
      <c r="U236" s="27"/>
      <c r="V236" s="27"/>
    </row>
    <row r="237" spans="1:27">
      <c r="A237" t="s">
        <v>1024</v>
      </c>
      <c r="C237" s="27">
        <v>0.01</v>
      </c>
      <c r="D237" s="27">
        <v>0.01</v>
      </c>
      <c r="E237" s="27">
        <v>0.01</v>
      </c>
      <c r="F237" s="27">
        <v>0.01</v>
      </c>
      <c r="G237" s="27">
        <v>0.01</v>
      </c>
      <c r="H237" s="27">
        <v>0.01</v>
      </c>
      <c r="I237" s="27">
        <v>0.01</v>
      </c>
      <c r="J237" s="27">
        <v>0.01</v>
      </c>
      <c r="K237" s="27">
        <v>0.01</v>
      </c>
      <c r="L237" s="27">
        <v>0.01</v>
      </c>
      <c r="M237" s="27">
        <v>0.01</v>
      </c>
      <c r="N237" s="44">
        <v>0.01</v>
      </c>
      <c r="O237" s="27">
        <v>0.01</v>
      </c>
      <c r="P237" s="27">
        <v>0.01</v>
      </c>
      <c r="Q237" s="27">
        <v>0.01</v>
      </c>
      <c r="R237" s="27">
        <v>0.01</v>
      </c>
      <c r="S237" s="27">
        <v>0.01</v>
      </c>
      <c r="T237" s="27">
        <v>0.01</v>
      </c>
      <c r="U237" s="27">
        <v>0.01</v>
      </c>
      <c r="V237" s="27">
        <v>0.01</v>
      </c>
      <c r="W237">
        <v>0.01</v>
      </c>
      <c r="X237">
        <v>0.01</v>
      </c>
      <c r="Y237">
        <v>0.01</v>
      </c>
      <c r="Z237">
        <v>0.01</v>
      </c>
      <c r="AA237">
        <v>0.01</v>
      </c>
    </row>
    <row r="238" spans="1:27"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44"/>
      <c r="O238" s="27"/>
      <c r="P238" s="27"/>
      <c r="Q238" s="27"/>
      <c r="R238" s="27"/>
      <c r="S238" s="27"/>
      <c r="T238" s="27"/>
      <c r="U238" s="27"/>
      <c r="V238" s="27"/>
    </row>
    <row r="239" spans="1:27">
      <c r="A239" t="s">
        <v>367</v>
      </c>
      <c r="B239">
        <v>820400</v>
      </c>
      <c r="C239" s="27">
        <v>3</v>
      </c>
      <c r="D239" s="27">
        <v>3</v>
      </c>
      <c r="E239" s="27">
        <v>3</v>
      </c>
      <c r="F239" s="27">
        <v>3</v>
      </c>
      <c r="G239" s="27">
        <v>3</v>
      </c>
      <c r="H239" s="27">
        <v>3</v>
      </c>
      <c r="I239" s="27">
        <v>3</v>
      </c>
      <c r="J239" s="27">
        <v>3</v>
      </c>
      <c r="K239" s="27">
        <v>2.25</v>
      </c>
      <c r="L239" s="27">
        <v>2.02</v>
      </c>
      <c r="M239" s="27">
        <v>1.97</v>
      </c>
      <c r="N239" s="44">
        <v>1.91</v>
      </c>
      <c r="O239" s="27">
        <v>1.8</v>
      </c>
      <c r="P239" s="27">
        <v>1.8</v>
      </c>
      <c r="Q239" s="27">
        <v>1.8</v>
      </c>
      <c r="R239" s="27">
        <v>1.8</v>
      </c>
      <c r="S239" s="27">
        <v>1.8</v>
      </c>
      <c r="T239" s="27">
        <v>1.8</v>
      </c>
      <c r="U239" s="27">
        <v>1.8</v>
      </c>
      <c r="V239" s="27">
        <v>1.8</v>
      </c>
      <c r="W239">
        <v>1.8</v>
      </c>
      <c r="X239">
        <v>1.8</v>
      </c>
      <c r="Y239">
        <v>1.8</v>
      </c>
      <c r="Z239">
        <v>1.8</v>
      </c>
      <c r="AA239">
        <v>2.2400000000000002</v>
      </c>
    </row>
    <row r="240" spans="1:27">
      <c r="A240" t="s">
        <v>370</v>
      </c>
      <c r="B240">
        <v>820405</v>
      </c>
      <c r="C240" s="27">
        <v>3.99</v>
      </c>
      <c r="D240" s="27">
        <v>3.99</v>
      </c>
      <c r="E240" s="27">
        <v>3.99</v>
      </c>
      <c r="F240" s="27">
        <v>3.99</v>
      </c>
      <c r="G240" s="27">
        <v>3.99</v>
      </c>
      <c r="H240" s="27">
        <v>3.99</v>
      </c>
      <c r="I240" s="27">
        <v>3.99</v>
      </c>
      <c r="J240" s="27">
        <v>3.99</v>
      </c>
      <c r="K240" s="27">
        <v>3.31</v>
      </c>
      <c r="L240" s="27">
        <v>3.31</v>
      </c>
      <c r="M240" s="27">
        <v>3.31</v>
      </c>
      <c r="N240" s="44">
        <v>3.31</v>
      </c>
      <c r="O240" s="27">
        <v>3.04</v>
      </c>
      <c r="P240" s="27">
        <v>3.04</v>
      </c>
      <c r="Q240" s="27">
        <v>2.99</v>
      </c>
      <c r="R240" s="27">
        <v>2.99</v>
      </c>
      <c r="S240" s="27">
        <v>2.94</v>
      </c>
      <c r="T240" s="27">
        <v>2.94</v>
      </c>
      <c r="U240" s="27">
        <v>2.89</v>
      </c>
      <c r="V240" s="27">
        <v>2.89</v>
      </c>
      <c r="W240">
        <v>2.89</v>
      </c>
      <c r="X240">
        <v>2.89</v>
      </c>
      <c r="Y240">
        <v>2.89</v>
      </c>
      <c r="Z240">
        <v>2.89</v>
      </c>
      <c r="AA240">
        <v>3.35</v>
      </c>
    </row>
    <row r="241" spans="1:27">
      <c r="A241" t="s">
        <v>371</v>
      </c>
      <c r="B241">
        <v>820406</v>
      </c>
      <c r="C241" s="27">
        <v>0</v>
      </c>
      <c r="D241" s="27">
        <v>0</v>
      </c>
      <c r="E241" s="27">
        <v>0</v>
      </c>
      <c r="F241" s="27">
        <v>0</v>
      </c>
      <c r="G241" s="27">
        <v>0</v>
      </c>
      <c r="H241" s="27">
        <v>0</v>
      </c>
      <c r="I241" s="27">
        <v>0</v>
      </c>
      <c r="J241" s="27">
        <v>0</v>
      </c>
      <c r="K241" s="27">
        <v>3.31</v>
      </c>
      <c r="L241" s="27">
        <v>2.85</v>
      </c>
      <c r="M241" s="27">
        <v>2.82</v>
      </c>
      <c r="N241" s="44">
        <v>2.8</v>
      </c>
      <c r="O241" s="27">
        <v>2.75</v>
      </c>
      <c r="P241" s="27">
        <v>2.74</v>
      </c>
      <c r="Q241" s="27">
        <v>2.73</v>
      </c>
      <c r="R241" s="27">
        <v>2.72</v>
      </c>
      <c r="S241" s="27">
        <v>2.71</v>
      </c>
      <c r="T241" s="27">
        <v>2.7</v>
      </c>
      <c r="U241" s="27">
        <v>2.69</v>
      </c>
      <c r="V241" s="27">
        <v>2.67</v>
      </c>
      <c r="W241">
        <v>2.65</v>
      </c>
      <c r="X241">
        <v>2.64</v>
      </c>
      <c r="Y241">
        <v>2.62</v>
      </c>
      <c r="Z241">
        <v>2.61</v>
      </c>
      <c r="AA241">
        <v>1.83</v>
      </c>
    </row>
    <row r="242" spans="1:27">
      <c r="A242" t="s">
        <v>372</v>
      </c>
      <c r="B242">
        <v>820407</v>
      </c>
      <c r="C242" s="27">
        <v>0</v>
      </c>
      <c r="D242" s="27">
        <v>0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2.78</v>
      </c>
      <c r="M242" s="27">
        <v>2.75</v>
      </c>
      <c r="N242" s="44">
        <v>2.73</v>
      </c>
      <c r="O242" s="27">
        <v>2.68</v>
      </c>
      <c r="P242" s="27">
        <v>2.67</v>
      </c>
      <c r="Q242" s="27">
        <v>2.66</v>
      </c>
      <c r="R242" s="27">
        <v>2.65</v>
      </c>
      <c r="S242" s="27">
        <v>2.64</v>
      </c>
      <c r="T242" s="27">
        <v>2.63</v>
      </c>
      <c r="U242" s="27">
        <v>2.62</v>
      </c>
      <c r="V242" s="27">
        <v>2.6</v>
      </c>
      <c r="W242">
        <v>2.58</v>
      </c>
      <c r="X242">
        <v>2.57</v>
      </c>
      <c r="Y242">
        <v>2.5499999999999998</v>
      </c>
      <c r="Z242">
        <v>2.5299999999999998</v>
      </c>
      <c r="AA242">
        <v>1.65</v>
      </c>
    </row>
    <row r="243" spans="1:27">
      <c r="A243" t="s">
        <v>373</v>
      </c>
      <c r="B243">
        <v>820408</v>
      </c>
      <c r="C243" s="27">
        <v>4.9000000000000004</v>
      </c>
      <c r="D243" s="27">
        <v>4.9000000000000004</v>
      </c>
      <c r="E243" s="27">
        <v>4.9000000000000004</v>
      </c>
      <c r="F243" s="27">
        <v>4.9000000000000004</v>
      </c>
      <c r="G243" s="27">
        <v>4.9000000000000004</v>
      </c>
      <c r="H243" s="27">
        <v>4.9000000000000004</v>
      </c>
      <c r="I243" s="27">
        <v>4.9000000000000004</v>
      </c>
      <c r="J243" s="27">
        <v>4.9000000000000004</v>
      </c>
      <c r="K243" s="27">
        <v>0</v>
      </c>
      <c r="L243" s="27">
        <v>1.43</v>
      </c>
      <c r="M243" s="27">
        <v>1.41</v>
      </c>
      <c r="N243" s="44">
        <v>1.39</v>
      </c>
      <c r="O243" s="27">
        <v>1.34</v>
      </c>
      <c r="P243" s="27">
        <v>1.33</v>
      </c>
      <c r="Q243" s="27">
        <v>1.32</v>
      </c>
      <c r="R243" s="27">
        <v>1.31</v>
      </c>
      <c r="S243" s="27">
        <v>1.3</v>
      </c>
      <c r="T243" s="27">
        <v>1.29</v>
      </c>
      <c r="U243" s="27">
        <v>1.27</v>
      </c>
      <c r="V243" s="27">
        <v>1.26</v>
      </c>
      <c r="W243">
        <v>1.24</v>
      </c>
      <c r="X243">
        <v>1.22</v>
      </c>
      <c r="Y243">
        <v>1.21</v>
      </c>
      <c r="Z243">
        <v>1.19</v>
      </c>
      <c r="AA243">
        <v>2.4500000000000002</v>
      </c>
    </row>
    <row r="244" spans="1:27">
      <c r="A244" t="s">
        <v>374</v>
      </c>
      <c r="B244">
        <v>820409</v>
      </c>
      <c r="C244" s="27">
        <v>0</v>
      </c>
      <c r="D244" s="27">
        <v>0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4.0599999999999996</v>
      </c>
      <c r="L244" s="27">
        <v>4.0199999999999996</v>
      </c>
      <c r="M244" s="27">
        <v>3.85</v>
      </c>
      <c r="N244" s="44">
        <v>3.95</v>
      </c>
      <c r="O244" s="27">
        <v>3.65</v>
      </c>
      <c r="P244" s="27">
        <v>3.65</v>
      </c>
      <c r="Q244" s="27">
        <v>3.65</v>
      </c>
      <c r="R244" s="27">
        <v>3.65</v>
      </c>
      <c r="S244" s="27">
        <v>3.55</v>
      </c>
      <c r="T244" s="27">
        <v>3.55</v>
      </c>
      <c r="U244" s="27">
        <v>3.55</v>
      </c>
      <c r="V244" s="27">
        <v>3.55</v>
      </c>
      <c r="W244">
        <v>3.55</v>
      </c>
      <c r="X244">
        <v>3.55</v>
      </c>
      <c r="Y244">
        <v>3.55</v>
      </c>
      <c r="Z244">
        <v>3.55</v>
      </c>
      <c r="AA244">
        <v>2.4500000000000002</v>
      </c>
    </row>
    <row r="245" spans="1:27">
      <c r="A245" t="s">
        <v>375</v>
      </c>
      <c r="B245">
        <v>820414</v>
      </c>
      <c r="C245" s="27">
        <v>0.1</v>
      </c>
      <c r="D245" s="27">
        <v>0.1</v>
      </c>
      <c r="E245" s="27">
        <v>0.1</v>
      </c>
      <c r="F245" s="27">
        <v>0.1</v>
      </c>
      <c r="G245" s="27">
        <v>0.1</v>
      </c>
      <c r="H245" s="27">
        <v>0.1</v>
      </c>
      <c r="I245" s="27">
        <v>0.1</v>
      </c>
      <c r="J245" s="27">
        <v>0.1</v>
      </c>
      <c r="K245" s="27">
        <v>0</v>
      </c>
      <c r="L245" s="27">
        <v>0</v>
      </c>
      <c r="M245" s="27">
        <v>0</v>
      </c>
      <c r="N245" s="44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  <c r="V245" s="27">
        <v>0</v>
      </c>
      <c r="W245">
        <v>0</v>
      </c>
      <c r="X245">
        <v>0</v>
      </c>
      <c r="Y245">
        <v>0</v>
      </c>
      <c r="Z245">
        <v>0</v>
      </c>
      <c r="AA245">
        <v>0.03</v>
      </c>
    </row>
    <row r="246" spans="1:27">
      <c r="A246" t="s">
        <v>376</v>
      </c>
      <c r="B246">
        <v>820410</v>
      </c>
      <c r="C246" s="27">
        <v>3</v>
      </c>
      <c r="D246" s="27">
        <v>3</v>
      </c>
      <c r="E246" s="27">
        <v>3</v>
      </c>
      <c r="F246" s="27">
        <v>3</v>
      </c>
      <c r="G246" s="27">
        <v>3</v>
      </c>
      <c r="H246" s="27">
        <v>3</v>
      </c>
      <c r="I246" s="27">
        <v>3</v>
      </c>
      <c r="J246" s="27">
        <v>3</v>
      </c>
      <c r="K246" s="27">
        <v>3</v>
      </c>
      <c r="L246" s="27">
        <v>3</v>
      </c>
      <c r="M246" s="27">
        <v>3</v>
      </c>
      <c r="N246" s="44">
        <v>3</v>
      </c>
      <c r="O246" s="27">
        <v>3</v>
      </c>
      <c r="P246" s="27">
        <v>3</v>
      </c>
      <c r="Q246" s="27">
        <v>3</v>
      </c>
      <c r="R246" s="27">
        <v>3</v>
      </c>
      <c r="S246" s="27">
        <v>3</v>
      </c>
      <c r="T246" s="27">
        <v>3</v>
      </c>
      <c r="U246" s="27">
        <v>3</v>
      </c>
      <c r="V246" s="27">
        <v>3</v>
      </c>
      <c r="W246">
        <v>3</v>
      </c>
      <c r="X246">
        <v>3</v>
      </c>
      <c r="Y246">
        <v>3</v>
      </c>
      <c r="Z246">
        <v>3</v>
      </c>
      <c r="AA246">
        <v>3</v>
      </c>
    </row>
    <row r="247" spans="1:27">
      <c r="A247" t="s">
        <v>377</v>
      </c>
      <c r="B247">
        <v>820411</v>
      </c>
      <c r="C247" s="27">
        <v>1.75</v>
      </c>
      <c r="D247" s="27">
        <v>1.75</v>
      </c>
      <c r="E247" s="27">
        <v>1.75</v>
      </c>
      <c r="F247" s="27">
        <v>1.75</v>
      </c>
      <c r="G247" s="27">
        <v>1.75</v>
      </c>
      <c r="H247" s="27">
        <v>1.75</v>
      </c>
      <c r="I247" s="27">
        <v>1.75</v>
      </c>
      <c r="J247" s="27">
        <v>1.75</v>
      </c>
      <c r="K247" s="27">
        <v>1.75</v>
      </c>
      <c r="L247" s="27">
        <v>1.75</v>
      </c>
      <c r="M247" s="27">
        <v>1.75</v>
      </c>
      <c r="N247" s="44">
        <v>1.75</v>
      </c>
      <c r="O247" s="27">
        <v>1.75</v>
      </c>
      <c r="P247" s="27">
        <v>1.75</v>
      </c>
      <c r="Q247" s="27">
        <v>1.75</v>
      </c>
      <c r="R247" s="27">
        <v>1.75</v>
      </c>
      <c r="S247" s="27">
        <v>1.75</v>
      </c>
      <c r="T247" s="27">
        <v>1.75</v>
      </c>
      <c r="U247" s="27">
        <v>1.75</v>
      </c>
      <c r="V247" s="27">
        <v>1.75</v>
      </c>
      <c r="W247">
        <v>1.75</v>
      </c>
      <c r="X247">
        <v>1.75</v>
      </c>
      <c r="Y247">
        <v>1.75</v>
      </c>
      <c r="Z247">
        <v>1.75</v>
      </c>
      <c r="AA247">
        <v>1.75</v>
      </c>
    </row>
    <row r="248" spans="1:27">
      <c r="A248" t="s">
        <v>378</v>
      </c>
      <c r="B248">
        <v>820413</v>
      </c>
      <c r="C248" s="27">
        <v>0.2</v>
      </c>
      <c r="D248" s="27">
        <v>0.2</v>
      </c>
      <c r="E248" s="27">
        <v>0.2</v>
      </c>
      <c r="F248" s="27">
        <v>0.2</v>
      </c>
      <c r="G248" s="27">
        <v>0.2</v>
      </c>
      <c r="H248" s="27">
        <v>0.2</v>
      </c>
      <c r="I248" s="27">
        <v>0.2</v>
      </c>
      <c r="J248" s="27">
        <v>0.2</v>
      </c>
      <c r="K248" s="27">
        <v>0.2</v>
      </c>
      <c r="L248" s="27">
        <v>0.2</v>
      </c>
      <c r="M248" s="27">
        <v>0.2</v>
      </c>
      <c r="N248" s="44">
        <v>0.2</v>
      </c>
      <c r="O248" s="27">
        <v>0.2</v>
      </c>
      <c r="P248" s="27">
        <v>0.2</v>
      </c>
      <c r="Q248" s="27">
        <v>0.2</v>
      </c>
      <c r="R248" s="27">
        <v>0.2</v>
      </c>
      <c r="S248" s="27">
        <v>0.2</v>
      </c>
      <c r="T248" s="27">
        <v>0.2</v>
      </c>
      <c r="U248" s="27">
        <v>0.2</v>
      </c>
      <c r="V248" s="27">
        <v>0.2</v>
      </c>
      <c r="W248">
        <v>0.2</v>
      </c>
      <c r="X248">
        <v>0.2</v>
      </c>
      <c r="Y248">
        <v>0.2</v>
      </c>
      <c r="Z248">
        <v>0.2</v>
      </c>
      <c r="AA248">
        <v>0.2</v>
      </c>
    </row>
    <row r="249" spans="1:27">
      <c r="A249" t="s">
        <v>379</v>
      </c>
      <c r="B249">
        <v>820415</v>
      </c>
      <c r="C249" s="27">
        <v>0.25</v>
      </c>
      <c r="D249" s="27">
        <v>0.25</v>
      </c>
      <c r="E249" s="27">
        <v>0.25</v>
      </c>
      <c r="F249" s="27">
        <v>0.25</v>
      </c>
      <c r="G249" s="27">
        <v>0.25</v>
      </c>
      <c r="H249" s="27">
        <v>0.25</v>
      </c>
      <c r="I249" s="27">
        <v>0.25</v>
      </c>
      <c r="J249" s="27">
        <v>0.25</v>
      </c>
      <c r="K249" s="27">
        <v>0.25</v>
      </c>
      <c r="L249" s="27">
        <v>0.25</v>
      </c>
      <c r="M249" s="27">
        <v>0.25</v>
      </c>
      <c r="N249" s="44">
        <v>0.25</v>
      </c>
      <c r="O249" s="27">
        <v>0.25</v>
      </c>
      <c r="P249" s="27">
        <v>0.25</v>
      </c>
      <c r="Q249" s="27">
        <v>0.25</v>
      </c>
      <c r="R249" s="27">
        <v>0.25</v>
      </c>
      <c r="S249" s="27">
        <v>0.25</v>
      </c>
      <c r="T249" s="27">
        <v>0.25</v>
      </c>
      <c r="U249" s="27">
        <v>0.25</v>
      </c>
      <c r="V249" s="27">
        <v>0.25</v>
      </c>
      <c r="W249">
        <v>0.25</v>
      </c>
      <c r="X249">
        <v>0.25</v>
      </c>
      <c r="Y249">
        <v>0.25</v>
      </c>
      <c r="Z249">
        <v>0.25</v>
      </c>
      <c r="AA249">
        <v>0.25</v>
      </c>
    </row>
    <row r="250" spans="1:27">
      <c r="A250" t="s">
        <v>380</v>
      </c>
      <c r="B250">
        <v>820416</v>
      </c>
      <c r="C250" s="27">
        <v>0</v>
      </c>
      <c r="D250" s="27">
        <v>0</v>
      </c>
      <c r="E250" s="27">
        <v>0</v>
      </c>
      <c r="F250" s="27">
        <v>0</v>
      </c>
      <c r="G250" s="27">
        <v>0</v>
      </c>
      <c r="H250" s="27">
        <v>0</v>
      </c>
      <c r="I250" s="27">
        <v>0</v>
      </c>
      <c r="J250" s="27">
        <v>0</v>
      </c>
      <c r="K250" s="27">
        <v>0.25</v>
      </c>
      <c r="L250" s="27">
        <v>0.25</v>
      </c>
      <c r="M250" s="27">
        <v>0.25</v>
      </c>
      <c r="N250" s="44">
        <v>0.25</v>
      </c>
      <c r="O250" s="27">
        <v>0.25</v>
      </c>
      <c r="P250" s="27">
        <v>0.25</v>
      </c>
      <c r="Q250" s="27">
        <v>0.25</v>
      </c>
      <c r="R250" s="27">
        <v>0.25</v>
      </c>
      <c r="S250" s="27">
        <v>0.25</v>
      </c>
      <c r="T250" s="27">
        <v>0.25</v>
      </c>
      <c r="U250" s="27">
        <v>0.25</v>
      </c>
      <c r="V250" s="27">
        <v>0.25</v>
      </c>
      <c r="W250">
        <v>0.25</v>
      </c>
      <c r="X250">
        <v>0.25</v>
      </c>
      <c r="Y250">
        <v>0.25</v>
      </c>
      <c r="Z250">
        <v>0.25</v>
      </c>
      <c r="AA250">
        <v>0.17</v>
      </c>
    </row>
    <row r="251" spans="1:27">
      <c r="A251" t="s">
        <v>381</v>
      </c>
      <c r="B251">
        <v>820418</v>
      </c>
      <c r="C251" s="27">
        <v>0</v>
      </c>
      <c r="D251" s="27">
        <v>0</v>
      </c>
      <c r="E251" s="27">
        <v>0</v>
      </c>
      <c r="F251" s="27">
        <v>0</v>
      </c>
      <c r="G251" s="27">
        <v>0</v>
      </c>
      <c r="H251" s="27">
        <v>0</v>
      </c>
      <c r="I251" s="27">
        <v>0</v>
      </c>
      <c r="J251" s="27">
        <v>0</v>
      </c>
      <c r="K251" s="27">
        <v>2.54</v>
      </c>
      <c r="L251" s="27">
        <v>2.84</v>
      </c>
      <c r="M251" s="27">
        <v>2.84</v>
      </c>
      <c r="N251" s="44">
        <v>2.85</v>
      </c>
      <c r="O251" s="27">
        <v>2.87</v>
      </c>
      <c r="P251" s="27">
        <v>2.87</v>
      </c>
      <c r="Q251" s="27">
        <v>2.87</v>
      </c>
      <c r="R251" s="27">
        <v>2.87</v>
      </c>
      <c r="S251" s="27">
        <v>2.88</v>
      </c>
      <c r="T251" s="27">
        <v>2.88</v>
      </c>
      <c r="U251" s="27">
        <v>2.89</v>
      </c>
      <c r="V251" s="27">
        <v>2.89</v>
      </c>
      <c r="W251">
        <v>2.9</v>
      </c>
      <c r="X251">
        <v>2.9</v>
      </c>
      <c r="Y251">
        <v>2.91</v>
      </c>
      <c r="Z251">
        <v>2.91</v>
      </c>
      <c r="AA251">
        <v>1.9</v>
      </c>
    </row>
    <row r="252" spans="1:27">
      <c r="A252" t="s">
        <v>1025</v>
      </c>
      <c r="B252">
        <v>820420</v>
      </c>
      <c r="C252" s="27">
        <v>0.25</v>
      </c>
      <c r="D252" s="27">
        <v>0.25</v>
      </c>
      <c r="E252" s="27">
        <v>0.25</v>
      </c>
      <c r="F252" s="27">
        <v>0.25</v>
      </c>
      <c r="G252" s="27">
        <v>0.25</v>
      </c>
      <c r="H252" s="27">
        <v>0.25</v>
      </c>
      <c r="I252" s="27">
        <v>0.25</v>
      </c>
      <c r="J252" s="27">
        <v>0.25</v>
      </c>
      <c r="K252" s="27">
        <v>2.54</v>
      </c>
      <c r="L252" s="27">
        <v>2.84</v>
      </c>
      <c r="M252" s="27">
        <v>2.84</v>
      </c>
      <c r="N252" s="44">
        <v>2.85</v>
      </c>
      <c r="O252" s="27">
        <v>2.87</v>
      </c>
      <c r="P252" s="27">
        <v>2.87</v>
      </c>
      <c r="Q252" s="27">
        <v>2.87</v>
      </c>
      <c r="R252" s="27">
        <v>2.87</v>
      </c>
      <c r="S252" s="27">
        <v>2.88</v>
      </c>
      <c r="T252" s="27">
        <v>2.88</v>
      </c>
      <c r="U252" s="27">
        <v>2.89</v>
      </c>
      <c r="V252" s="27">
        <v>2.89</v>
      </c>
      <c r="W252">
        <v>2.9</v>
      </c>
      <c r="X252">
        <v>2.9</v>
      </c>
      <c r="Y252">
        <v>2.91</v>
      </c>
      <c r="Z252">
        <v>2.91</v>
      </c>
      <c r="AA252">
        <v>1.99</v>
      </c>
    </row>
    <row r="253" spans="1:27">
      <c r="A253" t="s">
        <v>384</v>
      </c>
      <c r="B253">
        <v>820425</v>
      </c>
      <c r="C253" s="27">
        <v>0.3</v>
      </c>
      <c r="D253" s="27">
        <v>0.3</v>
      </c>
      <c r="E253" s="27">
        <v>0.3</v>
      </c>
      <c r="F253" s="27">
        <v>0.3</v>
      </c>
      <c r="G253" s="27">
        <v>0.3</v>
      </c>
      <c r="H253" s="27">
        <v>0.3</v>
      </c>
      <c r="I253" s="27">
        <v>0.3</v>
      </c>
      <c r="J253" s="27">
        <v>0.3</v>
      </c>
      <c r="K253" s="27">
        <v>2.54</v>
      </c>
      <c r="L253" s="27">
        <v>1.51</v>
      </c>
      <c r="M253" s="27">
        <v>1.54</v>
      </c>
      <c r="N253" s="44">
        <v>1.57</v>
      </c>
      <c r="O253" s="27">
        <v>1.62</v>
      </c>
      <c r="P253" s="27">
        <v>1.63</v>
      </c>
      <c r="Q253" s="27">
        <v>1.64</v>
      </c>
      <c r="R253" s="27">
        <v>1.65</v>
      </c>
      <c r="S253" s="27">
        <v>1.66</v>
      </c>
      <c r="T253" s="27">
        <v>1.67</v>
      </c>
      <c r="U253" s="27">
        <v>1.69</v>
      </c>
      <c r="V253" s="27">
        <v>1.71</v>
      </c>
      <c r="W253">
        <v>1.73</v>
      </c>
      <c r="X253">
        <v>1.74</v>
      </c>
      <c r="Y253">
        <v>1.76</v>
      </c>
      <c r="Z253">
        <v>1.78</v>
      </c>
      <c r="AA253">
        <v>1.24</v>
      </c>
    </row>
    <row r="254" spans="1:27">
      <c r="A254" t="s">
        <v>385</v>
      </c>
      <c r="B254">
        <v>820426</v>
      </c>
      <c r="C254" s="27">
        <v>0</v>
      </c>
      <c r="D254" s="27">
        <v>0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2.54</v>
      </c>
      <c r="L254" s="27">
        <v>1.51</v>
      </c>
      <c r="M254" s="27">
        <v>1.54</v>
      </c>
      <c r="N254" s="44">
        <v>1.57</v>
      </c>
      <c r="O254" s="27">
        <v>1.62</v>
      </c>
      <c r="P254" s="27">
        <v>1.63</v>
      </c>
      <c r="Q254" s="27">
        <v>1.64</v>
      </c>
      <c r="R254" s="27">
        <v>1.65</v>
      </c>
      <c r="S254" s="27">
        <v>1.66</v>
      </c>
      <c r="T254" s="27">
        <v>1.67</v>
      </c>
      <c r="U254" s="27">
        <v>1.69</v>
      </c>
      <c r="V254" s="27">
        <v>1.71</v>
      </c>
      <c r="W254">
        <v>1.73</v>
      </c>
      <c r="X254">
        <v>1.74</v>
      </c>
      <c r="Y254">
        <v>1.76</v>
      </c>
      <c r="Z254">
        <v>1.78</v>
      </c>
      <c r="AA254">
        <v>1.1399999999999999</v>
      </c>
    </row>
    <row r="255" spans="1:27">
      <c r="A255" t="s">
        <v>386</v>
      </c>
      <c r="B255">
        <v>820430</v>
      </c>
      <c r="C255" s="27">
        <v>2.4700000000000002</v>
      </c>
      <c r="D255" s="27">
        <v>2.4700000000000002</v>
      </c>
      <c r="E255" s="27">
        <v>2.4700000000000002</v>
      </c>
      <c r="F255" s="27">
        <v>2.4700000000000002</v>
      </c>
      <c r="G255" s="27">
        <v>2.4700000000000002</v>
      </c>
      <c r="H255" s="27">
        <v>2.4700000000000002</v>
      </c>
      <c r="I255" s="27">
        <v>2.4700000000000002</v>
      </c>
      <c r="J255" s="27">
        <v>2.4700000000000002</v>
      </c>
      <c r="K255" s="27">
        <v>2.31</v>
      </c>
      <c r="L255" s="27">
        <v>0.51</v>
      </c>
      <c r="M255" s="27">
        <v>0.54</v>
      </c>
      <c r="N255" s="44">
        <v>0.56999999999999995</v>
      </c>
      <c r="O255" s="27">
        <v>0.64</v>
      </c>
      <c r="P255" s="27">
        <v>0.66</v>
      </c>
      <c r="Q255" s="27">
        <v>0.67</v>
      </c>
      <c r="R255" s="27">
        <v>0.68</v>
      </c>
      <c r="S255" s="27">
        <v>0.7</v>
      </c>
      <c r="T255" s="27">
        <v>0.71</v>
      </c>
      <c r="U255" s="27">
        <v>0.74</v>
      </c>
      <c r="V255" s="27">
        <v>0.76</v>
      </c>
      <c r="W255">
        <v>0.78</v>
      </c>
      <c r="X255">
        <v>0.8</v>
      </c>
      <c r="Y255">
        <v>0.83</v>
      </c>
      <c r="Z255">
        <v>0.85</v>
      </c>
      <c r="AA255">
        <v>1.35</v>
      </c>
    </row>
    <row r="256" spans="1:27">
      <c r="A256" t="s">
        <v>387</v>
      </c>
      <c r="B256">
        <v>820434</v>
      </c>
      <c r="C256" s="27">
        <v>0.4</v>
      </c>
      <c r="D256" s="27">
        <v>0.4</v>
      </c>
      <c r="E256" s="27">
        <v>0.4</v>
      </c>
      <c r="F256" s="27">
        <v>0.4</v>
      </c>
      <c r="G256" s="27">
        <v>0.4</v>
      </c>
      <c r="H256" s="27">
        <v>0.4</v>
      </c>
      <c r="I256" s="27">
        <v>0.4</v>
      </c>
      <c r="J256" s="27">
        <v>0.4</v>
      </c>
      <c r="K256" s="27">
        <v>0.4</v>
      </c>
      <c r="L256" s="27">
        <v>0.4</v>
      </c>
      <c r="M256" s="27">
        <v>0.4</v>
      </c>
      <c r="N256" s="44">
        <v>0.4</v>
      </c>
      <c r="O256" s="27">
        <v>0.4</v>
      </c>
      <c r="P256" s="27">
        <v>0.4</v>
      </c>
      <c r="Q256" s="27">
        <v>0.4</v>
      </c>
      <c r="R256" s="27">
        <v>0.4</v>
      </c>
      <c r="S256" s="27">
        <v>0.4</v>
      </c>
      <c r="T256" s="27">
        <v>0.4</v>
      </c>
      <c r="U256" s="27">
        <v>0.4</v>
      </c>
      <c r="V256" s="27">
        <v>0.4</v>
      </c>
      <c r="W256">
        <v>0.4</v>
      </c>
      <c r="X256">
        <v>0.4</v>
      </c>
      <c r="Y256">
        <v>0.4</v>
      </c>
      <c r="Z256">
        <v>0.4</v>
      </c>
      <c r="AA256">
        <v>0.4</v>
      </c>
    </row>
    <row r="257" spans="1:27">
      <c r="A257" t="s">
        <v>388</v>
      </c>
      <c r="B257">
        <v>820435</v>
      </c>
      <c r="C257" s="27">
        <v>2.4700000000000002</v>
      </c>
      <c r="D257" s="27">
        <v>2.4700000000000002</v>
      </c>
      <c r="E257" s="27">
        <v>2.4700000000000002</v>
      </c>
      <c r="F257" s="27">
        <v>2.4700000000000002</v>
      </c>
      <c r="G257" s="27">
        <v>2.4700000000000002</v>
      </c>
      <c r="H257" s="27">
        <v>2.4700000000000002</v>
      </c>
      <c r="I257" s="27">
        <v>2.4700000000000002</v>
      </c>
      <c r="J257" s="27">
        <v>2.4700000000000002</v>
      </c>
      <c r="K257" s="27">
        <v>2.33</v>
      </c>
      <c r="L257" s="27">
        <v>0.64</v>
      </c>
      <c r="M257" s="27">
        <v>0.67</v>
      </c>
      <c r="N257" s="44">
        <v>0.7</v>
      </c>
      <c r="O257" s="27">
        <v>0.77</v>
      </c>
      <c r="P257" s="27">
        <v>0.79</v>
      </c>
      <c r="Q257" s="27">
        <v>0.8</v>
      </c>
      <c r="R257" s="27">
        <v>0.81</v>
      </c>
      <c r="S257" s="27">
        <v>0.83</v>
      </c>
      <c r="T257" s="27">
        <v>0.84</v>
      </c>
      <c r="U257" s="27">
        <v>0.87</v>
      </c>
      <c r="V257" s="27">
        <v>0.89</v>
      </c>
      <c r="W257">
        <v>0.91</v>
      </c>
      <c r="X257">
        <v>0.93</v>
      </c>
      <c r="Y257">
        <v>0.96</v>
      </c>
      <c r="Z257">
        <v>0.98</v>
      </c>
      <c r="AA257">
        <v>1.44</v>
      </c>
    </row>
    <row r="258" spans="1:27">
      <c r="A258" t="s">
        <v>389</v>
      </c>
      <c r="B258">
        <v>820440</v>
      </c>
      <c r="C258" s="27">
        <v>2.4700000000000002</v>
      </c>
      <c r="D258" s="27">
        <v>2.4700000000000002</v>
      </c>
      <c r="E258" s="27">
        <v>2.4700000000000002</v>
      </c>
      <c r="F258" s="27">
        <v>2.4700000000000002</v>
      </c>
      <c r="G258" s="27">
        <v>2.4700000000000002</v>
      </c>
      <c r="H258" s="27">
        <v>2.4700000000000002</v>
      </c>
      <c r="I258" s="27">
        <v>2.4700000000000002</v>
      </c>
      <c r="J258" s="27">
        <v>2.4700000000000002</v>
      </c>
      <c r="K258" s="27">
        <v>2.4500000000000002</v>
      </c>
      <c r="L258" s="27">
        <v>2.4500000000000002</v>
      </c>
      <c r="M258" s="27">
        <v>2.4500000000000002</v>
      </c>
      <c r="N258" s="44">
        <v>2.4500000000000002</v>
      </c>
      <c r="O258" s="27">
        <v>2.4500000000000002</v>
      </c>
      <c r="P258" s="27">
        <v>2.4500000000000002</v>
      </c>
      <c r="Q258" s="27">
        <v>2.4500000000000002</v>
      </c>
      <c r="R258" s="27">
        <v>2.4500000000000002</v>
      </c>
      <c r="S258" s="27">
        <v>2.4500000000000002</v>
      </c>
      <c r="T258" s="27">
        <v>2.4500000000000002</v>
      </c>
      <c r="U258" s="27">
        <v>2.4500000000000002</v>
      </c>
      <c r="V258" s="27">
        <v>2.4500000000000002</v>
      </c>
      <c r="W258">
        <v>2.4500000000000002</v>
      </c>
      <c r="X258">
        <v>2.4500000000000002</v>
      </c>
      <c r="Y258">
        <v>2.4500000000000002</v>
      </c>
      <c r="Z258">
        <v>2.4500000000000002</v>
      </c>
      <c r="AA258">
        <v>2.46</v>
      </c>
    </row>
    <row r="259" spans="1:27">
      <c r="A259" t="s">
        <v>1026</v>
      </c>
      <c r="B259">
        <v>820445</v>
      </c>
      <c r="C259" s="27">
        <v>3.99</v>
      </c>
      <c r="D259" s="27">
        <v>3.99</v>
      </c>
      <c r="E259" s="27">
        <v>3.99</v>
      </c>
      <c r="F259" s="27">
        <v>3.99</v>
      </c>
      <c r="G259" s="27">
        <v>3.99</v>
      </c>
      <c r="H259" s="27">
        <v>3.99</v>
      </c>
      <c r="I259" s="27">
        <v>3.99</v>
      </c>
      <c r="J259" s="27">
        <v>3.99</v>
      </c>
      <c r="K259" s="27">
        <v>3.31</v>
      </c>
      <c r="L259" s="27">
        <v>3.31</v>
      </c>
      <c r="M259" s="27">
        <v>3.31</v>
      </c>
      <c r="N259" s="44">
        <v>3.31</v>
      </c>
      <c r="O259" s="27">
        <v>3.15</v>
      </c>
      <c r="P259" s="27">
        <v>3.15</v>
      </c>
      <c r="Q259" s="27">
        <v>3.1</v>
      </c>
      <c r="R259" s="27">
        <v>3.1</v>
      </c>
      <c r="S259" s="27">
        <v>3.05</v>
      </c>
      <c r="T259" s="27">
        <v>3.05</v>
      </c>
      <c r="U259" s="27">
        <v>3</v>
      </c>
      <c r="V259" s="27">
        <v>3</v>
      </c>
      <c r="W259">
        <v>3</v>
      </c>
      <c r="X259">
        <v>3</v>
      </c>
      <c r="Y259">
        <v>3</v>
      </c>
      <c r="Z259">
        <v>3</v>
      </c>
      <c r="AA259">
        <v>3.41</v>
      </c>
    </row>
    <row r="260" spans="1:27">
      <c r="A260" t="s">
        <v>1027</v>
      </c>
      <c r="B260">
        <v>820450</v>
      </c>
      <c r="C260" s="27">
        <v>3</v>
      </c>
      <c r="D260" s="27">
        <v>3</v>
      </c>
      <c r="E260" s="27">
        <v>3</v>
      </c>
      <c r="F260" s="27">
        <v>3</v>
      </c>
      <c r="G260" s="27">
        <v>3</v>
      </c>
      <c r="H260" s="27">
        <v>3</v>
      </c>
      <c r="I260" s="27">
        <v>3</v>
      </c>
      <c r="J260" s="27">
        <v>3</v>
      </c>
      <c r="K260" s="27">
        <v>3</v>
      </c>
      <c r="L260" s="27">
        <v>3</v>
      </c>
      <c r="M260" s="27">
        <v>3</v>
      </c>
      <c r="N260" s="44">
        <v>3</v>
      </c>
      <c r="O260" s="27">
        <v>3</v>
      </c>
      <c r="P260" s="27">
        <v>3</v>
      </c>
      <c r="Q260" s="27">
        <v>3</v>
      </c>
      <c r="R260" s="27">
        <v>3</v>
      </c>
      <c r="S260" s="27">
        <v>3</v>
      </c>
      <c r="T260" s="27">
        <v>3</v>
      </c>
      <c r="U260" s="27">
        <v>3</v>
      </c>
      <c r="V260" s="27">
        <v>3</v>
      </c>
      <c r="W260">
        <v>3</v>
      </c>
      <c r="X260">
        <v>3</v>
      </c>
      <c r="Y260">
        <v>3</v>
      </c>
      <c r="Z260">
        <v>3</v>
      </c>
      <c r="AA260">
        <v>3</v>
      </c>
    </row>
    <row r="261" spans="1:27">
      <c r="A261" t="s">
        <v>1028</v>
      </c>
      <c r="B261">
        <v>820451</v>
      </c>
      <c r="C261" s="27">
        <v>0.2</v>
      </c>
      <c r="D261" s="27">
        <v>0.2</v>
      </c>
      <c r="E261" s="27">
        <v>0.2</v>
      </c>
      <c r="F261" s="27">
        <v>0.2</v>
      </c>
      <c r="G261" s="27">
        <v>0.2</v>
      </c>
      <c r="H261" s="27">
        <v>0.2</v>
      </c>
      <c r="I261" s="27">
        <v>0.2</v>
      </c>
      <c r="J261" s="27">
        <v>0.2</v>
      </c>
      <c r="K261" s="27">
        <v>0.2</v>
      </c>
      <c r="L261" s="27">
        <v>0.2</v>
      </c>
      <c r="M261" s="27">
        <v>0.2</v>
      </c>
      <c r="N261" s="44">
        <v>0.2</v>
      </c>
      <c r="O261" s="27">
        <v>0.2</v>
      </c>
      <c r="P261" s="27">
        <v>0.2</v>
      </c>
      <c r="Q261" s="27">
        <v>0.2</v>
      </c>
      <c r="R261" s="27">
        <v>0.2</v>
      </c>
      <c r="S261" s="27">
        <v>0.2</v>
      </c>
      <c r="T261" s="27">
        <v>0.2</v>
      </c>
      <c r="U261" s="27">
        <v>0.2</v>
      </c>
      <c r="V261" s="27">
        <v>0.2</v>
      </c>
      <c r="W261">
        <v>0.2</v>
      </c>
      <c r="X261">
        <v>0.2</v>
      </c>
      <c r="Y261">
        <v>0.2</v>
      </c>
      <c r="Z261">
        <v>0.2</v>
      </c>
      <c r="AA261">
        <v>0.2</v>
      </c>
    </row>
    <row r="262" spans="1:27">
      <c r="A262" t="s">
        <v>1029</v>
      </c>
      <c r="B262">
        <v>820455</v>
      </c>
      <c r="C262" s="27">
        <v>2.96</v>
      </c>
      <c r="D262" s="27">
        <v>2.96</v>
      </c>
      <c r="E262" s="27">
        <v>2.96</v>
      </c>
      <c r="F262" s="27">
        <v>2.96</v>
      </c>
      <c r="G262" s="27">
        <v>2.96</v>
      </c>
      <c r="H262" s="27">
        <v>2.96</v>
      </c>
      <c r="I262" s="27">
        <v>2.96</v>
      </c>
      <c r="J262" s="27">
        <v>2.96</v>
      </c>
      <c r="K262" s="27">
        <v>3.31</v>
      </c>
      <c r="L262" s="27">
        <v>2.85</v>
      </c>
      <c r="M262" s="27">
        <v>2.82</v>
      </c>
      <c r="N262" s="44">
        <v>2.8</v>
      </c>
      <c r="O262" s="27">
        <v>3.05</v>
      </c>
      <c r="P262" s="27">
        <v>3.05</v>
      </c>
      <c r="Q262" s="27">
        <v>3</v>
      </c>
      <c r="R262" s="27">
        <v>3</v>
      </c>
      <c r="S262" s="27">
        <v>2.95</v>
      </c>
      <c r="T262" s="27">
        <v>2.95</v>
      </c>
      <c r="U262" s="27">
        <v>2.9</v>
      </c>
      <c r="V262" s="27">
        <v>2.9</v>
      </c>
      <c r="W262">
        <v>2.9</v>
      </c>
      <c r="X262">
        <v>2.9</v>
      </c>
      <c r="Y262">
        <v>2.9</v>
      </c>
      <c r="Z262">
        <v>2.9</v>
      </c>
      <c r="AA262">
        <v>2.95</v>
      </c>
    </row>
    <row r="263" spans="1:27">
      <c r="A263" t="s">
        <v>1030</v>
      </c>
      <c r="B263">
        <v>820460</v>
      </c>
      <c r="C263" s="27">
        <v>2.96</v>
      </c>
      <c r="D263" s="27">
        <v>2.96</v>
      </c>
      <c r="E263" s="27">
        <v>2.96</v>
      </c>
      <c r="F263" s="27">
        <v>2.96</v>
      </c>
      <c r="G263" s="27">
        <v>2.96</v>
      </c>
      <c r="H263" s="27">
        <v>2.96</v>
      </c>
      <c r="I263" s="27">
        <v>2.96</v>
      </c>
      <c r="J263" s="27">
        <v>2.96</v>
      </c>
      <c r="K263" s="27">
        <v>2.5</v>
      </c>
      <c r="L263" s="27">
        <v>2.84</v>
      </c>
      <c r="M263" s="27">
        <v>2.84</v>
      </c>
      <c r="N263" s="44">
        <v>2.85</v>
      </c>
      <c r="O263" s="27">
        <v>2.87</v>
      </c>
      <c r="P263" s="27">
        <v>2.87</v>
      </c>
      <c r="Q263" s="27">
        <v>2.87</v>
      </c>
      <c r="R263" s="27">
        <v>2.87</v>
      </c>
      <c r="S263" s="27">
        <v>2.88</v>
      </c>
      <c r="T263" s="27">
        <v>2.88</v>
      </c>
      <c r="U263" s="27">
        <v>2.89</v>
      </c>
      <c r="V263" s="27">
        <v>2.89</v>
      </c>
      <c r="W263">
        <v>2.9</v>
      </c>
      <c r="X263">
        <v>2.9</v>
      </c>
      <c r="Y263">
        <v>2.91</v>
      </c>
      <c r="Z263">
        <v>2.91</v>
      </c>
      <c r="AA263">
        <v>2.89</v>
      </c>
    </row>
    <row r="264" spans="1:27">
      <c r="A264" t="s">
        <v>1031</v>
      </c>
      <c r="B264">
        <v>820465</v>
      </c>
      <c r="C264" s="27">
        <v>2.96</v>
      </c>
      <c r="D264" s="27">
        <v>2.96</v>
      </c>
      <c r="E264" s="27">
        <v>2.96</v>
      </c>
      <c r="F264" s="27">
        <v>2.96</v>
      </c>
      <c r="G264" s="27">
        <v>2.96</v>
      </c>
      <c r="H264" s="27">
        <v>2.96</v>
      </c>
      <c r="I264" s="27">
        <v>2.96</v>
      </c>
      <c r="J264" s="27">
        <v>2.96</v>
      </c>
      <c r="K264" s="27">
        <v>2.5</v>
      </c>
      <c r="L264" s="27">
        <v>2.84</v>
      </c>
      <c r="M264" s="27">
        <v>2.84</v>
      </c>
      <c r="N264" s="44">
        <v>2.85</v>
      </c>
      <c r="O264" s="27">
        <v>2.87</v>
      </c>
      <c r="P264" s="27">
        <v>2.87</v>
      </c>
      <c r="Q264" s="27">
        <v>2.87</v>
      </c>
      <c r="R264" s="27">
        <v>2.87</v>
      </c>
      <c r="S264" s="27">
        <v>2.88</v>
      </c>
      <c r="T264" s="27">
        <v>2.88</v>
      </c>
      <c r="U264" s="27">
        <v>2.89</v>
      </c>
      <c r="V264" s="27">
        <v>2.89</v>
      </c>
      <c r="W264">
        <v>2.9</v>
      </c>
      <c r="X264">
        <v>2.9</v>
      </c>
      <c r="Y264">
        <v>2.91</v>
      </c>
      <c r="Z264">
        <v>2.91</v>
      </c>
      <c r="AA264">
        <v>2.89</v>
      </c>
    </row>
    <row r="265" spans="1:27">
      <c r="A265" t="s">
        <v>1032</v>
      </c>
      <c r="B265">
        <v>820470</v>
      </c>
      <c r="C265" s="27">
        <v>2.71</v>
      </c>
      <c r="D265" s="27">
        <v>2.71</v>
      </c>
      <c r="E265" s="27">
        <v>2.71</v>
      </c>
      <c r="F265" s="27">
        <v>2.71</v>
      </c>
      <c r="G265" s="27">
        <v>2.71</v>
      </c>
      <c r="H265" s="27">
        <v>2.71</v>
      </c>
      <c r="I265" s="27">
        <v>2.71</v>
      </c>
      <c r="J265" s="27">
        <v>2.71</v>
      </c>
      <c r="K265" s="27">
        <v>2.54</v>
      </c>
      <c r="L265" s="27">
        <v>1.51</v>
      </c>
      <c r="M265" s="27">
        <v>1.54</v>
      </c>
      <c r="N265" s="44">
        <v>1.57</v>
      </c>
      <c r="O265" s="27">
        <v>1.62</v>
      </c>
      <c r="P265" s="27">
        <v>1.63</v>
      </c>
      <c r="Q265" s="27">
        <v>1.64</v>
      </c>
      <c r="R265" s="27">
        <v>1.65</v>
      </c>
      <c r="S265" s="27">
        <v>1.66</v>
      </c>
      <c r="T265" s="27">
        <v>1.67</v>
      </c>
      <c r="U265" s="27">
        <v>1.69</v>
      </c>
      <c r="V265" s="27">
        <v>1.71</v>
      </c>
      <c r="W265">
        <v>1.73</v>
      </c>
      <c r="X265">
        <v>1.74</v>
      </c>
      <c r="Y265">
        <v>1.76</v>
      </c>
      <c r="Z265">
        <v>1.78</v>
      </c>
      <c r="AA265">
        <v>2.0499999999999998</v>
      </c>
    </row>
    <row r="266" spans="1:27">
      <c r="A266" t="s">
        <v>1033</v>
      </c>
      <c r="B266">
        <v>820475</v>
      </c>
      <c r="C266" s="27">
        <v>2.4700000000000002</v>
      </c>
      <c r="D266" s="27">
        <v>2.4700000000000002</v>
      </c>
      <c r="E266" s="27">
        <v>2.4700000000000002</v>
      </c>
      <c r="F266" s="27">
        <v>2.4700000000000002</v>
      </c>
      <c r="G266" s="27">
        <v>2.4700000000000002</v>
      </c>
      <c r="H266" s="27">
        <v>2.4700000000000002</v>
      </c>
      <c r="I266" s="27">
        <v>2.4700000000000002</v>
      </c>
      <c r="J266" s="27">
        <v>2.4700000000000002</v>
      </c>
      <c r="K266" s="27">
        <v>2.31</v>
      </c>
      <c r="L266" s="27">
        <v>0.51</v>
      </c>
      <c r="M266" s="27">
        <v>0.54</v>
      </c>
      <c r="N266" s="44">
        <v>0.56999999999999995</v>
      </c>
      <c r="O266" s="27">
        <v>0.64</v>
      </c>
      <c r="P266" s="27">
        <v>0.66</v>
      </c>
      <c r="Q266" s="27">
        <v>0.67</v>
      </c>
      <c r="R266" s="27">
        <v>0.68</v>
      </c>
      <c r="S266" s="27">
        <v>0.7</v>
      </c>
      <c r="T266" s="27">
        <v>0.71</v>
      </c>
      <c r="U266" s="27">
        <v>0.74</v>
      </c>
      <c r="V266" s="27">
        <v>0.76</v>
      </c>
      <c r="W266">
        <v>0.78</v>
      </c>
      <c r="X266">
        <v>0.8</v>
      </c>
      <c r="Y266">
        <v>0.83</v>
      </c>
      <c r="Z266">
        <v>0.85</v>
      </c>
      <c r="AA266">
        <v>1.35</v>
      </c>
    </row>
    <row r="267" spans="1:27">
      <c r="A267" t="s">
        <v>1034</v>
      </c>
      <c r="B267">
        <v>820480</v>
      </c>
      <c r="C267" s="27">
        <v>2.4700000000000002</v>
      </c>
      <c r="D267" s="27">
        <v>2.4700000000000002</v>
      </c>
      <c r="E267" s="27">
        <v>2.4700000000000002</v>
      </c>
      <c r="F267" s="27">
        <v>2.4700000000000002</v>
      </c>
      <c r="G267" s="27">
        <v>2.4700000000000002</v>
      </c>
      <c r="H267" s="27">
        <v>2.4700000000000002</v>
      </c>
      <c r="I267" s="27">
        <v>2.4700000000000002</v>
      </c>
      <c r="J267" s="27">
        <v>2.4700000000000002</v>
      </c>
      <c r="K267" s="27">
        <v>2.33</v>
      </c>
      <c r="L267" s="27">
        <v>0.64</v>
      </c>
      <c r="M267" s="27">
        <v>0.67</v>
      </c>
      <c r="N267" s="44">
        <v>0.7</v>
      </c>
      <c r="O267" s="27">
        <v>0.77</v>
      </c>
      <c r="P267" s="27">
        <v>0.79</v>
      </c>
      <c r="Q267" s="27">
        <v>0.8</v>
      </c>
      <c r="R267" s="27">
        <v>0.81</v>
      </c>
      <c r="S267" s="27">
        <v>0.83</v>
      </c>
      <c r="T267" s="27">
        <v>0.84</v>
      </c>
      <c r="U267" s="27">
        <v>0.87</v>
      </c>
      <c r="V267" s="27">
        <v>0.89</v>
      </c>
      <c r="W267">
        <v>0.91</v>
      </c>
      <c r="X267">
        <v>0.93</v>
      </c>
      <c r="Y267">
        <v>0.96</v>
      </c>
      <c r="Z267">
        <v>0.98</v>
      </c>
      <c r="AA267">
        <v>1.44</v>
      </c>
    </row>
    <row r="268" spans="1:27">
      <c r="A268" t="s">
        <v>1035</v>
      </c>
      <c r="B268">
        <v>820485</v>
      </c>
      <c r="C268" s="27">
        <v>2.4700000000000002</v>
      </c>
      <c r="D268" s="27">
        <v>2.4700000000000002</v>
      </c>
      <c r="E268" s="27">
        <v>2.4700000000000002</v>
      </c>
      <c r="F268" s="27">
        <v>2.4700000000000002</v>
      </c>
      <c r="G268" s="27">
        <v>2.4700000000000002</v>
      </c>
      <c r="H268" s="27">
        <v>2.4700000000000002</v>
      </c>
      <c r="I268" s="27">
        <v>2.4700000000000002</v>
      </c>
      <c r="J268" s="27">
        <v>2.4700000000000002</v>
      </c>
      <c r="K268" s="27">
        <v>2.4500000000000002</v>
      </c>
      <c r="L268" s="27">
        <v>0.48</v>
      </c>
      <c r="M268" s="27">
        <v>0.5</v>
      </c>
      <c r="N268" s="44">
        <v>0.53</v>
      </c>
      <c r="O268" s="27">
        <v>0.57999999999999996</v>
      </c>
      <c r="P268" s="27">
        <v>0.59</v>
      </c>
      <c r="Q268" s="27">
        <v>0.59</v>
      </c>
      <c r="R268" s="27">
        <v>0.6</v>
      </c>
      <c r="S268" s="27">
        <v>0.61</v>
      </c>
      <c r="T268" s="27">
        <v>0.62</v>
      </c>
      <c r="U268" s="27">
        <v>0.64</v>
      </c>
      <c r="V268" s="27">
        <v>0.66</v>
      </c>
      <c r="W268">
        <v>0.67</v>
      </c>
      <c r="X268">
        <v>0.69</v>
      </c>
      <c r="Y268">
        <v>0.7</v>
      </c>
      <c r="Z268">
        <v>0.72</v>
      </c>
      <c r="AA268">
        <v>1.31</v>
      </c>
    </row>
    <row r="269" spans="1:27">
      <c r="A269" t="s">
        <v>1036</v>
      </c>
      <c r="B269">
        <v>820490</v>
      </c>
      <c r="C269" s="27">
        <v>2.96</v>
      </c>
      <c r="D269" s="27">
        <v>2.96</v>
      </c>
      <c r="E269" s="27">
        <v>2.96</v>
      </c>
      <c r="F269" s="27">
        <v>2.96</v>
      </c>
      <c r="G269" s="27">
        <v>2.96</v>
      </c>
      <c r="H269" s="27">
        <v>2.96</v>
      </c>
      <c r="I269" s="27">
        <v>2.96</v>
      </c>
      <c r="J269" s="27">
        <v>2.96</v>
      </c>
      <c r="K269" s="27">
        <v>3</v>
      </c>
      <c r="L269" s="27">
        <v>3</v>
      </c>
      <c r="M269" s="27">
        <v>3</v>
      </c>
      <c r="N269" s="44">
        <v>3</v>
      </c>
      <c r="O269" s="27">
        <v>3</v>
      </c>
      <c r="P269" s="27">
        <v>3</v>
      </c>
      <c r="Q269" s="27">
        <v>3</v>
      </c>
      <c r="R269" s="27">
        <v>3</v>
      </c>
      <c r="S269" s="27">
        <v>3</v>
      </c>
      <c r="T269" s="27">
        <v>3</v>
      </c>
      <c r="U269" s="27">
        <v>3</v>
      </c>
      <c r="V269" s="27">
        <v>3</v>
      </c>
      <c r="W269">
        <v>3</v>
      </c>
      <c r="X269">
        <v>3</v>
      </c>
      <c r="Y269">
        <v>3</v>
      </c>
      <c r="Z269">
        <v>3</v>
      </c>
      <c r="AA269">
        <v>2.99</v>
      </c>
    </row>
    <row r="270" spans="1:27">
      <c r="A270" t="s">
        <v>1037</v>
      </c>
      <c r="B270">
        <v>820495</v>
      </c>
      <c r="C270" s="27">
        <v>2.71</v>
      </c>
      <c r="D270" s="27">
        <v>2.71</v>
      </c>
      <c r="E270" s="27">
        <v>2.71</v>
      </c>
      <c r="F270" s="27">
        <v>2.71</v>
      </c>
      <c r="G270" s="27">
        <v>2.71</v>
      </c>
      <c r="H270" s="27">
        <v>2.71</v>
      </c>
      <c r="I270" s="27">
        <v>2.71</v>
      </c>
      <c r="J270" s="27">
        <v>2.71</v>
      </c>
      <c r="K270" s="27">
        <v>2.54</v>
      </c>
      <c r="L270" s="27">
        <v>1.51</v>
      </c>
      <c r="M270" s="27">
        <v>1.54</v>
      </c>
      <c r="N270" s="44">
        <v>1.57</v>
      </c>
      <c r="O270" s="27">
        <v>1.62</v>
      </c>
      <c r="P270" s="27">
        <v>1.63</v>
      </c>
      <c r="Q270" s="27">
        <v>1.64</v>
      </c>
      <c r="R270" s="27">
        <v>1.65</v>
      </c>
      <c r="S270" s="27">
        <v>1.66</v>
      </c>
      <c r="T270" s="27">
        <v>1.67</v>
      </c>
      <c r="U270" s="27">
        <v>1.69</v>
      </c>
      <c r="V270" s="27">
        <v>1.71</v>
      </c>
      <c r="W270">
        <v>1.73</v>
      </c>
      <c r="X270">
        <v>1.74</v>
      </c>
      <c r="Y270">
        <v>1.76</v>
      </c>
      <c r="Z270">
        <v>1.78</v>
      </c>
      <c r="AA270">
        <v>2.0499999999999998</v>
      </c>
    </row>
    <row r="271" spans="1:27">
      <c r="A271" t="s">
        <v>1038</v>
      </c>
      <c r="B271">
        <v>820501</v>
      </c>
      <c r="C271" s="27">
        <v>0.1</v>
      </c>
      <c r="D271" s="27">
        <v>0.1</v>
      </c>
      <c r="E271" s="27">
        <v>0.1</v>
      </c>
      <c r="F271" s="27">
        <v>0.1</v>
      </c>
      <c r="G271" s="27">
        <v>0.1</v>
      </c>
      <c r="H271" s="27">
        <v>0.1</v>
      </c>
      <c r="I271" s="27">
        <v>0.1</v>
      </c>
      <c r="J271" s="27">
        <v>0.1</v>
      </c>
      <c r="K271" s="27">
        <v>0.1</v>
      </c>
      <c r="L271" s="27">
        <v>0.1</v>
      </c>
      <c r="M271" s="27">
        <v>0.1</v>
      </c>
      <c r="N271" s="44">
        <v>0.1</v>
      </c>
      <c r="O271" s="27">
        <v>0.1</v>
      </c>
      <c r="P271" s="27">
        <v>0.1</v>
      </c>
      <c r="Q271" s="27">
        <v>0.1</v>
      </c>
      <c r="R271" s="27">
        <v>0.1</v>
      </c>
      <c r="S271" s="27">
        <v>0.1</v>
      </c>
      <c r="T271" s="27">
        <v>0.1</v>
      </c>
      <c r="U271" s="27">
        <v>0.1</v>
      </c>
      <c r="V271" s="27">
        <v>0.1</v>
      </c>
      <c r="W271">
        <v>0.1</v>
      </c>
      <c r="X271">
        <v>0.1</v>
      </c>
      <c r="Y271">
        <v>0.1</v>
      </c>
      <c r="Z271">
        <v>0.1</v>
      </c>
      <c r="AA271">
        <v>0.1</v>
      </c>
    </row>
    <row r="272" spans="1:27">
      <c r="A272" t="s">
        <v>369</v>
      </c>
      <c r="B272">
        <v>820502</v>
      </c>
      <c r="C272" s="27">
        <v>0.1</v>
      </c>
      <c r="D272" s="27">
        <v>0.1</v>
      </c>
      <c r="E272" s="27">
        <v>0.1</v>
      </c>
      <c r="F272" s="27">
        <v>0.1</v>
      </c>
      <c r="G272" s="27">
        <v>0.1</v>
      </c>
      <c r="H272" s="27">
        <v>0.1</v>
      </c>
      <c r="I272" s="27">
        <v>0.1</v>
      </c>
      <c r="J272" s="27">
        <v>0.1</v>
      </c>
      <c r="K272" s="27">
        <v>0.1</v>
      </c>
      <c r="L272" s="27">
        <v>0.1</v>
      </c>
      <c r="M272" s="27">
        <v>0.1</v>
      </c>
      <c r="N272" s="44">
        <v>0.1</v>
      </c>
      <c r="O272" s="27">
        <v>0.1</v>
      </c>
      <c r="P272" s="27">
        <v>0.1</v>
      </c>
      <c r="Q272" s="27">
        <v>0.1</v>
      </c>
      <c r="R272" s="27">
        <v>0.1</v>
      </c>
      <c r="S272" s="27">
        <v>0.1</v>
      </c>
      <c r="T272" s="27">
        <v>0.1</v>
      </c>
      <c r="U272" s="27">
        <v>0.1</v>
      </c>
      <c r="V272" s="27">
        <v>0.1</v>
      </c>
      <c r="W272">
        <v>0.1</v>
      </c>
      <c r="X272">
        <v>0.1</v>
      </c>
      <c r="Y272">
        <v>0.1</v>
      </c>
      <c r="Z272">
        <v>0.1</v>
      </c>
      <c r="AA272">
        <v>0.1</v>
      </c>
    </row>
    <row r="273" spans="1:27">
      <c r="A273" t="s">
        <v>375</v>
      </c>
      <c r="B273">
        <v>820503</v>
      </c>
      <c r="C273" s="27">
        <v>0.1</v>
      </c>
      <c r="D273" s="27">
        <v>0.1</v>
      </c>
      <c r="E273" s="27">
        <v>0.1</v>
      </c>
      <c r="F273" s="27">
        <v>0.1</v>
      </c>
      <c r="G273" s="27">
        <v>0.1</v>
      </c>
      <c r="H273" s="27">
        <v>0.1</v>
      </c>
      <c r="I273" s="27">
        <v>0.1</v>
      </c>
      <c r="J273" s="27">
        <v>0.1</v>
      </c>
      <c r="K273" s="27">
        <v>0.1</v>
      </c>
      <c r="L273" s="27">
        <v>0.1</v>
      </c>
      <c r="M273" s="27">
        <v>0.1</v>
      </c>
      <c r="N273" s="44">
        <v>0.1</v>
      </c>
      <c r="O273" s="27">
        <v>0.1</v>
      </c>
      <c r="P273" s="27">
        <v>0.1</v>
      </c>
      <c r="Q273" s="27">
        <v>0.1</v>
      </c>
      <c r="R273" s="27">
        <v>0.1</v>
      </c>
      <c r="S273" s="27">
        <v>0.1</v>
      </c>
      <c r="T273" s="27">
        <v>0.1</v>
      </c>
      <c r="U273" s="27">
        <v>0.1</v>
      </c>
      <c r="V273" s="27">
        <v>0.1</v>
      </c>
      <c r="W273">
        <v>0.1</v>
      </c>
      <c r="X273">
        <v>0.1</v>
      </c>
      <c r="Y273">
        <v>0.1</v>
      </c>
      <c r="Z273">
        <v>0.1</v>
      </c>
      <c r="AA273">
        <v>0.1</v>
      </c>
    </row>
    <row r="274" spans="1:27">
      <c r="A274" t="s">
        <v>403</v>
      </c>
      <c r="B274">
        <v>820504</v>
      </c>
      <c r="C274" s="27">
        <v>0</v>
      </c>
      <c r="D274" s="27">
        <v>0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0.15</v>
      </c>
      <c r="L274" s="27">
        <v>0.15</v>
      </c>
      <c r="M274" s="27">
        <v>0.15</v>
      </c>
      <c r="N274" s="44">
        <v>0.15</v>
      </c>
      <c r="O274" s="27">
        <v>0.15</v>
      </c>
      <c r="P274" s="27">
        <v>0.15</v>
      </c>
      <c r="Q274" s="27">
        <v>0.15</v>
      </c>
      <c r="R274" s="27">
        <v>0.15</v>
      </c>
      <c r="S274" s="27">
        <v>0.15</v>
      </c>
      <c r="T274" s="27">
        <v>0.15</v>
      </c>
      <c r="U274" s="27">
        <v>0.15</v>
      </c>
      <c r="V274" s="27">
        <v>0.15</v>
      </c>
      <c r="W274">
        <v>0.15</v>
      </c>
      <c r="X274">
        <v>0.15</v>
      </c>
      <c r="Y274">
        <v>0.15</v>
      </c>
      <c r="Z274">
        <v>0.15</v>
      </c>
      <c r="AA274">
        <v>0.1</v>
      </c>
    </row>
    <row r="275" spans="1:27">
      <c r="A275" t="s">
        <v>404</v>
      </c>
      <c r="B275">
        <v>820505</v>
      </c>
      <c r="C275" s="27">
        <v>0.15</v>
      </c>
      <c r="D275" s="27">
        <v>0.15</v>
      </c>
      <c r="E275" s="27">
        <v>0.15</v>
      </c>
      <c r="F275" s="27">
        <v>0.15</v>
      </c>
      <c r="G275" s="27">
        <v>0.15</v>
      </c>
      <c r="H275" s="27">
        <v>0.15</v>
      </c>
      <c r="I275" s="27">
        <v>0.15</v>
      </c>
      <c r="J275" s="27">
        <v>0.15</v>
      </c>
      <c r="K275" s="27">
        <v>0.15</v>
      </c>
      <c r="L275" s="27">
        <v>0.15</v>
      </c>
      <c r="M275" s="27">
        <v>0.15</v>
      </c>
      <c r="N275" s="44">
        <v>0.15</v>
      </c>
      <c r="O275" s="27">
        <v>0.15</v>
      </c>
      <c r="P275" s="27">
        <v>0.15</v>
      </c>
      <c r="Q275" s="27">
        <v>0.15</v>
      </c>
      <c r="R275" s="27">
        <v>0.15</v>
      </c>
      <c r="S275" s="27">
        <v>0.15</v>
      </c>
      <c r="T275" s="27">
        <v>0.15</v>
      </c>
      <c r="U275" s="27">
        <v>0.15</v>
      </c>
      <c r="V275" s="27">
        <v>0.15</v>
      </c>
      <c r="W275">
        <v>0.15</v>
      </c>
      <c r="X275">
        <v>0.15</v>
      </c>
      <c r="Y275">
        <v>0.15</v>
      </c>
      <c r="Z275">
        <v>0.15</v>
      </c>
      <c r="AA275">
        <v>0.15</v>
      </c>
    </row>
    <row r="276" spans="1:27">
      <c r="A276" t="s">
        <v>405</v>
      </c>
      <c r="B276">
        <v>820506</v>
      </c>
      <c r="C276" s="27">
        <v>0</v>
      </c>
      <c r="D276" s="27">
        <v>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0.2</v>
      </c>
      <c r="L276" s="27">
        <v>0.2</v>
      </c>
      <c r="M276" s="27">
        <v>0.2</v>
      </c>
      <c r="N276" s="44">
        <v>0.2</v>
      </c>
      <c r="O276" s="27">
        <v>0.2</v>
      </c>
      <c r="P276" s="27">
        <v>0.2</v>
      </c>
      <c r="Q276" s="27">
        <v>0.2</v>
      </c>
      <c r="R276" s="27">
        <v>0.2</v>
      </c>
      <c r="S276" s="27">
        <v>0.2</v>
      </c>
      <c r="T276" s="27">
        <v>0.2</v>
      </c>
      <c r="U276" s="27">
        <v>0.2</v>
      </c>
      <c r="V276" s="27">
        <v>0.2</v>
      </c>
      <c r="W276">
        <v>0.2</v>
      </c>
      <c r="X276">
        <v>0.2</v>
      </c>
      <c r="Y276">
        <v>0.2</v>
      </c>
      <c r="Z276">
        <v>0.2</v>
      </c>
      <c r="AA276">
        <v>0.13</v>
      </c>
    </row>
    <row r="277" spans="1:27">
      <c r="A277" t="s">
        <v>1039</v>
      </c>
      <c r="B277">
        <v>820545</v>
      </c>
      <c r="C277" s="27">
        <v>3</v>
      </c>
      <c r="D277" s="27">
        <v>3</v>
      </c>
      <c r="E277" s="27">
        <v>3</v>
      </c>
      <c r="F277" s="27">
        <v>3</v>
      </c>
      <c r="G277" s="27">
        <v>3</v>
      </c>
      <c r="H277" s="27">
        <v>3</v>
      </c>
      <c r="I277" s="27">
        <v>3</v>
      </c>
      <c r="J277" s="27">
        <v>3</v>
      </c>
      <c r="K277" s="27">
        <v>2.25</v>
      </c>
      <c r="L277" s="27">
        <v>2.02</v>
      </c>
      <c r="M277" s="27">
        <v>1.97</v>
      </c>
      <c r="N277" s="44">
        <v>1.91</v>
      </c>
      <c r="O277" s="27">
        <v>1.8</v>
      </c>
      <c r="P277" s="27">
        <v>1.78</v>
      </c>
      <c r="Q277" s="27">
        <v>1.76</v>
      </c>
      <c r="R277" s="27">
        <v>1.73</v>
      </c>
      <c r="S277" s="27">
        <v>1.71</v>
      </c>
      <c r="T277" s="27">
        <v>1.69</v>
      </c>
      <c r="U277" s="27">
        <v>1.65</v>
      </c>
      <c r="V277" s="27">
        <v>1.61</v>
      </c>
      <c r="W277">
        <v>1.58</v>
      </c>
      <c r="X277">
        <v>1.54</v>
      </c>
      <c r="Y277">
        <v>1.51</v>
      </c>
      <c r="Z277">
        <v>1.47</v>
      </c>
      <c r="AA277">
        <v>2.17</v>
      </c>
    </row>
    <row r="278" spans="1:27">
      <c r="A278" t="s">
        <v>1040</v>
      </c>
      <c r="B278">
        <v>820550</v>
      </c>
      <c r="C278" s="27">
        <v>4.9000000000000004</v>
      </c>
      <c r="D278" s="27">
        <v>4.9000000000000004</v>
      </c>
      <c r="E278" s="27">
        <v>4.9000000000000004</v>
      </c>
      <c r="F278" s="27">
        <v>4.9000000000000004</v>
      </c>
      <c r="G278" s="27">
        <v>4.9000000000000004</v>
      </c>
      <c r="H278" s="27">
        <v>4.9000000000000004</v>
      </c>
      <c r="I278" s="27">
        <v>4.9000000000000004</v>
      </c>
      <c r="J278" s="27">
        <v>4.9000000000000004</v>
      </c>
      <c r="K278" s="27">
        <v>3.31</v>
      </c>
      <c r="L278" s="27">
        <v>3.31</v>
      </c>
      <c r="M278" s="27">
        <v>3.31</v>
      </c>
      <c r="N278" s="44">
        <v>3.31</v>
      </c>
      <c r="O278" s="27">
        <v>3.05</v>
      </c>
      <c r="P278" s="27">
        <v>3.05</v>
      </c>
      <c r="Q278" s="27">
        <v>3</v>
      </c>
      <c r="R278" s="27">
        <v>3</v>
      </c>
      <c r="S278" s="27">
        <v>2.95</v>
      </c>
      <c r="T278" s="27">
        <v>2.95</v>
      </c>
      <c r="U278" s="27">
        <v>2.9</v>
      </c>
      <c r="V278" s="27">
        <v>2.9</v>
      </c>
      <c r="W278">
        <v>2.9</v>
      </c>
      <c r="X278">
        <v>2.9</v>
      </c>
      <c r="Y278">
        <v>2.9</v>
      </c>
      <c r="Z278">
        <v>2.9</v>
      </c>
      <c r="AA278">
        <v>3.66</v>
      </c>
    </row>
    <row r="279" spans="1:27">
      <c r="A279" t="s">
        <v>1041</v>
      </c>
      <c r="B279">
        <v>820551</v>
      </c>
      <c r="C279" s="27">
        <v>0</v>
      </c>
      <c r="D279" s="27">
        <v>0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4.0599999999999996</v>
      </c>
      <c r="L279" s="27">
        <v>2.85</v>
      </c>
      <c r="M279" s="27">
        <v>2.82</v>
      </c>
      <c r="N279" s="44">
        <v>2.8</v>
      </c>
      <c r="O279" s="27">
        <v>2.75</v>
      </c>
      <c r="P279" s="27">
        <v>2.74</v>
      </c>
      <c r="Q279" s="27">
        <v>2.73</v>
      </c>
      <c r="R279" s="27">
        <v>2.72</v>
      </c>
      <c r="S279" s="27">
        <v>2.71</v>
      </c>
      <c r="T279" s="27">
        <v>2.7</v>
      </c>
      <c r="U279" s="27">
        <v>2.69</v>
      </c>
      <c r="V279" s="27">
        <v>2.67</v>
      </c>
      <c r="W279">
        <v>2.65</v>
      </c>
      <c r="X279">
        <v>2.64</v>
      </c>
      <c r="Y279">
        <v>2.62</v>
      </c>
      <c r="Z279">
        <v>2.61</v>
      </c>
      <c r="AA279">
        <v>1.87</v>
      </c>
    </row>
    <row r="280" spans="1:27">
      <c r="A280" t="s">
        <v>1042</v>
      </c>
      <c r="B280">
        <v>820552</v>
      </c>
      <c r="C280" s="27">
        <v>4.17</v>
      </c>
      <c r="D280" s="27">
        <v>4.17</v>
      </c>
      <c r="E280" s="27">
        <v>4.17</v>
      </c>
      <c r="F280" s="27">
        <v>4.17</v>
      </c>
      <c r="G280" s="27">
        <v>4.17</v>
      </c>
      <c r="H280" s="27">
        <v>4.17</v>
      </c>
      <c r="I280" s="27">
        <v>4.17</v>
      </c>
      <c r="J280" s="27">
        <v>4.17</v>
      </c>
      <c r="K280" s="27">
        <v>4.0599999999999996</v>
      </c>
      <c r="L280" s="27">
        <v>1.44</v>
      </c>
      <c r="M280" s="27">
        <v>1.41</v>
      </c>
      <c r="N280" s="44">
        <v>1.39</v>
      </c>
      <c r="O280" s="27">
        <v>1.34</v>
      </c>
      <c r="P280" s="27">
        <v>1.33</v>
      </c>
      <c r="Q280" s="27">
        <v>1.32</v>
      </c>
      <c r="R280" s="27">
        <v>1.31</v>
      </c>
      <c r="S280" s="27">
        <v>1.3</v>
      </c>
      <c r="T280" s="27">
        <v>1.29</v>
      </c>
      <c r="U280" s="27">
        <v>1.28</v>
      </c>
      <c r="V280" s="27">
        <v>1.26</v>
      </c>
      <c r="W280">
        <v>1.24</v>
      </c>
      <c r="X280">
        <v>1.23</v>
      </c>
      <c r="Y280">
        <v>1.21</v>
      </c>
      <c r="Z280">
        <v>1.2</v>
      </c>
      <c r="AA280">
        <v>2.37</v>
      </c>
    </row>
    <row r="281" spans="1:27">
      <c r="A281" t="s">
        <v>1043</v>
      </c>
      <c r="B281">
        <v>820553</v>
      </c>
      <c r="C281" s="27">
        <v>0</v>
      </c>
      <c r="D281" s="27">
        <v>0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4.0599999999999996</v>
      </c>
      <c r="L281" s="27">
        <v>4.0199999999999996</v>
      </c>
      <c r="M281" s="27">
        <v>3.99</v>
      </c>
      <c r="N281" s="44">
        <v>3.95</v>
      </c>
      <c r="O281" s="27">
        <v>3.91</v>
      </c>
      <c r="P281" s="27">
        <v>3.87</v>
      </c>
      <c r="Q281" s="27">
        <v>3.84</v>
      </c>
      <c r="R281" s="27">
        <v>3.8</v>
      </c>
      <c r="S281" s="27">
        <v>3.76</v>
      </c>
      <c r="T281" s="27">
        <v>3.72</v>
      </c>
      <c r="U281" s="27">
        <v>3.69</v>
      </c>
      <c r="V281" s="27">
        <v>3.65</v>
      </c>
      <c r="W281">
        <v>3.61</v>
      </c>
      <c r="X281">
        <v>3.57</v>
      </c>
      <c r="Y281">
        <v>3.54</v>
      </c>
      <c r="Z281">
        <v>3.5</v>
      </c>
      <c r="AA281">
        <v>2.52</v>
      </c>
    </row>
    <row r="282" spans="1:27">
      <c r="A282" t="s">
        <v>1044</v>
      </c>
      <c r="B282">
        <v>820554</v>
      </c>
      <c r="C282" s="27">
        <v>0</v>
      </c>
      <c r="D282" s="27">
        <v>0</v>
      </c>
      <c r="E282" s="27">
        <v>0</v>
      </c>
      <c r="F282" s="27">
        <v>0</v>
      </c>
      <c r="G282" s="27">
        <v>0</v>
      </c>
      <c r="H282" s="27">
        <v>0</v>
      </c>
      <c r="I282" s="27">
        <v>0</v>
      </c>
      <c r="J282" s="27">
        <v>0</v>
      </c>
      <c r="K282" s="27">
        <v>4.0599999999999996</v>
      </c>
      <c r="L282" s="27">
        <v>4.0199999999999996</v>
      </c>
      <c r="M282" s="27">
        <v>3.85</v>
      </c>
      <c r="N282" s="44">
        <v>3.95</v>
      </c>
      <c r="O282" s="27">
        <v>3.85</v>
      </c>
      <c r="P282" s="27">
        <v>3.65</v>
      </c>
      <c r="Q282" s="27">
        <v>3.65</v>
      </c>
      <c r="R282" s="27">
        <v>3.65</v>
      </c>
      <c r="S282" s="27">
        <v>3.65</v>
      </c>
      <c r="T282" s="27">
        <v>3.45</v>
      </c>
      <c r="U282" s="27">
        <v>3.45</v>
      </c>
      <c r="V282" s="27">
        <v>3.45</v>
      </c>
      <c r="W282">
        <v>3.3</v>
      </c>
      <c r="X282">
        <v>3.3</v>
      </c>
      <c r="Y282">
        <v>3.15</v>
      </c>
      <c r="Z282">
        <v>3.15</v>
      </c>
      <c r="AA282">
        <v>2.4</v>
      </c>
    </row>
    <row r="283" spans="1:27">
      <c r="A283" t="s">
        <v>1031</v>
      </c>
      <c r="B283">
        <v>820555</v>
      </c>
      <c r="C283" s="27">
        <v>3</v>
      </c>
      <c r="D283" s="27">
        <v>3</v>
      </c>
      <c r="E283" s="27">
        <v>3</v>
      </c>
      <c r="F283" s="27">
        <v>3</v>
      </c>
      <c r="G283" s="27">
        <v>3</v>
      </c>
      <c r="H283" s="27">
        <v>3</v>
      </c>
      <c r="I283" s="27">
        <v>3</v>
      </c>
      <c r="J283" s="27">
        <v>3</v>
      </c>
      <c r="K283" s="27">
        <v>3</v>
      </c>
      <c r="L283" s="27">
        <v>3</v>
      </c>
      <c r="M283" s="27">
        <v>3</v>
      </c>
      <c r="N283" s="44">
        <v>3</v>
      </c>
      <c r="O283" s="27">
        <v>3</v>
      </c>
      <c r="P283" s="27">
        <v>3</v>
      </c>
      <c r="Q283" s="27">
        <v>3</v>
      </c>
      <c r="R283" s="27">
        <v>3</v>
      </c>
      <c r="S283" s="27">
        <v>3</v>
      </c>
      <c r="T283" s="27">
        <v>3</v>
      </c>
      <c r="U283" s="27">
        <v>3</v>
      </c>
      <c r="V283" s="27">
        <v>3</v>
      </c>
      <c r="W283">
        <v>3</v>
      </c>
      <c r="X283">
        <v>3</v>
      </c>
      <c r="Y283">
        <v>3</v>
      </c>
      <c r="Z283">
        <v>3</v>
      </c>
      <c r="AA283">
        <v>3</v>
      </c>
    </row>
    <row r="284" spans="1:27">
      <c r="A284" t="s">
        <v>1045</v>
      </c>
      <c r="B284">
        <v>820563</v>
      </c>
      <c r="C284" s="27">
        <v>0.2</v>
      </c>
      <c r="D284" s="27">
        <v>0.2</v>
      </c>
      <c r="E284" s="27">
        <v>0.2</v>
      </c>
      <c r="F284" s="27">
        <v>0.2</v>
      </c>
      <c r="G284" s="27">
        <v>0.2</v>
      </c>
      <c r="H284" s="27">
        <v>0.2</v>
      </c>
      <c r="I284" s="27">
        <v>0.2</v>
      </c>
      <c r="J284" s="27">
        <v>0.2</v>
      </c>
      <c r="K284" s="27">
        <v>0.2</v>
      </c>
      <c r="L284" s="27">
        <v>0.2</v>
      </c>
      <c r="M284" s="27">
        <v>0.2</v>
      </c>
      <c r="N284" s="44">
        <v>0.2</v>
      </c>
      <c r="O284" s="27">
        <v>0.2</v>
      </c>
      <c r="P284" s="27">
        <v>0.2</v>
      </c>
      <c r="Q284" s="27">
        <v>0.2</v>
      </c>
      <c r="R284" s="27">
        <v>0.2</v>
      </c>
      <c r="S284" s="27">
        <v>0.2</v>
      </c>
      <c r="T284" s="27">
        <v>0.2</v>
      </c>
      <c r="U284" s="27">
        <v>0.2</v>
      </c>
      <c r="V284" s="27">
        <v>0.2</v>
      </c>
      <c r="W284">
        <v>0.2</v>
      </c>
      <c r="X284">
        <v>0.2</v>
      </c>
      <c r="Y284">
        <v>0.2</v>
      </c>
      <c r="Z284">
        <v>0.2</v>
      </c>
      <c r="AA284">
        <v>0.2</v>
      </c>
    </row>
    <row r="285" spans="1:27">
      <c r="A285" t="s">
        <v>1046</v>
      </c>
      <c r="B285">
        <v>820564</v>
      </c>
      <c r="C285" s="27">
        <v>0.2</v>
      </c>
      <c r="D285" s="27">
        <v>0.2</v>
      </c>
      <c r="E285" s="27">
        <v>0.2</v>
      </c>
      <c r="F285" s="27">
        <v>0.2</v>
      </c>
      <c r="G285" s="27">
        <v>0.2</v>
      </c>
      <c r="H285" s="27">
        <v>0.2</v>
      </c>
      <c r="I285" s="27">
        <v>0.2</v>
      </c>
      <c r="J285" s="27">
        <v>0.2</v>
      </c>
      <c r="K285" s="27">
        <v>0.2</v>
      </c>
      <c r="L285" s="27">
        <v>0.2</v>
      </c>
      <c r="M285" s="27">
        <v>0.2</v>
      </c>
      <c r="N285" s="44">
        <v>0.2</v>
      </c>
      <c r="O285" s="27">
        <v>0.2</v>
      </c>
      <c r="P285" s="27">
        <v>0.2</v>
      </c>
      <c r="Q285" s="27">
        <v>0.2</v>
      </c>
      <c r="R285" s="27">
        <v>0.2</v>
      </c>
      <c r="S285" s="27">
        <v>0.2</v>
      </c>
      <c r="T285" s="27">
        <v>0.2</v>
      </c>
      <c r="U285" s="27">
        <v>0.2</v>
      </c>
      <c r="V285" s="27">
        <v>0.2</v>
      </c>
      <c r="W285">
        <v>0.2</v>
      </c>
      <c r="X285">
        <v>0.2</v>
      </c>
      <c r="Y285">
        <v>0.2</v>
      </c>
      <c r="Z285">
        <v>0.2</v>
      </c>
      <c r="AA285">
        <v>0.2</v>
      </c>
    </row>
    <row r="286" spans="1:27">
      <c r="A286" t="s">
        <v>1047</v>
      </c>
      <c r="B286">
        <v>820560</v>
      </c>
      <c r="C286" s="27">
        <v>0.2</v>
      </c>
      <c r="D286" s="27">
        <v>0.2</v>
      </c>
      <c r="E286" s="27">
        <v>0.2</v>
      </c>
      <c r="F286" s="27">
        <v>0.2</v>
      </c>
      <c r="G286" s="27">
        <v>0.2</v>
      </c>
      <c r="H286" s="27">
        <v>0.2</v>
      </c>
      <c r="I286" s="27">
        <v>0.2</v>
      </c>
      <c r="J286" s="27">
        <v>0.2</v>
      </c>
      <c r="K286" s="27">
        <v>0.2</v>
      </c>
      <c r="L286" s="27">
        <v>0.2</v>
      </c>
      <c r="M286" s="27">
        <v>0.2</v>
      </c>
      <c r="N286" s="44">
        <v>0.2</v>
      </c>
      <c r="O286" s="27">
        <v>0.2</v>
      </c>
      <c r="P286" s="27">
        <v>0.2</v>
      </c>
      <c r="Q286" s="27">
        <v>0.2</v>
      </c>
      <c r="R286" s="27">
        <v>0.2</v>
      </c>
      <c r="S286" s="27">
        <v>0.2</v>
      </c>
      <c r="T286" s="27">
        <v>0.2</v>
      </c>
      <c r="U286" s="27">
        <v>0.2</v>
      </c>
      <c r="V286" s="27">
        <v>0.2</v>
      </c>
      <c r="W286">
        <v>0.2</v>
      </c>
      <c r="X286">
        <v>0.2</v>
      </c>
      <c r="Y286">
        <v>0.2</v>
      </c>
      <c r="Z286">
        <v>0.2</v>
      </c>
      <c r="AA286">
        <v>0.2</v>
      </c>
    </row>
    <row r="287" spans="1:27">
      <c r="A287" t="s">
        <v>1032</v>
      </c>
      <c r="B287">
        <v>820565</v>
      </c>
      <c r="C287" s="27">
        <v>2.71</v>
      </c>
      <c r="D287" s="27">
        <v>2.71</v>
      </c>
      <c r="E287" s="27">
        <v>2.71</v>
      </c>
      <c r="F287" s="27">
        <v>2.71</v>
      </c>
      <c r="G287" s="27">
        <v>2.71</v>
      </c>
      <c r="H287" s="27">
        <v>2.71</v>
      </c>
      <c r="I287" s="27">
        <v>2.71</v>
      </c>
      <c r="J287" s="27">
        <v>2.71</v>
      </c>
      <c r="K287" s="27">
        <v>2.54</v>
      </c>
      <c r="L287" s="27">
        <v>1.51</v>
      </c>
      <c r="M287" s="27">
        <v>1.54</v>
      </c>
      <c r="N287" s="44">
        <v>1.57</v>
      </c>
      <c r="O287" s="27">
        <v>1.62</v>
      </c>
      <c r="P287" s="27">
        <v>1.63</v>
      </c>
      <c r="Q287" s="27">
        <v>1.64</v>
      </c>
      <c r="R287" s="27">
        <v>1.65</v>
      </c>
      <c r="S287" s="27">
        <v>1.66</v>
      </c>
      <c r="T287" s="27">
        <v>1.67</v>
      </c>
      <c r="U287" s="27">
        <v>1.69</v>
      </c>
      <c r="V287" s="27">
        <v>1.71</v>
      </c>
      <c r="W287">
        <v>1.73</v>
      </c>
      <c r="X287">
        <v>1.74</v>
      </c>
      <c r="Y287">
        <v>1.76</v>
      </c>
      <c r="Z287">
        <v>1.78</v>
      </c>
      <c r="AA287">
        <v>2.0499999999999998</v>
      </c>
    </row>
    <row r="288" spans="1:27">
      <c r="A288" t="s">
        <v>1048</v>
      </c>
      <c r="B288">
        <v>820566</v>
      </c>
      <c r="C288" s="27">
        <v>3.5</v>
      </c>
      <c r="D288" s="27">
        <v>3.5</v>
      </c>
      <c r="E288" s="27">
        <v>3.5</v>
      </c>
      <c r="F288" s="27">
        <v>3.5</v>
      </c>
      <c r="G288" s="27">
        <v>3.5</v>
      </c>
      <c r="H288" s="27">
        <v>3.5</v>
      </c>
      <c r="I288" s="27">
        <v>3.5</v>
      </c>
      <c r="J288" s="27">
        <v>3.5</v>
      </c>
      <c r="K288" s="27">
        <v>3.5</v>
      </c>
      <c r="L288" s="27">
        <v>3.5</v>
      </c>
      <c r="M288" s="27">
        <v>3.5</v>
      </c>
      <c r="N288" s="44">
        <v>3.5</v>
      </c>
      <c r="O288" s="27">
        <v>3.5</v>
      </c>
      <c r="P288" s="27">
        <v>3.5</v>
      </c>
      <c r="Q288" s="27">
        <v>3.5</v>
      </c>
      <c r="R288" s="27">
        <v>3.5</v>
      </c>
      <c r="S288" s="27">
        <v>3.5</v>
      </c>
      <c r="T288" s="27">
        <v>3.5</v>
      </c>
      <c r="U288" s="27">
        <v>3.5</v>
      </c>
      <c r="V288" s="27">
        <v>3.5</v>
      </c>
      <c r="W288">
        <v>3.5</v>
      </c>
      <c r="X288">
        <v>3.5</v>
      </c>
      <c r="Y288">
        <v>3.5</v>
      </c>
      <c r="Z288">
        <v>3.5</v>
      </c>
      <c r="AA288">
        <v>3.5</v>
      </c>
    </row>
    <row r="289" spans="1:27">
      <c r="A289" t="s">
        <v>1033</v>
      </c>
      <c r="B289">
        <v>820568</v>
      </c>
      <c r="C289" s="27">
        <v>2.4700000000000002</v>
      </c>
      <c r="D289" s="27">
        <v>2.4700000000000002</v>
      </c>
      <c r="E289" s="27">
        <v>2.4700000000000002</v>
      </c>
      <c r="F289" s="27">
        <v>2.4700000000000002</v>
      </c>
      <c r="G289" s="27">
        <v>2.4700000000000002</v>
      </c>
      <c r="H289" s="27">
        <v>2.4700000000000002</v>
      </c>
      <c r="I289" s="27">
        <v>2.4700000000000002</v>
      </c>
      <c r="J289" s="27">
        <v>2.4700000000000002</v>
      </c>
      <c r="K289" s="27">
        <v>2.31</v>
      </c>
      <c r="L289" s="27">
        <v>0.51</v>
      </c>
      <c r="M289" s="27">
        <v>0.54</v>
      </c>
      <c r="N289" s="44">
        <v>0.56999999999999995</v>
      </c>
      <c r="O289" s="27">
        <v>0.64</v>
      </c>
      <c r="P289" s="27">
        <v>0.66</v>
      </c>
      <c r="Q289" s="27">
        <v>0.67</v>
      </c>
      <c r="R289" s="27">
        <v>0.68</v>
      </c>
      <c r="S289" s="27">
        <v>0.7</v>
      </c>
      <c r="T289" s="27">
        <v>0.71</v>
      </c>
      <c r="U289" s="27">
        <v>0.74</v>
      </c>
      <c r="V289" s="27">
        <v>0.76</v>
      </c>
      <c r="W289">
        <v>0.78</v>
      </c>
      <c r="X289">
        <v>0.8</v>
      </c>
      <c r="Y289">
        <v>0.83</v>
      </c>
      <c r="Z289">
        <v>0.85</v>
      </c>
      <c r="AA289">
        <v>1.35</v>
      </c>
    </row>
    <row r="290" spans="1:27">
      <c r="A290" t="s">
        <v>1034</v>
      </c>
      <c r="B290">
        <v>820571</v>
      </c>
      <c r="C290" s="27">
        <v>2.4700000000000002</v>
      </c>
      <c r="D290" s="27">
        <v>2.4700000000000002</v>
      </c>
      <c r="E290" s="27">
        <v>2.4700000000000002</v>
      </c>
      <c r="F290" s="27">
        <v>2.4700000000000002</v>
      </c>
      <c r="G290" s="27">
        <v>2.4700000000000002</v>
      </c>
      <c r="H290" s="27">
        <v>2.4700000000000002</v>
      </c>
      <c r="I290" s="27">
        <v>2.4700000000000002</v>
      </c>
      <c r="J290" s="27">
        <v>2.4700000000000002</v>
      </c>
      <c r="K290" s="27">
        <v>2.33</v>
      </c>
      <c r="L290" s="27">
        <v>0.64</v>
      </c>
      <c r="M290" s="27">
        <v>0.67</v>
      </c>
      <c r="N290" s="44">
        <v>0.7</v>
      </c>
      <c r="O290" s="27">
        <v>0.77</v>
      </c>
      <c r="P290" s="27">
        <v>0.79</v>
      </c>
      <c r="Q290" s="27">
        <v>0.8</v>
      </c>
      <c r="R290" s="27">
        <v>0.81</v>
      </c>
      <c r="S290" s="27">
        <v>0.83</v>
      </c>
      <c r="T290" s="27">
        <v>0.84</v>
      </c>
      <c r="U290" s="27">
        <v>0.87</v>
      </c>
      <c r="V290" s="27">
        <v>0.89</v>
      </c>
      <c r="W290">
        <v>0.91</v>
      </c>
      <c r="X290">
        <v>0.93</v>
      </c>
      <c r="Y290">
        <v>0.96</v>
      </c>
      <c r="Z290">
        <v>0.98</v>
      </c>
      <c r="AA290">
        <v>1.44</v>
      </c>
    </row>
    <row r="291" spans="1:27">
      <c r="A291" t="s">
        <v>1035</v>
      </c>
      <c r="B291">
        <v>820574</v>
      </c>
      <c r="C291" s="27">
        <v>2.4700000000000002</v>
      </c>
      <c r="D291" s="27">
        <v>2.4700000000000002</v>
      </c>
      <c r="E291" s="27">
        <v>2.4700000000000002</v>
      </c>
      <c r="F291" s="27">
        <v>2.4700000000000002</v>
      </c>
      <c r="G291" s="27">
        <v>2.4700000000000002</v>
      </c>
      <c r="H291" s="27">
        <v>2.4700000000000002</v>
      </c>
      <c r="I291" s="27">
        <v>2.4700000000000002</v>
      </c>
      <c r="J291" s="27">
        <v>2.4700000000000002</v>
      </c>
      <c r="K291" s="27">
        <v>2.4500000000000002</v>
      </c>
      <c r="L291" s="27">
        <v>0.48</v>
      </c>
      <c r="M291" s="27">
        <v>0.5</v>
      </c>
      <c r="N291" s="44">
        <v>0.53</v>
      </c>
      <c r="O291" s="27">
        <v>0.57999999999999996</v>
      </c>
      <c r="P291" s="27">
        <v>0.59</v>
      </c>
      <c r="Q291" s="27">
        <v>0.59</v>
      </c>
      <c r="R291" s="27">
        <v>0.6</v>
      </c>
      <c r="S291" s="27">
        <v>0.61</v>
      </c>
      <c r="T291" s="27">
        <v>0.62</v>
      </c>
      <c r="U291" s="27">
        <v>0.64</v>
      </c>
      <c r="V291" s="27">
        <v>0.66</v>
      </c>
      <c r="W291">
        <v>0.67</v>
      </c>
      <c r="X291">
        <v>0.69</v>
      </c>
      <c r="Y291">
        <v>0.7</v>
      </c>
      <c r="Z291">
        <v>0.72</v>
      </c>
      <c r="AA291">
        <v>1.31</v>
      </c>
    </row>
    <row r="292" spans="1:27">
      <c r="A292" t="s">
        <v>1031</v>
      </c>
      <c r="B292">
        <v>820577</v>
      </c>
      <c r="C292" s="27">
        <v>0.15</v>
      </c>
      <c r="D292" s="27">
        <v>0.15</v>
      </c>
      <c r="E292" s="27">
        <v>0.15</v>
      </c>
      <c r="F292" s="27">
        <v>0.15</v>
      </c>
      <c r="G292" s="27">
        <v>0.15</v>
      </c>
      <c r="H292" s="27">
        <v>0.15</v>
      </c>
      <c r="I292" s="27">
        <v>0.15</v>
      </c>
      <c r="J292" s="27">
        <v>0.15</v>
      </c>
      <c r="K292" s="27">
        <v>3</v>
      </c>
      <c r="L292" s="27">
        <v>3</v>
      </c>
      <c r="M292" s="27">
        <v>3</v>
      </c>
      <c r="N292" s="44">
        <v>3</v>
      </c>
      <c r="O292" s="27">
        <v>3</v>
      </c>
      <c r="P292" s="27">
        <v>3</v>
      </c>
      <c r="Q292" s="27">
        <v>3</v>
      </c>
      <c r="R292" s="27">
        <v>3</v>
      </c>
      <c r="S292" s="27">
        <v>3</v>
      </c>
      <c r="T292" s="27">
        <v>3</v>
      </c>
      <c r="U292" s="27">
        <v>3</v>
      </c>
      <c r="V292" s="27">
        <v>3</v>
      </c>
      <c r="W292">
        <v>3</v>
      </c>
      <c r="X292">
        <v>3</v>
      </c>
      <c r="Y292">
        <v>3</v>
      </c>
      <c r="Z292">
        <v>3</v>
      </c>
      <c r="AA292">
        <v>2.0499999999999998</v>
      </c>
    </row>
    <row r="293" spans="1:27">
      <c r="A293" t="s">
        <v>1032</v>
      </c>
      <c r="B293">
        <v>820580</v>
      </c>
      <c r="C293" s="27">
        <v>0.2</v>
      </c>
      <c r="D293" s="27">
        <v>0.2</v>
      </c>
      <c r="E293" s="27">
        <v>0.2</v>
      </c>
      <c r="F293" s="27">
        <v>0.2</v>
      </c>
      <c r="G293" s="27">
        <v>0.2</v>
      </c>
      <c r="H293" s="27">
        <v>0.2</v>
      </c>
      <c r="I293" s="27">
        <v>0.2</v>
      </c>
      <c r="J293" s="27">
        <v>0.2</v>
      </c>
      <c r="K293" s="27">
        <v>2.54</v>
      </c>
      <c r="L293" s="27">
        <v>2.52</v>
      </c>
      <c r="M293" s="27">
        <v>2.5099999999999998</v>
      </c>
      <c r="N293" s="44">
        <v>2.4900000000000002</v>
      </c>
      <c r="O293" s="27">
        <v>2.4700000000000002</v>
      </c>
      <c r="P293" s="27">
        <v>2.4500000000000002</v>
      </c>
      <c r="Q293" s="27">
        <v>2.44</v>
      </c>
      <c r="R293" s="27">
        <v>2.42</v>
      </c>
      <c r="S293" s="27">
        <v>2.4</v>
      </c>
      <c r="T293" s="27">
        <v>2.38</v>
      </c>
      <c r="U293" s="27">
        <v>2.37</v>
      </c>
      <c r="V293" s="27">
        <v>2.35</v>
      </c>
      <c r="W293">
        <v>2.33</v>
      </c>
      <c r="X293">
        <v>2.31</v>
      </c>
      <c r="Y293">
        <v>2.2999999999999998</v>
      </c>
      <c r="Z293">
        <v>2.2799999999999998</v>
      </c>
      <c r="AA293">
        <v>1.67</v>
      </c>
    </row>
    <row r="294" spans="1:27">
      <c r="A294" t="s">
        <v>1033</v>
      </c>
      <c r="B294">
        <v>820583</v>
      </c>
      <c r="C294" s="27">
        <v>0.2</v>
      </c>
      <c r="D294" s="27">
        <v>0.2</v>
      </c>
      <c r="E294" s="27">
        <v>0.2</v>
      </c>
      <c r="F294" s="27">
        <v>0.2</v>
      </c>
      <c r="G294" s="27">
        <v>0.2</v>
      </c>
      <c r="H294" s="27">
        <v>0.2</v>
      </c>
      <c r="I294" s="27">
        <v>0.2</v>
      </c>
      <c r="J294" s="27">
        <v>0.2</v>
      </c>
      <c r="K294" s="27">
        <v>2.31</v>
      </c>
      <c r="L294" s="27">
        <v>2.31</v>
      </c>
      <c r="M294" s="27">
        <v>2.31</v>
      </c>
      <c r="N294" s="44">
        <v>2.31</v>
      </c>
      <c r="O294" s="27">
        <v>2.31</v>
      </c>
      <c r="P294" s="27">
        <v>2.31</v>
      </c>
      <c r="Q294" s="27">
        <v>2.31</v>
      </c>
      <c r="R294" s="27">
        <v>2.31</v>
      </c>
      <c r="S294" s="27">
        <v>2.31</v>
      </c>
      <c r="T294" s="27">
        <v>2.31</v>
      </c>
      <c r="U294" s="27">
        <v>2.31</v>
      </c>
      <c r="V294" s="27">
        <v>2.31</v>
      </c>
      <c r="W294">
        <v>2.31</v>
      </c>
      <c r="X294">
        <v>2.31</v>
      </c>
      <c r="Y294">
        <v>2.31</v>
      </c>
      <c r="Z294">
        <v>2.31</v>
      </c>
      <c r="AA294">
        <v>1.61</v>
      </c>
    </row>
    <row r="295" spans="1:27">
      <c r="A295" t="s">
        <v>1034</v>
      </c>
      <c r="B295">
        <v>820586</v>
      </c>
      <c r="C295" s="27">
        <v>0.3</v>
      </c>
      <c r="D295" s="27">
        <v>0.3</v>
      </c>
      <c r="E295" s="27">
        <v>0.3</v>
      </c>
      <c r="F295" s="27">
        <v>0.3</v>
      </c>
      <c r="G295" s="27">
        <v>0.3</v>
      </c>
      <c r="H295" s="27">
        <v>0.3</v>
      </c>
      <c r="I295" s="27">
        <v>0.3</v>
      </c>
      <c r="J295" s="27">
        <v>0.3</v>
      </c>
      <c r="K295" s="27">
        <v>2.33</v>
      </c>
      <c r="L295" s="27">
        <v>2.33</v>
      </c>
      <c r="M295" s="27">
        <v>2.33</v>
      </c>
      <c r="N295" s="44">
        <v>2.33</v>
      </c>
      <c r="O295" s="27">
        <v>2.33</v>
      </c>
      <c r="P295" s="27">
        <v>2.33</v>
      </c>
      <c r="Q295" s="27">
        <v>2.33</v>
      </c>
      <c r="R295" s="27">
        <v>2.33</v>
      </c>
      <c r="S295" s="27">
        <v>2.33</v>
      </c>
      <c r="T295" s="27">
        <v>2.33</v>
      </c>
      <c r="U295" s="27">
        <v>2.33</v>
      </c>
      <c r="V295" s="27">
        <v>2.33</v>
      </c>
      <c r="W295">
        <v>2.33</v>
      </c>
      <c r="X295">
        <v>2.33</v>
      </c>
      <c r="Y295">
        <v>2.33</v>
      </c>
      <c r="Z295">
        <v>2.33</v>
      </c>
      <c r="AA295">
        <v>1.65</v>
      </c>
    </row>
    <row r="296" spans="1:27">
      <c r="A296" t="s">
        <v>1035</v>
      </c>
      <c r="B296">
        <v>820589</v>
      </c>
      <c r="C296" s="27">
        <v>0.3</v>
      </c>
      <c r="D296" s="27">
        <v>0.3</v>
      </c>
      <c r="E296" s="27">
        <v>0.3</v>
      </c>
      <c r="F296" s="27">
        <v>0.3</v>
      </c>
      <c r="G296" s="27">
        <v>0.3</v>
      </c>
      <c r="H296" s="27">
        <v>0.3</v>
      </c>
      <c r="I296" s="27">
        <v>0.3</v>
      </c>
      <c r="J296" s="27">
        <v>0.3</v>
      </c>
      <c r="K296" s="27">
        <v>2.4500000000000002</v>
      </c>
      <c r="L296" s="27">
        <v>2.4500000000000002</v>
      </c>
      <c r="M296" s="27">
        <v>2.4500000000000002</v>
      </c>
      <c r="N296" s="44">
        <v>2.4500000000000002</v>
      </c>
      <c r="O296" s="27">
        <v>2.4500000000000002</v>
      </c>
      <c r="P296" s="27">
        <v>2.4500000000000002</v>
      </c>
      <c r="Q296" s="27">
        <v>2.4500000000000002</v>
      </c>
      <c r="R296" s="27">
        <v>2.4500000000000002</v>
      </c>
      <c r="S296" s="27">
        <v>2.4500000000000002</v>
      </c>
      <c r="T296" s="27">
        <v>2.4500000000000002</v>
      </c>
      <c r="U296" s="27">
        <v>2.4500000000000002</v>
      </c>
      <c r="V296" s="27">
        <v>2.4500000000000002</v>
      </c>
      <c r="W296">
        <v>2.4500000000000002</v>
      </c>
      <c r="X296">
        <v>2.4500000000000002</v>
      </c>
      <c r="Y296">
        <v>2.4500000000000002</v>
      </c>
      <c r="Z296">
        <v>2.4500000000000002</v>
      </c>
      <c r="AA296">
        <v>1.73</v>
      </c>
    </row>
    <row r="297" spans="1:27">
      <c r="A297" t="s">
        <v>1026</v>
      </c>
      <c r="B297">
        <v>820592</v>
      </c>
      <c r="C297" s="27">
        <v>2.96</v>
      </c>
      <c r="D297" s="27">
        <v>2.96</v>
      </c>
      <c r="E297" s="27">
        <v>2.96</v>
      </c>
      <c r="F297" s="27">
        <v>2.96</v>
      </c>
      <c r="G297" s="27">
        <v>2.96</v>
      </c>
      <c r="H297" s="27">
        <v>2.96</v>
      </c>
      <c r="I297" s="27">
        <v>2.96</v>
      </c>
      <c r="J297" s="27">
        <v>2.96</v>
      </c>
      <c r="K297" s="27">
        <v>3.31</v>
      </c>
      <c r="L297" s="27">
        <v>3.31</v>
      </c>
      <c r="M297" s="27">
        <v>3.31</v>
      </c>
      <c r="N297" s="44">
        <v>3.31</v>
      </c>
      <c r="O297" s="27">
        <v>3.05</v>
      </c>
      <c r="P297" s="27">
        <v>3.05</v>
      </c>
      <c r="Q297" s="27">
        <v>3</v>
      </c>
      <c r="R297" s="27">
        <v>3</v>
      </c>
      <c r="S297" s="27">
        <v>2.95</v>
      </c>
      <c r="T297" s="27">
        <v>2.95</v>
      </c>
      <c r="U297" s="27">
        <v>2.9</v>
      </c>
      <c r="V297" s="27">
        <v>2.9</v>
      </c>
      <c r="W297">
        <v>2.9</v>
      </c>
      <c r="X297">
        <v>2.9</v>
      </c>
      <c r="Y297">
        <v>2.9</v>
      </c>
      <c r="Z297">
        <v>2.9</v>
      </c>
      <c r="AA297">
        <v>3.01</v>
      </c>
    </row>
    <row r="298" spans="1:27">
      <c r="A298" t="s">
        <v>1027</v>
      </c>
      <c r="B298">
        <v>820595</v>
      </c>
      <c r="C298" s="27">
        <v>0.2</v>
      </c>
      <c r="D298" s="27">
        <v>0.2</v>
      </c>
      <c r="E298" s="27">
        <v>0.2</v>
      </c>
      <c r="F298" s="27">
        <v>0.2</v>
      </c>
      <c r="G298" s="27">
        <v>0.2</v>
      </c>
      <c r="H298" s="27">
        <v>0.2</v>
      </c>
      <c r="I298" s="27">
        <v>0.2</v>
      </c>
      <c r="J298" s="27">
        <v>0.2</v>
      </c>
      <c r="K298" s="27">
        <v>3</v>
      </c>
      <c r="L298" s="27">
        <v>3</v>
      </c>
      <c r="M298" s="27">
        <v>3</v>
      </c>
      <c r="N298" s="44">
        <v>3</v>
      </c>
      <c r="O298" s="27">
        <v>3</v>
      </c>
      <c r="P298" s="27">
        <v>3</v>
      </c>
      <c r="Q298" s="27">
        <v>3</v>
      </c>
      <c r="R298" s="27">
        <v>3</v>
      </c>
      <c r="S298" s="27">
        <v>3</v>
      </c>
      <c r="T298" s="27">
        <v>3</v>
      </c>
      <c r="U298" s="27">
        <v>3</v>
      </c>
      <c r="V298" s="27">
        <v>3</v>
      </c>
      <c r="W298">
        <v>3</v>
      </c>
      <c r="X298">
        <v>3</v>
      </c>
      <c r="Y298">
        <v>3</v>
      </c>
      <c r="Z298">
        <v>3</v>
      </c>
      <c r="AA298">
        <v>2.0699999999999998</v>
      </c>
    </row>
    <row r="299" spans="1:27">
      <c r="A299" t="s">
        <v>12</v>
      </c>
      <c r="B299" t="s">
        <v>12</v>
      </c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44"/>
      <c r="O299" s="27"/>
      <c r="P299" s="27"/>
      <c r="Q299" s="27"/>
      <c r="R299" s="27"/>
      <c r="S299" s="27"/>
      <c r="T299" s="27"/>
      <c r="U299" s="27"/>
      <c r="V299" s="27"/>
    </row>
    <row r="300" spans="1:27"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44"/>
      <c r="O300" s="27"/>
      <c r="P300" s="27"/>
      <c r="Q300" s="27"/>
      <c r="R300" s="27"/>
      <c r="S300" s="27"/>
      <c r="T300" s="27"/>
      <c r="U300" s="27"/>
      <c r="V300" s="27"/>
    </row>
    <row r="301" spans="1:27">
      <c r="A301" t="s">
        <v>1049</v>
      </c>
      <c r="C301" s="27">
        <v>2.79</v>
      </c>
      <c r="D301" s="27">
        <v>3.14</v>
      </c>
      <c r="E301" s="27">
        <v>3.39</v>
      </c>
      <c r="F301" s="27">
        <v>3.38</v>
      </c>
      <c r="G301" s="27">
        <v>3.28</v>
      </c>
      <c r="H301" s="27">
        <v>3.2</v>
      </c>
      <c r="I301" s="27">
        <v>2.97</v>
      </c>
      <c r="J301" s="27">
        <v>2.54</v>
      </c>
      <c r="K301" s="27">
        <v>3.37</v>
      </c>
      <c r="L301" s="27">
        <v>3.27</v>
      </c>
      <c r="M301" s="27">
        <v>3.23</v>
      </c>
      <c r="N301" s="44">
        <v>3.27</v>
      </c>
      <c r="O301" s="27">
        <v>3.1</v>
      </c>
      <c r="P301" s="27">
        <v>3.09</v>
      </c>
      <c r="Q301" s="27">
        <v>3.07</v>
      </c>
      <c r="R301" s="27">
        <v>3.07</v>
      </c>
      <c r="S301" s="27">
        <v>3.03</v>
      </c>
      <c r="T301" s="27">
        <v>3.03</v>
      </c>
      <c r="U301" s="27">
        <v>3</v>
      </c>
      <c r="V301" s="27">
        <v>3</v>
      </c>
      <c r="W301">
        <v>3</v>
      </c>
      <c r="X301">
        <v>3</v>
      </c>
      <c r="Y301">
        <v>3</v>
      </c>
      <c r="Z301">
        <v>3</v>
      </c>
      <c r="AA301">
        <v>3.09</v>
      </c>
    </row>
    <row r="302" spans="1:27"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44"/>
      <c r="O302" s="27"/>
      <c r="P302" s="27"/>
      <c r="Q302" s="27"/>
      <c r="R302" s="27"/>
      <c r="S302" s="27"/>
      <c r="T302" s="27"/>
      <c r="U302" s="27"/>
      <c r="V302" s="27"/>
    </row>
    <row r="303" spans="1:27">
      <c r="A303" t="s">
        <v>1050</v>
      </c>
      <c r="B303">
        <v>820602</v>
      </c>
      <c r="C303" s="27">
        <v>3</v>
      </c>
      <c r="D303" s="27">
        <v>3</v>
      </c>
      <c r="E303" s="27">
        <v>3</v>
      </c>
      <c r="F303" s="27">
        <v>3</v>
      </c>
      <c r="G303" s="27">
        <v>3</v>
      </c>
      <c r="H303" s="27">
        <v>3</v>
      </c>
      <c r="I303" s="27">
        <v>3</v>
      </c>
      <c r="J303" s="27">
        <v>3</v>
      </c>
      <c r="K303" s="27">
        <v>2.25</v>
      </c>
      <c r="L303" s="27">
        <v>2.02</v>
      </c>
      <c r="M303" s="27">
        <v>1.97</v>
      </c>
      <c r="N303" s="44">
        <v>1.91</v>
      </c>
      <c r="O303" s="27">
        <v>1.8</v>
      </c>
      <c r="P303" s="27">
        <v>1.78</v>
      </c>
      <c r="Q303" s="27">
        <v>1.76</v>
      </c>
      <c r="R303" s="27">
        <v>1.73</v>
      </c>
      <c r="S303" s="27">
        <v>1.71</v>
      </c>
      <c r="T303" s="27">
        <v>1.69</v>
      </c>
      <c r="U303" s="27">
        <v>1.65</v>
      </c>
      <c r="V303" s="27">
        <v>1.61</v>
      </c>
      <c r="W303" s="27">
        <v>1.58</v>
      </c>
      <c r="X303" s="27">
        <v>1.54</v>
      </c>
      <c r="Y303" s="27">
        <v>1.51</v>
      </c>
      <c r="Z303" s="27">
        <v>1.47</v>
      </c>
      <c r="AA303">
        <v>2.17</v>
      </c>
    </row>
    <row r="304" spans="1:27">
      <c r="A304" t="s">
        <v>1051</v>
      </c>
      <c r="B304">
        <v>820605</v>
      </c>
      <c r="C304" s="27">
        <v>3.99</v>
      </c>
      <c r="D304" s="27">
        <v>3.99</v>
      </c>
      <c r="E304" s="27">
        <v>3.99</v>
      </c>
      <c r="F304" s="27">
        <v>3.99</v>
      </c>
      <c r="G304" s="27">
        <v>3.99</v>
      </c>
      <c r="H304" s="27">
        <v>3.99</v>
      </c>
      <c r="I304" s="27">
        <v>3.99</v>
      </c>
      <c r="J304" s="27">
        <v>3.99</v>
      </c>
      <c r="K304" s="27">
        <v>3.31</v>
      </c>
      <c r="L304" s="27">
        <v>3.31</v>
      </c>
      <c r="M304" s="27">
        <v>3.31</v>
      </c>
      <c r="N304" s="44">
        <v>3.31</v>
      </c>
      <c r="O304" s="27">
        <v>3.25</v>
      </c>
      <c r="P304" s="27">
        <v>3.25</v>
      </c>
      <c r="Q304" s="27">
        <v>3.25</v>
      </c>
      <c r="R304" s="27">
        <v>3.25</v>
      </c>
      <c r="S304" s="27">
        <v>3.25</v>
      </c>
      <c r="T304" s="27">
        <v>3.25</v>
      </c>
      <c r="U304" s="27">
        <v>3</v>
      </c>
      <c r="V304" s="27">
        <v>3</v>
      </c>
      <c r="W304" s="27">
        <v>3</v>
      </c>
      <c r="X304" s="27">
        <v>3</v>
      </c>
      <c r="Y304" s="27">
        <v>3</v>
      </c>
      <c r="Z304" s="27">
        <v>3</v>
      </c>
      <c r="AA304">
        <v>3.44</v>
      </c>
    </row>
    <row r="305" spans="1:27">
      <c r="A305" t="s">
        <v>1052</v>
      </c>
      <c r="B305">
        <v>820606</v>
      </c>
      <c r="C305" s="27">
        <v>0</v>
      </c>
      <c r="D305" s="27">
        <v>0</v>
      </c>
      <c r="E305" s="27">
        <v>0</v>
      </c>
      <c r="F305" s="27">
        <v>0</v>
      </c>
      <c r="G305" s="27">
        <v>0</v>
      </c>
      <c r="H305" s="27">
        <v>0</v>
      </c>
      <c r="I305" s="27">
        <v>0</v>
      </c>
      <c r="J305" s="27">
        <v>0</v>
      </c>
      <c r="K305" s="27">
        <v>3.31</v>
      </c>
      <c r="L305" s="27">
        <v>2.85</v>
      </c>
      <c r="M305" s="27">
        <v>2.82</v>
      </c>
      <c r="N305" s="44">
        <v>2.8</v>
      </c>
      <c r="O305" s="27">
        <v>2.75</v>
      </c>
      <c r="P305" s="27">
        <v>2.74</v>
      </c>
      <c r="Q305" s="27">
        <v>2.73</v>
      </c>
      <c r="R305" s="27">
        <v>2.72</v>
      </c>
      <c r="S305" s="27">
        <v>2.71</v>
      </c>
      <c r="T305" s="27">
        <v>2.7</v>
      </c>
      <c r="U305" s="27">
        <v>2.69</v>
      </c>
      <c r="V305" s="27">
        <v>2.67</v>
      </c>
      <c r="W305" s="27">
        <v>2.65</v>
      </c>
      <c r="X305" s="27">
        <v>2.64</v>
      </c>
      <c r="Y305" s="27">
        <v>2.62</v>
      </c>
      <c r="Z305" s="27">
        <v>2.61</v>
      </c>
      <c r="AA305">
        <v>1.83</v>
      </c>
    </row>
    <row r="306" spans="1:27">
      <c r="A306" t="s">
        <v>1053</v>
      </c>
      <c r="B306">
        <v>820607</v>
      </c>
      <c r="C306" s="27">
        <v>4.17</v>
      </c>
      <c r="D306" s="27">
        <v>4.17</v>
      </c>
      <c r="E306" s="27">
        <v>4.17</v>
      </c>
      <c r="F306" s="27">
        <v>4.17</v>
      </c>
      <c r="G306" s="27">
        <v>4.17</v>
      </c>
      <c r="H306" s="27">
        <v>4.17</v>
      </c>
      <c r="I306" s="27">
        <v>4.17</v>
      </c>
      <c r="J306" s="27">
        <v>4.17</v>
      </c>
      <c r="K306" s="27">
        <v>0.15</v>
      </c>
      <c r="L306" s="27">
        <v>0.15</v>
      </c>
      <c r="M306" s="27">
        <v>0.15</v>
      </c>
      <c r="N306" s="44">
        <v>0.15</v>
      </c>
      <c r="O306" s="27">
        <v>0.15</v>
      </c>
      <c r="P306" s="27">
        <v>0.15</v>
      </c>
      <c r="Q306" s="27">
        <v>0.15</v>
      </c>
      <c r="R306" s="27">
        <v>0.15</v>
      </c>
      <c r="S306" s="27">
        <v>0.15</v>
      </c>
      <c r="T306" s="27">
        <v>0.15</v>
      </c>
      <c r="U306" s="27">
        <v>0.15</v>
      </c>
      <c r="V306" s="27">
        <v>0.15</v>
      </c>
      <c r="W306" s="27">
        <v>0.15</v>
      </c>
      <c r="X306" s="27">
        <v>0.15</v>
      </c>
      <c r="Y306" s="27">
        <v>0.15</v>
      </c>
      <c r="Z306" s="27">
        <v>0.15</v>
      </c>
      <c r="AA306">
        <v>1.49</v>
      </c>
    </row>
    <row r="307" spans="1:27">
      <c r="A307" t="s">
        <v>1054</v>
      </c>
      <c r="B307">
        <v>820609</v>
      </c>
      <c r="C307" s="27">
        <v>0</v>
      </c>
      <c r="D307" s="27">
        <v>0</v>
      </c>
      <c r="E307" s="27">
        <v>0</v>
      </c>
      <c r="F307" s="27">
        <v>0</v>
      </c>
      <c r="G307" s="27">
        <v>0</v>
      </c>
      <c r="H307" s="27">
        <v>0</v>
      </c>
      <c r="I307" s="27">
        <v>0</v>
      </c>
      <c r="J307" s="27">
        <v>0</v>
      </c>
      <c r="K307" s="27">
        <v>4.0599999999999996</v>
      </c>
      <c r="L307" s="27">
        <v>2.84</v>
      </c>
      <c r="M307" s="27">
        <v>2.84</v>
      </c>
      <c r="N307" s="44">
        <v>2.85</v>
      </c>
      <c r="O307" s="27">
        <v>2.87</v>
      </c>
      <c r="P307" s="27">
        <v>2.87</v>
      </c>
      <c r="Q307" s="27">
        <v>2.87</v>
      </c>
      <c r="R307" s="27">
        <v>2.87</v>
      </c>
      <c r="S307" s="27">
        <v>2.88</v>
      </c>
      <c r="T307" s="27">
        <v>2.88</v>
      </c>
      <c r="U307" s="27">
        <v>2.89</v>
      </c>
      <c r="V307" s="27">
        <v>2.89</v>
      </c>
      <c r="W307" s="27">
        <v>2.9</v>
      </c>
      <c r="X307" s="27">
        <v>2.9</v>
      </c>
      <c r="Y307" s="27">
        <v>2.91</v>
      </c>
      <c r="Z307" s="27">
        <v>2.91</v>
      </c>
      <c r="AA307">
        <v>1.97</v>
      </c>
    </row>
    <row r="308" spans="1:27">
      <c r="A308" t="s">
        <v>1055</v>
      </c>
      <c r="B308">
        <v>820610</v>
      </c>
      <c r="C308" s="27">
        <v>2.96</v>
      </c>
      <c r="D308" s="27">
        <v>2.96</v>
      </c>
      <c r="E308" s="27">
        <v>2.96</v>
      </c>
      <c r="F308" s="27">
        <v>2.96</v>
      </c>
      <c r="G308" s="27">
        <v>2.96</v>
      </c>
      <c r="H308" s="27">
        <v>2.96</v>
      </c>
      <c r="I308" s="27">
        <v>2.96</v>
      </c>
      <c r="J308" s="27">
        <v>2.96</v>
      </c>
      <c r="K308" s="27">
        <v>2.5</v>
      </c>
      <c r="L308" s="27">
        <v>2.84</v>
      </c>
      <c r="M308" s="27">
        <v>2.84</v>
      </c>
      <c r="N308" s="44">
        <v>2.85</v>
      </c>
      <c r="O308" s="27">
        <v>2.87</v>
      </c>
      <c r="P308" s="27">
        <v>2.87</v>
      </c>
      <c r="Q308" s="27">
        <v>2.87</v>
      </c>
      <c r="R308" s="27">
        <v>2.87</v>
      </c>
      <c r="S308" s="27">
        <v>2.88</v>
      </c>
      <c r="T308" s="27">
        <v>2.88</v>
      </c>
      <c r="U308" s="27">
        <v>2.89</v>
      </c>
      <c r="V308" s="27">
        <v>2.89</v>
      </c>
      <c r="W308" s="27">
        <v>2.9</v>
      </c>
      <c r="X308" s="27">
        <v>2.9</v>
      </c>
      <c r="Y308" s="27">
        <v>2.91</v>
      </c>
      <c r="Z308" s="27">
        <v>2.91</v>
      </c>
      <c r="AA308">
        <v>2.89</v>
      </c>
    </row>
    <row r="309" spans="1:27">
      <c r="A309" t="s">
        <v>1056</v>
      </c>
      <c r="B309">
        <v>820611</v>
      </c>
      <c r="C309" s="27">
        <v>0.2</v>
      </c>
      <c r="D309" s="27">
        <v>0.2</v>
      </c>
      <c r="E309" s="27">
        <v>0.2</v>
      </c>
      <c r="F309" s="27">
        <v>0.2</v>
      </c>
      <c r="G309" s="27">
        <v>0.2</v>
      </c>
      <c r="H309" s="27">
        <v>0.2</v>
      </c>
      <c r="I309" s="27">
        <v>0.2</v>
      </c>
      <c r="J309" s="27">
        <v>0.2</v>
      </c>
      <c r="K309" s="27">
        <v>0.2</v>
      </c>
      <c r="L309" s="27">
        <v>0.2</v>
      </c>
      <c r="M309" s="27">
        <v>0.2</v>
      </c>
      <c r="N309" s="44">
        <v>0.2</v>
      </c>
      <c r="O309" s="27">
        <v>0.2</v>
      </c>
      <c r="P309" s="27">
        <v>0.2</v>
      </c>
      <c r="Q309" s="27">
        <v>0.2</v>
      </c>
      <c r="R309" s="27">
        <v>0.2</v>
      </c>
      <c r="S309" s="27">
        <v>0.2</v>
      </c>
      <c r="T309" s="27">
        <v>0.2</v>
      </c>
      <c r="U309" s="27">
        <v>0.2</v>
      </c>
      <c r="V309" s="27">
        <v>0.2</v>
      </c>
      <c r="W309" s="27">
        <v>0.2</v>
      </c>
      <c r="X309" s="27">
        <v>0.2</v>
      </c>
      <c r="Y309" s="27">
        <v>0.2</v>
      </c>
      <c r="Z309" s="27">
        <v>0.2</v>
      </c>
      <c r="AA309">
        <v>0.2</v>
      </c>
    </row>
    <row r="310" spans="1:27">
      <c r="A310" t="s">
        <v>1057</v>
      </c>
      <c r="B310">
        <v>820613</v>
      </c>
      <c r="C310" s="27">
        <v>0.2</v>
      </c>
      <c r="D310" s="27">
        <v>0.2</v>
      </c>
      <c r="E310" s="27">
        <v>0.2</v>
      </c>
      <c r="F310" s="27">
        <v>0.2</v>
      </c>
      <c r="G310" s="27">
        <v>0.2</v>
      </c>
      <c r="H310" s="27">
        <v>0.2</v>
      </c>
      <c r="I310" s="27">
        <v>0.2</v>
      </c>
      <c r="J310" s="27">
        <v>0.2</v>
      </c>
      <c r="K310" s="27">
        <v>0.2</v>
      </c>
      <c r="L310" s="27">
        <v>0.2</v>
      </c>
      <c r="M310" s="27">
        <v>0.2</v>
      </c>
      <c r="N310" s="44">
        <v>0.2</v>
      </c>
      <c r="O310" s="27">
        <v>0.2</v>
      </c>
      <c r="P310" s="27">
        <v>0.2</v>
      </c>
      <c r="Q310" s="27">
        <v>0.2</v>
      </c>
      <c r="R310" s="27">
        <v>0.2</v>
      </c>
      <c r="S310" s="27">
        <v>0.2</v>
      </c>
      <c r="T310" s="27">
        <v>0.2</v>
      </c>
      <c r="U310" s="27">
        <v>0.2</v>
      </c>
      <c r="V310" s="27">
        <v>0.2</v>
      </c>
      <c r="W310" s="27">
        <v>0.2</v>
      </c>
      <c r="X310" s="27">
        <v>0.2</v>
      </c>
      <c r="Y310" s="27">
        <v>0.2</v>
      </c>
      <c r="Z310" s="27">
        <v>0.2</v>
      </c>
      <c r="AA310">
        <v>0.2</v>
      </c>
    </row>
    <row r="311" spans="1:27">
      <c r="A311" t="s">
        <v>1058</v>
      </c>
      <c r="B311">
        <v>820615</v>
      </c>
      <c r="C311" s="27">
        <v>0.2</v>
      </c>
      <c r="D311" s="27">
        <v>0.2</v>
      </c>
      <c r="E311" s="27">
        <v>0.2</v>
      </c>
      <c r="F311" s="27">
        <v>0.2</v>
      </c>
      <c r="G311" s="27">
        <v>0.2</v>
      </c>
      <c r="H311" s="27">
        <v>0.2</v>
      </c>
      <c r="I311" s="27">
        <v>0.2</v>
      </c>
      <c r="J311" s="27">
        <v>0.2</v>
      </c>
      <c r="K311" s="27">
        <v>0.2</v>
      </c>
      <c r="L311" s="27">
        <v>0.2</v>
      </c>
      <c r="M311" s="27">
        <v>0.2</v>
      </c>
      <c r="N311" s="44">
        <v>0.2</v>
      </c>
      <c r="O311" s="27">
        <v>0.2</v>
      </c>
      <c r="P311" s="27">
        <v>0.2</v>
      </c>
      <c r="Q311" s="27">
        <v>0.2</v>
      </c>
      <c r="R311" s="27">
        <v>0.2</v>
      </c>
      <c r="S311" s="27">
        <v>0.2</v>
      </c>
      <c r="T311" s="27">
        <v>0.2</v>
      </c>
      <c r="U311" s="27">
        <v>0.2</v>
      </c>
      <c r="V311" s="27">
        <v>0.2</v>
      </c>
      <c r="W311" s="27">
        <v>0.2</v>
      </c>
      <c r="X311" s="27">
        <v>0.2</v>
      </c>
      <c r="Y311" s="27">
        <v>0.2</v>
      </c>
      <c r="Z311" s="27">
        <v>0.2</v>
      </c>
      <c r="AA311">
        <v>0.2</v>
      </c>
    </row>
    <row r="312" spans="1:27">
      <c r="A312" t="s">
        <v>1059</v>
      </c>
      <c r="B312">
        <v>820616</v>
      </c>
      <c r="C312" s="27">
        <v>2.2200000000000002</v>
      </c>
      <c r="D312" s="27">
        <v>2.2200000000000002</v>
      </c>
      <c r="E312" s="27">
        <v>2.2200000000000002</v>
      </c>
      <c r="F312" s="27">
        <v>2.2200000000000002</v>
      </c>
      <c r="G312" s="27">
        <v>2.2200000000000002</v>
      </c>
      <c r="H312" s="27">
        <v>2.2200000000000002</v>
      </c>
      <c r="I312" s="27">
        <v>2.2200000000000002</v>
      </c>
      <c r="J312" s="27">
        <v>2.2200000000000002</v>
      </c>
      <c r="K312" s="27">
        <v>2.2200000000000002</v>
      </c>
      <c r="L312" s="27">
        <v>2.2200000000000002</v>
      </c>
      <c r="M312" s="27">
        <v>2.2200000000000002</v>
      </c>
      <c r="N312" s="44">
        <v>2.2200000000000002</v>
      </c>
      <c r="O312" s="27">
        <v>2.2200000000000002</v>
      </c>
      <c r="P312" s="27">
        <v>2.2200000000000002</v>
      </c>
      <c r="Q312" s="27">
        <v>2.2200000000000002</v>
      </c>
      <c r="R312" s="27">
        <v>2.2200000000000002</v>
      </c>
      <c r="S312" s="27">
        <v>2.2200000000000002</v>
      </c>
      <c r="T312" s="27">
        <v>2.2200000000000002</v>
      </c>
      <c r="U312" s="27">
        <v>2.2200000000000002</v>
      </c>
      <c r="V312" s="27">
        <v>2.2200000000000002</v>
      </c>
      <c r="W312" s="27">
        <v>2.2200000000000002</v>
      </c>
      <c r="X312" s="27">
        <v>2.2200000000000002</v>
      </c>
      <c r="Y312" s="27">
        <v>2.2200000000000002</v>
      </c>
      <c r="Z312" s="27">
        <v>2.2200000000000002</v>
      </c>
      <c r="AA312">
        <v>2.2200000000000002</v>
      </c>
    </row>
    <row r="313" spans="1:27">
      <c r="A313" t="s">
        <v>1060</v>
      </c>
      <c r="B313">
        <v>820619</v>
      </c>
      <c r="C313" s="27">
        <v>0</v>
      </c>
      <c r="D313" s="27">
        <v>0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2.54</v>
      </c>
      <c r="L313" s="27">
        <v>1.51</v>
      </c>
      <c r="M313" s="27">
        <v>1.54</v>
      </c>
      <c r="N313" s="44">
        <v>1.57</v>
      </c>
      <c r="O313" s="27">
        <v>1.62</v>
      </c>
      <c r="P313" s="27">
        <v>1.63</v>
      </c>
      <c r="Q313" s="27">
        <v>1.64</v>
      </c>
      <c r="R313" s="27">
        <v>1.65</v>
      </c>
      <c r="S313" s="27">
        <v>1.66</v>
      </c>
      <c r="T313" s="27">
        <v>1.67</v>
      </c>
      <c r="U313" s="27">
        <v>1.69</v>
      </c>
      <c r="V313" s="27">
        <v>1.71</v>
      </c>
      <c r="W313" s="27">
        <v>1.73</v>
      </c>
      <c r="X313" s="27">
        <v>1.74</v>
      </c>
      <c r="Y313" s="27">
        <v>1.76</v>
      </c>
      <c r="Z313" s="27">
        <v>1.78</v>
      </c>
      <c r="AA313">
        <v>1.1399999999999999</v>
      </c>
    </row>
    <row r="314" spans="1:27">
      <c r="A314" t="s">
        <v>1047</v>
      </c>
      <c r="B314">
        <v>820620</v>
      </c>
      <c r="C314" s="27">
        <v>2.96</v>
      </c>
      <c r="D314" s="27">
        <v>2.96</v>
      </c>
      <c r="E314" s="27">
        <v>2.96</v>
      </c>
      <c r="F314" s="27">
        <v>2.96</v>
      </c>
      <c r="G314" s="27">
        <v>2.96</v>
      </c>
      <c r="H314" s="27">
        <v>2.96</v>
      </c>
      <c r="I314" s="27">
        <v>2.96</v>
      </c>
      <c r="J314" s="27">
        <v>2.96</v>
      </c>
      <c r="K314" s="27">
        <v>2.54</v>
      </c>
      <c r="L314" s="27">
        <v>1.51</v>
      </c>
      <c r="M314" s="27">
        <v>1.54</v>
      </c>
      <c r="N314" s="44">
        <v>1.57</v>
      </c>
      <c r="O314" s="27">
        <v>1.62</v>
      </c>
      <c r="P314" s="27">
        <v>1.63</v>
      </c>
      <c r="Q314" s="27">
        <v>1.64</v>
      </c>
      <c r="R314" s="27">
        <v>1.65</v>
      </c>
      <c r="S314" s="27">
        <v>1.66</v>
      </c>
      <c r="T314" s="27">
        <v>1.67</v>
      </c>
      <c r="U314" s="27">
        <v>1.69</v>
      </c>
      <c r="V314" s="27">
        <v>1.71</v>
      </c>
      <c r="W314" s="27">
        <v>1.73</v>
      </c>
      <c r="X314" s="27">
        <v>1.74</v>
      </c>
      <c r="Y314" s="27">
        <v>1.76</v>
      </c>
      <c r="Z314" s="27">
        <v>1.78</v>
      </c>
      <c r="AA314">
        <v>2.13</v>
      </c>
    </row>
    <row r="315" spans="1:27">
      <c r="A315" t="s">
        <v>1061</v>
      </c>
      <c r="B315">
        <v>820625</v>
      </c>
      <c r="C315" s="27">
        <v>2.71</v>
      </c>
      <c r="D315" s="27">
        <v>2.71</v>
      </c>
      <c r="E315" s="27">
        <v>2.71</v>
      </c>
      <c r="F315" s="27">
        <v>2.71</v>
      </c>
      <c r="G315" s="27">
        <v>2.71</v>
      </c>
      <c r="H315" s="27">
        <v>2.71</v>
      </c>
      <c r="I315" s="27">
        <v>2.71</v>
      </c>
      <c r="J315" s="27">
        <v>2.71</v>
      </c>
      <c r="K315" s="27">
        <v>2.54</v>
      </c>
      <c r="L315" s="27">
        <v>1.51</v>
      </c>
      <c r="M315" s="27">
        <v>1.54</v>
      </c>
      <c r="N315" s="44">
        <v>1.57</v>
      </c>
      <c r="O315" s="27">
        <v>1.62</v>
      </c>
      <c r="P315" s="27">
        <v>1.63</v>
      </c>
      <c r="Q315" s="27">
        <v>1.64</v>
      </c>
      <c r="R315" s="27">
        <v>1.65</v>
      </c>
      <c r="S315" s="27">
        <v>1.66</v>
      </c>
      <c r="T315" s="27">
        <v>1.67</v>
      </c>
      <c r="U315" s="27">
        <v>1.69</v>
      </c>
      <c r="V315" s="27">
        <v>1.71</v>
      </c>
      <c r="W315" s="27">
        <v>1.73</v>
      </c>
      <c r="X315" s="27">
        <v>1.74</v>
      </c>
      <c r="Y315" s="27">
        <v>1.76</v>
      </c>
      <c r="Z315" s="27">
        <v>1.78</v>
      </c>
      <c r="AA315">
        <v>2.0499999999999998</v>
      </c>
    </row>
    <row r="316" spans="1:27">
      <c r="A316" t="s">
        <v>1062</v>
      </c>
      <c r="B316">
        <v>820626</v>
      </c>
      <c r="C316" s="27">
        <v>3.5</v>
      </c>
      <c r="D316" s="27">
        <v>3.5</v>
      </c>
      <c r="E316" s="27">
        <v>3.5</v>
      </c>
      <c r="F316" s="27">
        <v>3.5</v>
      </c>
      <c r="G316" s="27">
        <v>3.5</v>
      </c>
      <c r="H316" s="27">
        <v>3.5</v>
      </c>
      <c r="I316" s="27">
        <v>3.5</v>
      </c>
      <c r="J316" s="27">
        <v>3.5</v>
      </c>
      <c r="K316" s="27">
        <v>2.54</v>
      </c>
      <c r="L316" s="27">
        <v>1.51</v>
      </c>
      <c r="M316" s="27">
        <v>1.54</v>
      </c>
      <c r="N316" s="44">
        <v>1.57</v>
      </c>
      <c r="O316" s="27">
        <v>1.62</v>
      </c>
      <c r="P316" s="27">
        <v>1.63</v>
      </c>
      <c r="Q316" s="27">
        <v>1.64</v>
      </c>
      <c r="R316" s="27">
        <v>1.65</v>
      </c>
      <c r="S316" s="27">
        <v>1.66</v>
      </c>
      <c r="T316" s="27">
        <v>1.67</v>
      </c>
      <c r="U316" s="27">
        <v>1.69</v>
      </c>
      <c r="V316" s="27">
        <v>1.71</v>
      </c>
      <c r="W316" s="27">
        <v>1.73</v>
      </c>
      <c r="X316" s="27">
        <v>1.74</v>
      </c>
      <c r="Y316" s="27">
        <v>1.76</v>
      </c>
      <c r="Z316" s="27">
        <v>1.78</v>
      </c>
      <c r="AA316">
        <v>2.31</v>
      </c>
    </row>
    <row r="317" spans="1:27">
      <c r="A317" t="s">
        <v>1063</v>
      </c>
      <c r="B317">
        <v>820630</v>
      </c>
      <c r="C317" s="27">
        <v>2.4700000000000002</v>
      </c>
      <c r="D317" s="27">
        <v>2.4700000000000002</v>
      </c>
      <c r="E317" s="27">
        <v>2.4700000000000002</v>
      </c>
      <c r="F317" s="27">
        <v>2.4700000000000002</v>
      </c>
      <c r="G317" s="27">
        <v>2.4700000000000002</v>
      </c>
      <c r="H317" s="27">
        <v>2.4700000000000002</v>
      </c>
      <c r="I317" s="27">
        <v>2.4700000000000002</v>
      </c>
      <c r="J317" s="27">
        <v>2.4700000000000002</v>
      </c>
      <c r="K317" s="27">
        <v>2.31</v>
      </c>
      <c r="L317" s="27">
        <v>0.51</v>
      </c>
      <c r="M317" s="27">
        <v>0.54</v>
      </c>
      <c r="N317" s="44">
        <v>0.56999999999999995</v>
      </c>
      <c r="O317" s="27">
        <v>0.64</v>
      </c>
      <c r="P317" s="27">
        <v>0.66</v>
      </c>
      <c r="Q317" s="27">
        <v>0.67</v>
      </c>
      <c r="R317" s="27">
        <v>0.68</v>
      </c>
      <c r="S317" s="27">
        <v>0.7</v>
      </c>
      <c r="T317" s="27">
        <v>0.71</v>
      </c>
      <c r="U317" s="27">
        <v>0.74</v>
      </c>
      <c r="V317" s="27">
        <v>0.76</v>
      </c>
      <c r="W317" s="27">
        <v>0.78</v>
      </c>
      <c r="X317" s="27">
        <v>0.8</v>
      </c>
      <c r="Y317" s="27">
        <v>0.83</v>
      </c>
      <c r="Z317" s="27">
        <v>0.85</v>
      </c>
      <c r="AA317">
        <v>1.35</v>
      </c>
    </row>
    <row r="318" spans="1:27">
      <c r="A318" t="s">
        <v>1064</v>
      </c>
      <c r="B318">
        <v>820634</v>
      </c>
      <c r="C318" s="27">
        <v>0.3</v>
      </c>
      <c r="D318" s="27">
        <v>0.3</v>
      </c>
      <c r="E318" s="27">
        <v>0.3</v>
      </c>
      <c r="F318" s="27">
        <v>0.3</v>
      </c>
      <c r="G318" s="27">
        <v>0.3</v>
      </c>
      <c r="H318" s="27">
        <v>0.3</v>
      </c>
      <c r="I318" s="27">
        <v>0.3</v>
      </c>
      <c r="J318" s="27">
        <v>0.3</v>
      </c>
      <c r="K318" s="27">
        <v>0.3</v>
      </c>
      <c r="L318" s="27">
        <v>0.3</v>
      </c>
      <c r="M318" s="27">
        <v>0.3</v>
      </c>
      <c r="N318" s="44">
        <v>0.3</v>
      </c>
      <c r="O318" s="27">
        <v>0.3</v>
      </c>
      <c r="P318" s="27">
        <v>0.3</v>
      </c>
      <c r="Q318" s="27">
        <v>0.3</v>
      </c>
      <c r="R318" s="27">
        <v>0.3</v>
      </c>
      <c r="S318" s="27">
        <v>0.3</v>
      </c>
      <c r="T318" s="27">
        <v>0.3</v>
      </c>
      <c r="U318" s="27">
        <v>0.3</v>
      </c>
      <c r="V318" s="27">
        <v>0.3</v>
      </c>
      <c r="W318" s="27">
        <v>0.3</v>
      </c>
      <c r="X318" s="27">
        <v>0.3</v>
      </c>
      <c r="Y318" s="27">
        <v>0.3</v>
      </c>
      <c r="Z318" s="27">
        <v>0.3</v>
      </c>
      <c r="AA318">
        <v>0.3</v>
      </c>
    </row>
    <row r="319" spans="1:27">
      <c r="A319" t="s">
        <v>1065</v>
      </c>
      <c r="B319">
        <v>820635</v>
      </c>
      <c r="C319" s="27">
        <v>2.4700000000000002</v>
      </c>
      <c r="D319" s="27">
        <v>2.4700000000000002</v>
      </c>
      <c r="E319" s="27">
        <v>2.4700000000000002</v>
      </c>
      <c r="F319" s="27">
        <v>2.4700000000000002</v>
      </c>
      <c r="G319" s="27">
        <v>2.4700000000000002</v>
      </c>
      <c r="H319" s="27">
        <v>2.4700000000000002</v>
      </c>
      <c r="I319" s="27">
        <v>2.4700000000000002</v>
      </c>
      <c r="J319" s="27">
        <v>2.4700000000000002</v>
      </c>
      <c r="K319" s="27">
        <v>2.33</v>
      </c>
      <c r="L319" s="27">
        <v>0.64</v>
      </c>
      <c r="M319" s="27">
        <v>0.67</v>
      </c>
      <c r="N319" s="44">
        <v>0.7</v>
      </c>
      <c r="O319" s="27">
        <v>0.77</v>
      </c>
      <c r="P319" s="27">
        <v>0.79</v>
      </c>
      <c r="Q319" s="27">
        <v>0.8</v>
      </c>
      <c r="R319" s="27">
        <v>0.81</v>
      </c>
      <c r="S319" s="27">
        <v>0.83</v>
      </c>
      <c r="T319" s="27">
        <v>0.84</v>
      </c>
      <c r="U319" s="27">
        <v>0.87</v>
      </c>
      <c r="V319" s="27">
        <v>0.89</v>
      </c>
      <c r="W319" s="27">
        <v>0.91</v>
      </c>
      <c r="X319" s="27">
        <v>0.93</v>
      </c>
      <c r="Y319" s="27">
        <v>0.96</v>
      </c>
      <c r="Z319" s="27">
        <v>0.98</v>
      </c>
      <c r="AA319">
        <v>1.44</v>
      </c>
    </row>
    <row r="320" spans="1:27">
      <c r="A320" t="s">
        <v>1066</v>
      </c>
      <c r="B320">
        <v>820640</v>
      </c>
      <c r="C320" s="27">
        <v>2.4700000000000002</v>
      </c>
      <c r="D320" s="27">
        <v>2.4700000000000002</v>
      </c>
      <c r="E320" s="27">
        <v>2.4700000000000002</v>
      </c>
      <c r="F320" s="27">
        <v>2.4700000000000002</v>
      </c>
      <c r="G320" s="27">
        <v>2.4700000000000002</v>
      </c>
      <c r="H320" s="27">
        <v>2.4700000000000002</v>
      </c>
      <c r="I320" s="27">
        <v>2.4700000000000002</v>
      </c>
      <c r="J320" s="27">
        <v>2.4700000000000002</v>
      </c>
      <c r="K320" s="27">
        <v>2.4500000000000002</v>
      </c>
      <c r="L320" s="27">
        <v>0.48</v>
      </c>
      <c r="M320" s="27">
        <v>0.5</v>
      </c>
      <c r="N320" s="44">
        <v>0.53</v>
      </c>
      <c r="O320" s="27">
        <v>0.57999999999999996</v>
      </c>
      <c r="P320" s="27">
        <v>0.59</v>
      </c>
      <c r="Q320" s="27">
        <v>0.59</v>
      </c>
      <c r="R320" s="27">
        <v>0.6</v>
      </c>
      <c r="S320" s="27">
        <v>0.61</v>
      </c>
      <c r="T320" s="27">
        <v>0.62</v>
      </c>
      <c r="U320" s="27">
        <v>0.64</v>
      </c>
      <c r="V320" s="27">
        <v>0.66</v>
      </c>
      <c r="W320" s="27">
        <v>0.67</v>
      </c>
      <c r="X320" s="27">
        <v>0.69</v>
      </c>
      <c r="Y320" s="27">
        <v>0.7</v>
      </c>
      <c r="Z320" s="27">
        <v>0.72</v>
      </c>
      <c r="AA320">
        <v>1.31</v>
      </c>
    </row>
    <row r="321" spans="1:27">
      <c r="A321" t="s">
        <v>1031</v>
      </c>
      <c r="B321">
        <v>820645</v>
      </c>
      <c r="C321" s="27">
        <v>2.96</v>
      </c>
      <c r="D321" s="27">
        <v>2.96</v>
      </c>
      <c r="E321" s="27">
        <v>2.96</v>
      </c>
      <c r="F321" s="27">
        <v>2.96</v>
      </c>
      <c r="G321" s="27">
        <v>2.96</v>
      </c>
      <c r="H321" s="27">
        <v>2.96</v>
      </c>
      <c r="I321" s="27">
        <v>2.96</v>
      </c>
      <c r="J321" s="27">
        <v>2.96</v>
      </c>
      <c r="K321" s="27">
        <v>2.5</v>
      </c>
      <c r="L321" s="27">
        <v>2.84</v>
      </c>
      <c r="M321" s="27">
        <v>2.84</v>
      </c>
      <c r="N321" s="44">
        <v>2.85</v>
      </c>
      <c r="O321" s="27">
        <v>2.87</v>
      </c>
      <c r="P321" s="27">
        <v>2.87</v>
      </c>
      <c r="Q321" s="27">
        <v>2.87</v>
      </c>
      <c r="R321" s="27">
        <v>2.87</v>
      </c>
      <c r="S321" s="27">
        <v>2.88</v>
      </c>
      <c r="T321" s="27">
        <v>2.88</v>
      </c>
      <c r="U321" s="27">
        <v>2.89</v>
      </c>
      <c r="V321" s="27">
        <v>2.89</v>
      </c>
      <c r="W321" s="27">
        <v>2.9</v>
      </c>
      <c r="X321" s="27">
        <v>2.9</v>
      </c>
      <c r="Y321" s="27">
        <v>2.91</v>
      </c>
      <c r="Z321" s="27">
        <v>2.91</v>
      </c>
      <c r="AA321">
        <v>2.89</v>
      </c>
    </row>
    <row r="322" spans="1:27">
      <c r="A322" t="s">
        <v>1032</v>
      </c>
      <c r="B322">
        <v>820650</v>
      </c>
      <c r="C322" s="27">
        <v>2.71</v>
      </c>
      <c r="D322" s="27">
        <v>2.71</v>
      </c>
      <c r="E322" s="27">
        <v>2.71</v>
      </c>
      <c r="F322" s="27">
        <v>2.71</v>
      </c>
      <c r="G322" s="27">
        <v>2.71</v>
      </c>
      <c r="H322" s="27">
        <v>2.71</v>
      </c>
      <c r="I322" s="27">
        <v>2.71</v>
      </c>
      <c r="J322" s="27">
        <v>2.71</v>
      </c>
      <c r="K322" s="27">
        <v>2.54</v>
      </c>
      <c r="L322" s="27">
        <v>1.51</v>
      </c>
      <c r="M322" s="27">
        <v>1.54</v>
      </c>
      <c r="N322" s="44">
        <v>1.57</v>
      </c>
      <c r="O322" s="27">
        <v>1.62</v>
      </c>
      <c r="P322" s="27">
        <v>1.63</v>
      </c>
      <c r="Q322" s="27">
        <v>1.64</v>
      </c>
      <c r="R322" s="27">
        <v>1.65</v>
      </c>
      <c r="S322" s="27">
        <v>1.66</v>
      </c>
      <c r="T322" s="27">
        <v>1.67</v>
      </c>
      <c r="U322" s="27">
        <v>1.69</v>
      </c>
      <c r="V322" s="27">
        <v>1.71</v>
      </c>
      <c r="W322" s="27">
        <v>1.73</v>
      </c>
      <c r="X322" s="27">
        <v>1.74</v>
      </c>
      <c r="Y322" s="27">
        <v>1.76</v>
      </c>
      <c r="Z322" s="27">
        <v>1.78</v>
      </c>
      <c r="AA322">
        <v>2.0499999999999998</v>
      </c>
    </row>
    <row r="323" spans="1:27">
      <c r="A323" t="s">
        <v>1033</v>
      </c>
      <c r="B323">
        <v>820655</v>
      </c>
      <c r="C323" s="27">
        <v>2.4700000000000002</v>
      </c>
      <c r="D323" s="27">
        <v>2.4700000000000002</v>
      </c>
      <c r="E323" s="27">
        <v>2.4700000000000002</v>
      </c>
      <c r="F323" s="27">
        <v>2.4700000000000002</v>
      </c>
      <c r="G323" s="27">
        <v>2.4700000000000002</v>
      </c>
      <c r="H323" s="27">
        <v>2.4700000000000002</v>
      </c>
      <c r="I323" s="27">
        <v>2.4700000000000002</v>
      </c>
      <c r="J323" s="27">
        <v>2.4700000000000002</v>
      </c>
      <c r="K323" s="27">
        <v>2.31</v>
      </c>
      <c r="L323" s="27">
        <v>0.51</v>
      </c>
      <c r="M323" s="27">
        <v>0.54</v>
      </c>
      <c r="N323" s="44">
        <v>0.56999999999999995</v>
      </c>
      <c r="O323" s="27">
        <v>0.64</v>
      </c>
      <c r="P323" s="27">
        <v>0.66</v>
      </c>
      <c r="Q323" s="27">
        <v>0.67</v>
      </c>
      <c r="R323" s="27">
        <v>0.68</v>
      </c>
      <c r="S323" s="27">
        <v>0.7</v>
      </c>
      <c r="T323" s="27">
        <v>0.71</v>
      </c>
      <c r="U323" s="27">
        <v>0.74</v>
      </c>
      <c r="V323" s="27">
        <v>0.76</v>
      </c>
      <c r="W323" s="27">
        <v>0.78</v>
      </c>
      <c r="X323" s="27">
        <v>0.8</v>
      </c>
      <c r="Y323" s="27">
        <v>0.83</v>
      </c>
      <c r="Z323" s="27">
        <v>0.85</v>
      </c>
      <c r="AA323">
        <v>1.35</v>
      </c>
    </row>
    <row r="324" spans="1:27">
      <c r="A324" t="s">
        <v>1034</v>
      </c>
      <c r="B324">
        <v>820660</v>
      </c>
      <c r="C324" s="27">
        <v>2.4700000000000002</v>
      </c>
      <c r="D324" s="27">
        <v>2.4700000000000002</v>
      </c>
      <c r="E324" s="27">
        <v>2.4700000000000002</v>
      </c>
      <c r="F324" s="27">
        <v>2.4700000000000002</v>
      </c>
      <c r="G324" s="27">
        <v>2.4700000000000002</v>
      </c>
      <c r="H324" s="27">
        <v>2.4700000000000002</v>
      </c>
      <c r="I324" s="27">
        <v>2.4700000000000002</v>
      </c>
      <c r="J324" s="27">
        <v>2.4700000000000002</v>
      </c>
      <c r="K324" s="27">
        <v>2.33</v>
      </c>
      <c r="L324" s="27">
        <v>0.64</v>
      </c>
      <c r="M324" s="27">
        <v>0.67</v>
      </c>
      <c r="N324" s="44">
        <v>0.7</v>
      </c>
      <c r="O324" s="27">
        <v>0.77</v>
      </c>
      <c r="P324" s="27">
        <v>0.79</v>
      </c>
      <c r="Q324" s="27">
        <v>0.8</v>
      </c>
      <c r="R324" s="27">
        <v>0.81</v>
      </c>
      <c r="S324" s="27">
        <v>0.83</v>
      </c>
      <c r="T324" s="27">
        <v>0.84</v>
      </c>
      <c r="U324" s="27">
        <v>0.87</v>
      </c>
      <c r="V324" s="27">
        <v>0.89</v>
      </c>
      <c r="W324" s="27">
        <v>0.91</v>
      </c>
      <c r="X324" s="27">
        <v>0.93</v>
      </c>
      <c r="Y324" s="27">
        <v>0.96</v>
      </c>
      <c r="Z324" s="27">
        <v>0.98</v>
      </c>
      <c r="AA324">
        <v>1.44</v>
      </c>
    </row>
    <row r="325" spans="1:27">
      <c r="A325" t="s">
        <v>1035</v>
      </c>
      <c r="B325">
        <v>820665</v>
      </c>
      <c r="C325" s="27">
        <v>2.4700000000000002</v>
      </c>
      <c r="D325" s="27">
        <v>2.4700000000000002</v>
      </c>
      <c r="E325" s="27">
        <v>2.4700000000000002</v>
      </c>
      <c r="F325" s="27">
        <v>2.4700000000000002</v>
      </c>
      <c r="G325" s="27">
        <v>2.4700000000000002</v>
      </c>
      <c r="H325" s="27">
        <v>2.4700000000000002</v>
      </c>
      <c r="I325" s="27">
        <v>2.4700000000000002</v>
      </c>
      <c r="J325" s="27">
        <v>2.4700000000000002</v>
      </c>
      <c r="K325" s="27">
        <v>2.4500000000000002</v>
      </c>
      <c r="L325" s="27">
        <v>0.48</v>
      </c>
      <c r="M325" s="27">
        <v>0.5</v>
      </c>
      <c r="N325" s="44">
        <v>0.53</v>
      </c>
      <c r="O325" s="27">
        <v>0.57999999999999996</v>
      </c>
      <c r="P325" s="27">
        <v>0.59</v>
      </c>
      <c r="Q325" s="27">
        <v>0.59</v>
      </c>
      <c r="R325" s="27">
        <v>0.6</v>
      </c>
      <c r="S325" s="27">
        <v>0.61</v>
      </c>
      <c r="T325" s="27">
        <v>0.62</v>
      </c>
      <c r="U325" s="27">
        <v>0.64</v>
      </c>
      <c r="V325" s="27">
        <v>0.66</v>
      </c>
      <c r="W325" s="27">
        <v>0.67</v>
      </c>
      <c r="X325" s="27">
        <v>0.69</v>
      </c>
      <c r="Y325" s="27">
        <v>0.7</v>
      </c>
      <c r="Z325" s="27">
        <v>0.72</v>
      </c>
      <c r="AA325">
        <v>1.31</v>
      </c>
    </row>
    <row r="326" spans="1:27">
      <c r="A326" t="s">
        <v>1036</v>
      </c>
      <c r="B326">
        <v>820670</v>
      </c>
      <c r="C326" s="27">
        <v>2.96</v>
      </c>
      <c r="D326" s="27">
        <v>2.96</v>
      </c>
      <c r="E326" s="27">
        <v>2.96</v>
      </c>
      <c r="F326" s="27">
        <v>2.96</v>
      </c>
      <c r="G326" s="27">
        <v>2.96</v>
      </c>
      <c r="H326" s="27">
        <v>2.96</v>
      </c>
      <c r="I326" s="27">
        <v>2.96</v>
      </c>
      <c r="J326" s="27">
        <v>2.96</v>
      </c>
      <c r="K326" s="27">
        <v>2.5</v>
      </c>
      <c r="L326" s="27">
        <v>2.84</v>
      </c>
      <c r="M326" s="27">
        <v>2.84</v>
      </c>
      <c r="N326" s="44">
        <v>2.85</v>
      </c>
      <c r="O326" s="27">
        <v>2.87</v>
      </c>
      <c r="P326" s="27">
        <v>2.87</v>
      </c>
      <c r="Q326" s="27">
        <v>2.87</v>
      </c>
      <c r="R326" s="27">
        <v>2.87</v>
      </c>
      <c r="S326" s="27">
        <v>2.88</v>
      </c>
      <c r="T326" s="27">
        <v>2.88</v>
      </c>
      <c r="U326" s="27">
        <v>2.89</v>
      </c>
      <c r="V326" s="27">
        <v>2.89</v>
      </c>
      <c r="W326" s="27">
        <v>2.9</v>
      </c>
      <c r="X326" s="27">
        <v>2.9</v>
      </c>
      <c r="Y326" s="27">
        <v>2.91</v>
      </c>
      <c r="Z326" s="27">
        <v>2.91</v>
      </c>
      <c r="AA326">
        <v>2.89</v>
      </c>
    </row>
    <row r="327" spans="1:27">
      <c r="A327" t="s">
        <v>1037</v>
      </c>
      <c r="B327">
        <v>820675</v>
      </c>
      <c r="C327" s="27">
        <v>0.94</v>
      </c>
      <c r="D327" s="27">
        <v>0.94</v>
      </c>
      <c r="E327" s="27">
        <v>0.94</v>
      </c>
      <c r="F327" s="27">
        <v>0.94</v>
      </c>
      <c r="G327" s="27">
        <v>0.94</v>
      </c>
      <c r="H327" s="27">
        <v>0.94</v>
      </c>
      <c r="I327" s="27">
        <v>0.94</v>
      </c>
      <c r="J327" s="27">
        <v>0.94</v>
      </c>
      <c r="K327" s="27">
        <v>2.54</v>
      </c>
      <c r="L327" s="27">
        <v>1.51</v>
      </c>
      <c r="M327" s="27">
        <v>1.54</v>
      </c>
      <c r="N327" s="44">
        <v>1.57</v>
      </c>
      <c r="O327" s="27">
        <v>1.62</v>
      </c>
      <c r="P327" s="27">
        <v>1.63</v>
      </c>
      <c r="Q327" s="27">
        <v>1.64</v>
      </c>
      <c r="R327" s="27">
        <v>1.65</v>
      </c>
      <c r="S327" s="27">
        <v>1.66</v>
      </c>
      <c r="T327" s="27">
        <v>1.67</v>
      </c>
      <c r="U327" s="27">
        <v>1.69</v>
      </c>
      <c r="V327" s="27">
        <v>1.71</v>
      </c>
      <c r="W327" s="27">
        <v>1.73</v>
      </c>
      <c r="X327" s="27">
        <v>1.74</v>
      </c>
      <c r="Y327" s="27">
        <v>1.76</v>
      </c>
      <c r="Z327" s="27">
        <v>1.78</v>
      </c>
      <c r="AA327">
        <v>1.46</v>
      </c>
    </row>
    <row r="328" spans="1:27">
      <c r="A328" t="s">
        <v>1026</v>
      </c>
      <c r="B328">
        <v>820680</v>
      </c>
      <c r="C328" s="27">
        <v>2.96</v>
      </c>
      <c r="D328" s="27">
        <v>2.96</v>
      </c>
      <c r="E328" s="27">
        <v>2.96</v>
      </c>
      <c r="F328" s="27">
        <v>2.96</v>
      </c>
      <c r="G328" s="27">
        <v>2.96</v>
      </c>
      <c r="H328" s="27">
        <v>2.96</v>
      </c>
      <c r="I328" s="27">
        <v>2.96</v>
      </c>
      <c r="J328" s="27">
        <v>2.96</v>
      </c>
      <c r="K328" s="27">
        <v>2.4500000000000002</v>
      </c>
      <c r="L328" s="27">
        <v>0.48</v>
      </c>
      <c r="M328" s="27">
        <v>0.5</v>
      </c>
      <c r="N328" s="44">
        <v>0.53</v>
      </c>
      <c r="O328" s="27">
        <v>0.57999999999999996</v>
      </c>
      <c r="P328" s="27">
        <v>0.59</v>
      </c>
      <c r="Q328" s="27">
        <v>0.59</v>
      </c>
      <c r="R328" s="27">
        <v>0.6</v>
      </c>
      <c r="S328" s="27">
        <v>0.61</v>
      </c>
      <c r="T328" s="27">
        <v>0.62</v>
      </c>
      <c r="U328" s="27">
        <v>0.64</v>
      </c>
      <c r="V328" s="27">
        <v>0.66</v>
      </c>
      <c r="W328" s="27">
        <v>0.67</v>
      </c>
      <c r="X328" s="27">
        <v>0.69</v>
      </c>
      <c r="Y328" s="27">
        <v>0.7</v>
      </c>
      <c r="Z328" s="27">
        <v>0.72</v>
      </c>
      <c r="AA328">
        <v>1.47</v>
      </c>
    </row>
    <row r="329" spans="1:27">
      <c r="A329" t="s">
        <v>1027</v>
      </c>
      <c r="B329">
        <v>820685</v>
      </c>
      <c r="C329" s="27">
        <v>2.96</v>
      </c>
      <c r="D329" s="27">
        <v>2.96</v>
      </c>
      <c r="E329" s="27">
        <v>2.96</v>
      </c>
      <c r="F329" s="27">
        <v>2.96</v>
      </c>
      <c r="G329" s="27">
        <v>2.96</v>
      </c>
      <c r="H329" s="27">
        <v>2.96</v>
      </c>
      <c r="I329" s="27">
        <v>2.96</v>
      </c>
      <c r="J329" s="27">
        <v>2.96</v>
      </c>
      <c r="K329" s="27">
        <v>2.5</v>
      </c>
      <c r="L329" s="27">
        <v>2.84</v>
      </c>
      <c r="M329" s="27">
        <v>2.84</v>
      </c>
      <c r="N329" s="44">
        <v>2.85</v>
      </c>
      <c r="O329" s="27">
        <v>2.87</v>
      </c>
      <c r="P329" s="27">
        <v>2.87</v>
      </c>
      <c r="Q329" s="27">
        <v>2.87</v>
      </c>
      <c r="R329" s="27">
        <v>2.87</v>
      </c>
      <c r="S329" s="27">
        <v>2.88</v>
      </c>
      <c r="T329" s="27">
        <v>2.88</v>
      </c>
      <c r="U329" s="27">
        <v>2.89</v>
      </c>
      <c r="V329" s="27">
        <v>2.89</v>
      </c>
      <c r="W329" s="27">
        <v>2.9</v>
      </c>
      <c r="X329" s="27">
        <v>2.9</v>
      </c>
      <c r="Y329" s="27">
        <v>2.91</v>
      </c>
      <c r="Z329" s="27">
        <v>2.91</v>
      </c>
      <c r="AA329">
        <v>2.89</v>
      </c>
    </row>
    <row r="330" spans="1:27">
      <c r="A330" t="s">
        <v>1028</v>
      </c>
      <c r="B330">
        <v>820686</v>
      </c>
      <c r="C330" s="27">
        <v>0.2</v>
      </c>
      <c r="D330" s="27">
        <v>0.2</v>
      </c>
      <c r="E330" s="27">
        <v>0.2</v>
      </c>
      <c r="F330" s="27">
        <v>0.2</v>
      </c>
      <c r="G330" s="27">
        <v>0.2</v>
      </c>
      <c r="H330" s="27">
        <v>0.2</v>
      </c>
      <c r="I330" s="27">
        <v>0.2</v>
      </c>
      <c r="J330" s="27">
        <v>0.2</v>
      </c>
      <c r="K330" s="27">
        <v>0.2</v>
      </c>
      <c r="L330" s="27">
        <v>0.2</v>
      </c>
      <c r="M330" s="27">
        <v>0.2</v>
      </c>
      <c r="N330" s="44">
        <v>0.2</v>
      </c>
      <c r="O330" s="27">
        <v>0.2</v>
      </c>
      <c r="P330" s="27">
        <v>0.2</v>
      </c>
      <c r="Q330" s="27">
        <v>0.2</v>
      </c>
      <c r="R330" s="27">
        <v>0.2</v>
      </c>
      <c r="S330" s="27">
        <v>0.2</v>
      </c>
      <c r="T330" s="27">
        <v>0.2</v>
      </c>
      <c r="U330" s="27">
        <v>0.2</v>
      </c>
      <c r="V330" s="27">
        <v>0.2</v>
      </c>
      <c r="W330" s="27">
        <v>0.2</v>
      </c>
      <c r="X330" s="27">
        <v>0.2</v>
      </c>
      <c r="Y330" s="27">
        <v>0.2</v>
      </c>
      <c r="Z330" s="27">
        <v>0.2</v>
      </c>
      <c r="AA330">
        <v>0.2</v>
      </c>
    </row>
    <row r="331" spans="1:27">
      <c r="A331" t="s">
        <v>12</v>
      </c>
      <c r="B331" t="s">
        <v>12</v>
      </c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44"/>
      <c r="O331" s="27"/>
      <c r="P331" s="27"/>
      <c r="Q331" s="27"/>
      <c r="R331" s="27"/>
      <c r="S331" s="27"/>
      <c r="T331" s="27"/>
      <c r="U331" s="27"/>
      <c r="V331" s="27"/>
    </row>
    <row r="332" spans="1:27"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44"/>
      <c r="O332" s="27"/>
      <c r="P332" s="27"/>
      <c r="Q332" s="27"/>
      <c r="R332" s="27"/>
      <c r="S332" s="27"/>
      <c r="T332" s="27"/>
      <c r="U332" s="27"/>
      <c r="V332" s="27"/>
    </row>
    <row r="333" spans="1:27">
      <c r="A333" t="s">
        <v>1067</v>
      </c>
      <c r="C333" s="27">
        <v>3.25</v>
      </c>
      <c r="D333" s="27">
        <v>3.36</v>
      </c>
      <c r="E333" s="27">
        <v>3.4</v>
      </c>
      <c r="F333" s="27">
        <v>3.37</v>
      </c>
      <c r="G333" s="27">
        <v>3.31</v>
      </c>
      <c r="H333" s="27">
        <v>3.23</v>
      </c>
      <c r="I333" s="27">
        <v>3.06</v>
      </c>
      <c r="J333" s="27">
        <v>2.84</v>
      </c>
      <c r="K333" s="27">
        <v>2.98</v>
      </c>
      <c r="L333" s="27">
        <v>2.58</v>
      </c>
      <c r="M333" s="27">
        <v>2.59</v>
      </c>
      <c r="N333" s="44">
        <v>2.59</v>
      </c>
      <c r="O333" s="27">
        <v>2.59</v>
      </c>
      <c r="P333" s="27">
        <v>2.59</v>
      </c>
      <c r="Q333" s="27">
        <v>2.59</v>
      </c>
      <c r="R333" s="27">
        <v>2.6</v>
      </c>
      <c r="S333" s="27">
        <v>2.59</v>
      </c>
      <c r="T333" s="27">
        <v>2.58</v>
      </c>
      <c r="U333" s="27">
        <v>2.48</v>
      </c>
      <c r="V333" s="27">
        <v>2.4900000000000002</v>
      </c>
      <c r="W333">
        <v>2.4900000000000002</v>
      </c>
      <c r="X333">
        <v>2.5</v>
      </c>
      <c r="Y333">
        <v>2.5</v>
      </c>
      <c r="Z333">
        <v>2.5099999999999998</v>
      </c>
      <c r="AA333">
        <v>2.79</v>
      </c>
    </row>
    <row r="334" spans="1:27"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44"/>
      <c r="O334" s="27"/>
      <c r="P334" s="27"/>
      <c r="Q334" s="27"/>
      <c r="R334" s="27"/>
      <c r="S334" s="27"/>
      <c r="T334" s="27"/>
      <c r="U334" s="27"/>
      <c r="V334" s="27"/>
    </row>
    <row r="335" spans="1:27">
      <c r="A335" t="s">
        <v>469</v>
      </c>
      <c r="C335" s="27">
        <v>0</v>
      </c>
      <c r="D335" s="27">
        <v>0</v>
      </c>
      <c r="E335" s="27">
        <v>0</v>
      </c>
      <c r="F335" s="27">
        <v>0</v>
      </c>
      <c r="G335" s="27">
        <v>0</v>
      </c>
      <c r="H335" s="27">
        <v>0</v>
      </c>
      <c r="I335" s="27">
        <v>0</v>
      </c>
      <c r="J335" s="27">
        <v>0</v>
      </c>
      <c r="K335" s="27">
        <v>0.1</v>
      </c>
      <c r="L335" s="27">
        <v>0.1</v>
      </c>
      <c r="M335" s="27">
        <v>0.1</v>
      </c>
      <c r="N335" s="44">
        <v>0.1</v>
      </c>
      <c r="O335" s="27">
        <v>0.1</v>
      </c>
      <c r="P335" s="27">
        <v>0.1</v>
      </c>
      <c r="Q335" s="27">
        <v>0.1</v>
      </c>
      <c r="R335" s="27">
        <v>0.1</v>
      </c>
      <c r="S335" s="27">
        <v>0.1</v>
      </c>
      <c r="T335" s="27">
        <v>0.1</v>
      </c>
      <c r="U335" s="27">
        <v>0.1</v>
      </c>
      <c r="V335" s="27">
        <v>0.1</v>
      </c>
      <c r="W335">
        <v>0.1</v>
      </c>
      <c r="X335">
        <v>0.1</v>
      </c>
      <c r="Y335">
        <v>0.1</v>
      </c>
      <c r="Z335">
        <v>0.1</v>
      </c>
      <c r="AA335">
        <v>7.0000000000000007E-2</v>
      </c>
    </row>
    <row r="336" spans="1:27">
      <c r="A336" t="s">
        <v>470</v>
      </c>
      <c r="B336">
        <v>820705</v>
      </c>
      <c r="C336" s="27">
        <v>1</v>
      </c>
      <c r="D336" s="27">
        <v>1</v>
      </c>
      <c r="E336" s="27">
        <v>1</v>
      </c>
      <c r="F336" s="27">
        <v>1</v>
      </c>
      <c r="G336" s="27">
        <v>1</v>
      </c>
      <c r="H336" s="27">
        <v>1</v>
      </c>
      <c r="I336" s="27">
        <v>1</v>
      </c>
      <c r="J336" s="27">
        <v>1</v>
      </c>
      <c r="K336" s="27">
        <v>1.25</v>
      </c>
      <c r="L336" s="27">
        <v>1.21</v>
      </c>
      <c r="M336" s="27">
        <v>1.17</v>
      </c>
      <c r="N336" s="44">
        <v>1.1299999999999999</v>
      </c>
      <c r="O336" s="27">
        <v>1</v>
      </c>
      <c r="P336" s="27">
        <v>1</v>
      </c>
      <c r="Q336" s="27">
        <v>1</v>
      </c>
      <c r="R336" s="27">
        <v>1</v>
      </c>
      <c r="S336" s="27">
        <v>1</v>
      </c>
      <c r="T336" s="27">
        <v>1</v>
      </c>
      <c r="U336" s="27">
        <v>1</v>
      </c>
      <c r="V336" s="27">
        <v>1</v>
      </c>
      <c r="W336">
        <v>1</v>
      </c>
      <c r="X336">
        <v>1</v>
      </c>
      <c r="Y336">
        <v>1</v>
      </c>
      <c r="Z336">
        <v>1</v>
      </c>
      <c r="AA336">
        <v>1.03</v>
      </c>
    </row>
    <row r="337" spans="1:27">
      <c r="A337" t="s">
        <v>471</v>
      </c>
      <c r="C337" s="27">
        <v>1</v>
      </c>
      <c r="D337" s="27">
        <v>1</v>
      </c>
      <c r="E337" s="27">
        <v>1</v>
      </c>
      <c r="F337" s="27">
        <v>1</v>
      </c>
      <c r="G337" s="27">
        <v>1</v>
      </c>
      <c r="H337" s="27">
        <v>1</v>
      </c>
      <c r="I337" s="27">
        <v>1</v>
      </c>
      <c r="J337" s="27">
        <v>1</v>
      </c>
      <c r="K337" s="27">
        <v>1.5</v>
      </c>
      <c r="L337" s="27">
        <v>1.21</v>
      </c>
      <c r="M337" s="27">
        <v>1.17</v>
      </c>
      <c r="N337" s="44">
        <v>1.1299999999999999</v>
      </c>
      <c r="O337" s="27">
        <v>1.0900000000000001</v>
      </c>
      <c r="P337" s="27">
        <v>1.05</v>
      </c>
      <c r="Q337" s="27">
        <v>1.01</v>
      </c>
      <c r="R337" s="27">
        <v>1</v>
      </c>
      <c r="S337" s="27">
        <v>1</v>
      </c>
      <c r="T337" s="27">
        <v>1</v>
      </c>
      <c r="U337" s="27">
        <v>1</v>
      </c>
      <c r="V337" s="27">
        <v>1</v>
      </c>
      <c r="W337">
        <v>1</v>
      </c>
      <c r="X337">
        <v>1</v>
      </c>
      <c r="Y337">
        <v>1</v>
      </c>
      <c r="Z337">
        <v>1</v>
      </c>
      <c r="AA337">
        <v>1.05</v>
      </c>
    </row>
    <row r="338" spans="1:27">
      <c r="A338" t="s">
        <v>472</v>
      </c>
      <c r="C338" s="27">
        <v>1.49</v>
      </c>
      <c r="D338" s="27">
        <v>1.49</v>
      </c>
      <c r="E338" s="27">
        <v>1.49</v>
      </c>
      <c r="F338" s="27">
        <v>1.49</v>
      </c>
      <c r="G338" s="27">
        <v>1.49</v>
      </c>
      <c r="H338" s="27">
        <v>1.49</v>
      </c>
      <c r="I338" s="27">
        <v>1.49</v>
      </c>
      <c r="J338" s="27">
        <v>1.49</v>
      </c>
      <c r="K338" s="27">
        <v>1.75</v>
      </c>
      <c r="L338" s="27">
        <v>1.47</v>
      </c>
      <c r="M338" s="27">
        <v>1.45</v>
      </c>
      <c r="N338" s="44">
        <v>1.43</v>
      </c>
      <c r="O338" s="27">
        <v>1.5</v>
      </c>
      <c r="P338" s="27">
        <v>1.5</v>
      </c>
      <c r="Q338" s="27">
        <v>1.5</v>
      </c>
      <c r="R338" s="27">
        <v>1.4</v>
      </c>
      <c r="S338" s="27">
        <v>1.4</v>
      </c>
      <c r="T338" s="27">
        <v>1.4</v>
      </c>
      <c r="U338" s="27">
        <v>1.35</v>
      </c>
      <c r="V338" s="27">
        <v>1.35</v>
      </c>
      <c r="W338">
        <v>1.35</v>
      </c>
      <c r="X338">
        <v>1.3</v>
      </c>
      <c r="Y338">
        <v>1.3</v>
      </c>
      <c r="Z338">
        <v>1.3</v>
      </c>
      <c r="AA338">
        <v>1.44</v>
      </c>
    </row>
    <row r="339" spans="1:27">
      <c r="A339" t="s">
        <v>473</v>
      </c>
      <c r="C339" s="27">
        <v>2.4700000000000002</v>
      </c>
      <c r="D339" s="27">
        <v>2.4700000000000002</v>
      </c>
      <c r="E339" s="27">
        <v>2.4700000000000002</v>
      </c>
      <c r="F339" s="27">
        <v>2.4700000000000002</v>
      </c>
      <c r="G339" s="27">
        <v>2.4700000000000002</v>
      </c>
      <c r="H339" s="27">
        <v>2.4700000000000002</v>
      </c>
      <c r="I339" s="27">
        <v>2.4700000000000002</v>
      </c>
      <c r="J339" s="27">
        <v>2.4700000000000002</v>
      </c>
      <c r="K339" s="27">
        <v>2.5</v>
      </c>
      <c r="L339" s="27">
        <v>2.4</v>
      </c>
      <c r="M339" s="27">
        <v>2.33</v>
      </c>
      <c r="N339" s="44">
        <v>2.2599999999999998</v>
      </c>
      <c r="O339" s="27">
        <v>2.25</v>
      </c>
      <c r="P339" s="27">
        <v>2.2000000000000002</v>
      </c>
      <c r="Q339" s="27">
        <v>2.15</v>
      </c>
      <c r="R339" s="27">
        <v>2.1</v>
      </c>
      <c r="S339" s="27">
        <v>2.0499999999999998</v>
      </c>
      <c r="T339" s="27">
        <v>2</v>
      </c>
      <c r="U339" s="27">
        <v>1.95</v>
      </c>
      <c r="V339" s="27">
        <v>1.9</v>
      </c>
      <c r="W339">
        <v>1.85</v>
      </c>
      <c r="X339">
        <v>1.8</v>
      </c>
      <c r="Y339">
        <v>1.8</v>
      </c>
      <c r="Z339">
        <v>1.8</v>
      </c>
      <c r="AA339">
        <v>2.21</v>
      </c>
    </row>
    <row r="340" spans="1:27">
      <c r="A340" t="s">
        <v>474</v>
      </c>
      <c r="C340" s="27">
        <v>2.71</v>
      </c>
      <c r="D340" s="27">
        <v>2.71</v>
      </c>
      <c r="E340" s="27">
        <v>2.71</v>
      </c>
      <c r="F340" s="27">
        <v>2.71</v>
      </c>
      <c r="G340" s="27">
        <v>2.71</v>
      </c>
      <c r="H340" s="27">
        <v>2.71</v>
      </c>
      <c r="I340" s="27">
        <v>2.71</v>
      </c>
      <c r="J340" s="27">
        <v>2.71</v>
      </c>
      <c r="K340" s="27">
        <v>2.75</v>
      </c>
      <c r="L340" s="27">
        <v>2.64</v>
      </c>
      <c r="M340" s="27">
        <v>2.57</v>
      </c>
      <c r="N340" s="44">
        <v>2.5</v>
      </c>
      <c r="O340" s="27">
        <v>2.4</v>
      </c>
      <c r="P340" s="27">
        <v>2.35</v>
      </c>
      <c r="Q340" s="27">
        <v>2.2999999999999998</v>
      </c>
      <c r="R340" s="27">
        <v>2.25</v>
      </c>
      <c r="S340" s="27">
        <v>2.2000000000000002</v>
      </c>
      <c r="T340" s="27">
        <v>2.15</v>
      </c>
      <c r="U340" s="27">
        <v>2.1</v>
      </c>
      <c r="V340" s="27">
        <v>2.0499999999999998</v>
      </c>
      <c r="W340">
        <v>2</v>
      </c>
      <c r="X340">
        <v>1.95</v>
      </c>
      <c r="Y340">
        <v>1.95</v>
      </c>
      <c r="Z340">
        <v>1.95</v>
      </c>
      <c r="AA340">
        <v>2.41</v>
      </c>
    </row>
    <row r="341" spans="1:27">
      <c r="A341" t="s">
        <v>475</v>
      </c>
      <c r="C341" s="27">
        <v>2.96</v>
      </c>
      <c r="D341" s="27">
        <v>2.96</v>
      </c>
      <c r="E341" s="27">
        <v>2.96</v>
      </c>
      <c r="F341" s="27">
        <v>2.96</v>
      </c>
      <c r="G341" s="27">
        <v>2.96</v>
      </c>
      <c r="H341" s="27">
        <v>2.96</v>
      </c>
      <c r="I341" s="27">
        <v>2.96</v>
      </c>
      <c r="J341" s="27">
        <v>2.96</v>
      </c>
      <c r="K341" s="27">
        <v>3</v>
      </c>
      <c r="L341" s="27">
        <v>2.77</v>
      </c>
      <c r="M341" s="27">
        <v>2.57</v>
      </c>
      <c r="N341" s="44">
        <v>2.38</v>
      </c>
      <c r="O341" s="27">
        <v>2.35</v>
      </c>
      <c r="P341" s="27">
        <v>2.2999999999999998</v>
      </c>
      <c r="Q341" s="27">
        <v>2.25</v>
      </c>
      <c r="R341" s="27">
        <v>2.2000000000000002</v>
      </c>
      <c r="S341" s="27">
        <v>2.15</v>
      </c>
      <c r="T341" s="27">
        <v>2.1</v>
      </c>
      <c r="U341" s="27">
        <v>2.0499999999999998</v>
      </c>
      <c r="V341" s="27">
        <v>2</v>
      </c>
      <c r="W341">
        <v>2</v>
      </c>
      <c r="X341">
        <v>2</v>
      </c>
      <c r="Y341">
        <v>2</v>
      </c>
      <c r="Z341">
        <v>2</v>
      </c>
      <c r="AA341">
        <v>2.4900000000000002</v>
      </c>
    </row>
    <row r="342" spans="1:27">
      <c r="A342" t="s">
        <v>476</v>
      </c>
      <c r="C342" s="27">
        <v>3.44</v>
      </c>
      <c r="D342" s="27">
        <v>3.44</v>
      </c>
      <c r="E342" s="27">
        <v>3.44</v>
      </c>
      <c r="F342" s="27">
        <v>3.44</v>
      </c>
      <c r="G342" s="27">
        <v>3.44</v>
      </c>
      <c r="H342" s="27">
        <v>3.44</v>
      </c>
      <c r="I342" s="27">
        <v>3.44</v>
      </c>
      <c r="J342" s="27">
        <v>3.44</v>
      </c>
      <c r="K342" s="27">
        <v>3.44</v>
      </c>
      <c r="L342" s="27">
        <v>3.25</v>
      </c>
      <c r="M342" s="27">
        <v>3.05</v>
      </c>
      <c r="N342" s="44">
        <v>2.86</v>
      </c>
      <c r="O342" s="27">
        <v>2.66</v>
      </c>
      <c r="P342" s="27">
        <v>2.4700000000000002</v>
      </c>
      <c r="Q342" s="27">
        <v>2.27</v>
      </c>
      <c r="R342" s="27">
        <v>2.08</v>
      </c>
      <c r="S342" s="27">
        <v>1.89</v>
      </c>
      <c r="T342" s="27">
        <v>1.69</v>
      </c>
      <c r="U342" s="27">
        <v>1.5</v>
      </c>
      <c r="V342" s="27">
        <v>1.3</v>
      </c>
      <c r="W342">
        <v>1.1100000000000001</v>
      </c>
      <c r="X342">
        <v>0.91</v>
      </c>
      <c r="Y342">
        <v>0.72</v>
      </c>
      <c r="Z342">
        <v>0.53</v>
      </c>
      <c r="AA342">
        <v>2.4700000000000002</v>
      </c>
    </row>
    <row r="343" spans="1:27">
      <c r="A343" t="s">
        <v>12</v>
      </c>
      <c r="B343" t="s">
        <v>12</v>
      </c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44"/>
      <c r="O343" s="27"/>
      <c r="P343" s="27"/>
      <c r="Q343" s="27"/>
      <c r="R343" s="27"/>
      <c r="S343" s="27"/>
      <c r="T343" s="27"/>
      <c r="U343" s="27"/>
      <c r="V343" s="27"/>
    </row>
    <row r="344" spans="1:27">
      <c r="A344" t="s">
        <v>477</v>
      </c>
      <c r="C344" s="27">
        <v>1.92</v>
      </c>
      <c r="D344" s="27">
        <v>1.92</v>
      </c>
      <c r="E344" s="27">
        <v>1.91</v>
      </c>
      <c r="F344" s="27">
        <v>1.91</v>
      </c>
      <c r="G344" s="27">
        <v>1.91</v>
      </c>
      <c r="H344" s="27">
        <v>1.91</v>
      </c>
      <c r="I344" s="27">
        <v>1.9</v>
      </c>
      <c r="J344" s="27">
        <v>1.89</v>
      </c>
      <c r="K344" s="27">
        <v>2.09</v>
      </c>
      <c r="L344" s="27">
        <v>1.9</v>
      </c>
      <c r="M344" s="27">
        <v>1.85</v>
      </c>
      <c r="N344" s="44">
        <v>1.79</v>
      </c>
      <c r="O344" s="27">
        <v>1.77</v>
      </c>
      <c r="P344" s="27">
        <v>1.73</v>
      </c>
      <c r="Q344" s="27">
        <v>1.69</v>
      </c>
      <c r="R344" s="27">
        <v>1.65</v>
      </c>
      <c r="S344" s="27">
        <v>1.62</v>
      </c>
      <c r="T344" s="27">
        <v>1.59</v>
      </c>
      <c r="U344" s="27">
        <v>1.56</v>
      </c>
      <c r="V344" s="27">
        <v>1.53</v>
      </c>
      <c r="W344">
        <v>1.51</v>
      </c>
      <c r="X344">
        <v>1.47</v>
      </c>
      <c r="Y344">
        <v>1.47</v>
      </c>
      <c r="Z344">
        <v>1.47</v>
      </c>
      <c r="AA344">
        <v>1.75</v>
      </c>
    </row>
    <row r="345" spans="1:27"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44"/>
      <c r="O345" s="27"/>
      <c r="P345" s="27"/>
      <c r="Q345" s="27"/>
      <c r="R345" s="27"/>
      <c r="S345" s="27"/>
      <c r="T345" s="27"/>
      <c r="U345" s="27"/>
      <c r="V345" s="27"/>
    </row>
    <row r="346" spans="1:27">
      <c r="A346" t="s">
        <v>1068</v>
      </c>
      <c r="B346">
        <v>820706</v>
      </c>
      <c r="C346" s="27">
        <v>0.1</v>
      </c>
      <c r="D346" s="27">
        <v>0.1</v>
      </c>
      <c r="E346" s="27">
        <v>0.1</v>
      </c>
      <c r="F346" s="27">
        <v>0.1</v>
      </c>
      <c r="G346" s="27">
        <v>0.1</v>
      </c>
      <c r="H346" s="27">
        <v>0.1</v>
      </c>
      <c r="I346" s="27">
        <v>0.1</v>
      </c>
      <c r="J346" s="27">
        <v>0.1</v>
      </c>
      <c r="K346" s="27">
        <v>4</v>
      </c>
      <c r="L346" s="27">
        <v>3.86</v>
      </c>
      <c r="M346" s="27">
        <v>3.7</v>
      </c>
      <c r="N346" s="44">
        <v>3.7</v>
      </c>
      <c r="O346" s="27">
        <v>3.46</v>
      </c>
      <c r="P346" s="27">
        <v>3.27</v>
      </c>
      <c r="Q346" s="27">
        <v>3.27</v>
      </c>
      <c r="R346" s="27">
        <v>3.27</v>
      </c>
      <c r="S346" s="27">
        <v>3.27</v>
      </c>
      <c r="T346" s="27">
        <v>3.04</v>
      </c>
      <c r="U346" s="27">
        <v>3.04</v>
      </c>
      <c r="V346" s="27">
        <v>3.04</v>
      </c>
      <c r="W346">
        <v>2.79</v>
      </c>
      <c r="X346">
        <v>2.79</v>
      </c>
      <c r="Y346">
        <v>2.79</v>
      </c>
      <c r="Z346">
        <v>2.79</v>
      </c>
      <c r="AA346">
        <v>2.2000000000000002</v>
      </c>
    </row>
    <row r="347" spans="1:27"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44"/>
      <c r="O347" s="27"/>
      <c r="P347" s="27"/>
      <c r="Q347" s="27"/>
      <c r="R347" s="27"/>
      <c r="S347" s="27"/>
      <c r="T347" s="27"/>
      <c r="U347" s="27"/>
      <c r="V347" s="27"/>
    </row>
    <row r="348" spans="1:27">
      <c r="A348" t="s">
        <v>1069</v>
      </c>
      <c r="B348">
        <v>820711</v>
      </c>
      <c r="C348" s="27">
        <v>1.24</v>
      </c>
      <c r="D348" s="27">
        <v>1.24</v>
      </c>
      <c r="E348" s="27">
        <v>1.24</v>
      </c>
      <c r="F348" s="27">
        <v>1.24</v>
      </c>
      <c r="G348" s="27">
        <v>1.24</v>
      </c>
      <c r="H348" s="27">
        <v>1.24</v>
      </c>
      <c r="I348" s="27">
        <v>1.24</v>
      </c>
      <c r="J348" s="27">
        <v>1.24</v>
      </c>
      <c r="K348" s="27">
        <v>1.24</v>
      </c>
      <c r="L348" s="27">
        <v>1.08</v>
      </c>
      <c r="M348" s="27">
        <v>0.91</v>
      </c>
      <c r="N348" s="44">
        <v>0.75</v>
      </c>
      <c r="O348" s="27">
        <v>0.57999999999999996</v>
      </c>
      <c r="P348" s="27">
        <v>0.42</v>
      </c>
      <c r="Q348" s="27">
        <v>0.25</v>
      </c>
      <c r="R348" s="27">
        <v>0.09</v>
      </c>
      <c r="S348" s="27">
        <v>0.09</v>
      </c>
      <c r="T348" s="27">
        <v>0.09</v>
      </c>
      <c r="U348" s="27">
        <v>0.09</v>
      </c>
      <c r="V348" s="27">
        <v>0.09</v>
      </c>
      <c r="W348">
        <v>0.09</v>
      </c>
      <c r="X348">
        <v>0.09</v>
      </c>
      <c r="Y348">
        <v>0.09</v>
      </c>
      <c r="Z348">
        <v>0.09</v>
      </c>
      <c r="AA348">
        <v>0.67</v>
      </c>
    </row>
    <row r="349" spans="1:27">
      <c r="A349" t="s">
        <v>1070</v>
      </c>
      <c r="C349" s="27">
        <v>1.98</v>
      </c>
      <c r="D349" s="27">
        <v>1.98</v>
      </c>
      <c r="E349" s="27">
        <v>1.98</v>
      </c>
      <c r="F349" s="27">
        <v>1.98</v>
      </c>
      <c r="G349" s="27">
        <v>1.98</v>
      </c>
      <c r="H349" s="27">
        <v>1.98</v>
      </c>
      <c r="I349" s="27">
        <v>1.98</v>
      </c>
      <c r="J349" s="27">
        <v>1.98</v>
      </c>
      <c r="K349" s="27">
        <v>1.98</v>
      </c>
      <c r="L349" s="27">
        <v>1.82</v>
      </c>
      <c r="M349" s="27">
        <v>1.65</v>
      </c>
      <c r="N349" s="44">
        <v>1.49</v>
      </c>
      <c r="O349" s="27">
        <v>1.32</v>
      </c>
      <c r="P349" s="27">
        <v>1.1599999999999999</v>
      </c>
      <c r="Q349" s="27">
        <v>0.99</v>
      </c>
      <c r="R349" s="27">
        <v>0.83</v>
      </c>
      <c r="S349" s="27">
        <v>0.67</v>
      </c>
      <c r="T349" s="27">
        <v>0.5</v>
      </c>
      <c r="U349" s="27">
        <v>0.34</v>
      </c>
      <c r="V349" s="27">
        <v>0.17</v>
      </c>
      <c r="W349">
        <v>0.01</v>
      </c>
      <c r="X349">
        <v>0.01</v>
      </c>
      <c r="Y349">
        <v>0.01</v>
      </c>
      <c r="Z349">
        <v>0.01</v>
      </c>
      <c r="AA349">
        <v>1.2</v>
      </c>
    </row>
    <row r="350" spans="1:27">
      <c r="A350" t="s">
        <v>1071</v>
      </c>
      <c r="C350" s="27">
        <v>2.4700000000000002</v>
      </c>
      <c r="D350" s="27">
        <v>2.4700000000000002</v>
      </c>
      <c r="E350" s="27">
        <v>2.4700000000000002</v>
      </c>
      <c r="F350" s="27">
        <v>2.4700000000000002</v>
      </c>
      <c r="G350" s="27">
        <v>2.4700000000000002</v>
      </c>
      <c r="H350" s="27">
        <v>2.4700000000000002</v>
      </c>
      <c r="I350" s="27">
        <v>2.4700000000000002</v>
      </c>
      <c r="J350" s="27">
        <v>2.4700000000000002</v>
      </c>
      <c r="K350" s="27">
        <v>2.4700000000000002</v>
      </c>
      <c r="L350" s="27">
        <v>2.33</v>
      </c>
      <c r="M350" s="27">
        <v>2.1800000000000002</v>
      </c>
      <c r="N350" s="44">
        <v>2.04</v>
      </c>
      <c r="O350" s="27">
        <v>1.89</v>
      </c>
      <c r="P350" s="27">
        <v>1.75</v>
      </c>
      <c r="Q350" s="27">
        <v>1.6</v>
      </c>
      <c r="R350" s="27">
        <v>1.46</v>
      </c>
      <c r="S350" s="27">
        <v>1.32</v>
      </c>
      <c r="T350" s="27">
        <v>1.17</v>
      </c>
      <c r="U350" s="27">
        <v>1.03</v>
      </c>
      <c r="V350" s="27">
        <v>0.88</v>
      </c>
      <c r="W350">
        <v>0.74</v>
      </c>
      <c r="X350">
        <v>0.59</v>
      </c>
      <c r="Y350">
        <v>0.45</v>
      </c>
      <c r="Z350">
        <v>0.31</v>
      </c>
      <c r="AA350">
        <v>1.75</v>
      </c>
    </row>
    <row r="351" spans="1:27">
      <c r="A351" t="s">
        <v>1072</v>
      </c>
      <c r="C351" s="27">
        <v>3.44</v>
      </c>
      <c r="D351" s="27">
        <v>3.44</v>
      </c>
      <c r="E351" s="27">
        <v>3.44</v>
      </c>
      <c r="F351" s="27">
        <v>3.44</v>
      </c>
      <c r="G351" s="27">
        <v>3.44</v>
      </c>
      <c r="H351" s="27">
        <v>3.44</v>
      </c>
      <c r="I351" s="27">
        <v>3.44</v>
      </c>
      <c r="J351" s="27">
        <v>3.44</v>
      </c>
      <c r="K351" s="27">
        <v>3.44</v>
      </c>
      <c r="L351" s="27">
        <v>3.25</v>
      </c>
      <c r="M351" s="27">
        <v>3.05</v>
      </c>
      <c r="N351" s="44">
        <v>2.86</v>
      </c>
      <c r="O351" s="27">
        <v>2.66</v>
      </c>
      <c r="P351" s="27">
        <v>2.4700000000000002</v>
      </c>
      <c r="Q351" s="27">
        <v>2.27</v>
      </c>
      <c r="R351" s="27">
        <v>2.08</v>
      </c>
      <c r="S351" s="27">
        <v>1.89</v>
      </c>
      <c r="T351" s="27">
        <v>1.69</v>
      </c>
      <c r="U351" s="27">
        <v>1.5</v>
      </c>
      <c r="V351" s="27">
        <v>1.3</v>
      </c>
      <c r="W351">
        <v>1.1100000000000001</v>
      </c>
      <c r="X351">
        <v>0.91</v>
      </c>
      <c r="Y351">
        <v>0.72</v>
      </c>
      <c r="Z351">
        <v>0.53</v>
      </c>
      <c r="AA351">
        <v>2.4700000000000002</v>
      </c>
    </row>
    <row r="352" spans="1:27">
      <c r="A352" t="s">
        <v>1073</v>
      </c>
      <c r="C352" s="27">
        <v>3.68</v>
      </c>
      <c r="D352" s="27">
        <v>3.68</v>
      </c>
      <c r="E352" s="27">
        <v>3.68</v>
      </c>
      <c r="F352" s="27">
        <v>3.68</v>
      </c>
      <c r="G352" s="27">
        <v>3.68</v>
      </c>
      <c r="H352" s="27">
        <v>3.68</v>
      </c>
      <c r="I352" s="27">
        <v>3.68</v>
      </c>
      <c r="J352" s="27">
        <v>3.68</v>
      </c>
      <c r="K352" s="27">
        <v>3.68</v>
      </c>
      <c r="L352" s="27">
        <v>3.49</v>
      </c>
      <c r="M352" s="27">
        <v>3.29</v>
      </c>
      <c r="N352" s="44">
        <v>3.1</v>
      </c>
      <c r="O352" s="27">
        <v>2.9</v>
      </c>
      <c r="P352" s="27">
        <v>2.71</v>
      </c>
      <c r="Q352" s="27">
        <v>2.5099999999999998</v>
      </c>
      <c r="R352" s="27">
        <v>2.3199999999999998</v>
      </c>
      <c r="S352" s="27">
        <v>2.13</v>
      </c>
      <c r="T352" s="27">
        <v>1.93</v>
      </c>
      <c r="U352" s="27">
        <v>1.74</v>
      </c>
      <c r="V352" s="27">
        <v>1.54</v>
      </c>
      <c r="W352">
        <v>1.35</v>
      </c>
      <c r="X352">
        <v>1.1499999999999999</v>
      </c>
      <c r="Y352">
        <v>0.96</v>
      </c>
      <c r="Z352">
        <v>0.77</v>
      </c>
      <c r="AA352">
        <v>2.71</v>
      </c>
    </row>
    <row r="353" spans="1:27">
      <c r="A353" t="s">
        <v>1074</v>
      </c>
      <c r="C353" s="27">
        <v>3.68</v>
      </c>
      <c r="D353" s="27">
        <v>3.68</v>
      </c>
      <c r="E353" s="27">
        <v>3.68</v>
      </c>
      <c r="F353" s="27">
        <v>3.68</v>
      </c>
      <c r="G353" s="27">
        <v>3.68</v>
      </c>
      <c r="H353" s="27">
        <v>3.68</v>
      </c>
      <c r="I353" s="27">
        <v>3.68</v>
      </c>
      <c r="J353" s="27">
        <v>3.68</v>
      </c>
      <c r="K353" s="27">
        <v>3.68</v>
      </c>
      <c r="L353" s="27">
        <v>3.49</v>
      </c>
      <c r="M353" s="27">
        <v>3.29</v>
      </c>
      <c r="N353" s="44">
        <v>3.1</v>
      </c>
      <c r="O353" s="27">
        <v>2.9</v>
      </c>
      <c r="P353" s="27">
        <v>2.71</v>
      </c>
      <c r="Q353" s="27">
        <v>2.5099999999999998</v>
      </c>
      <c r="R353" s="27">
        <v>2.3199999999999998</v>
      </c>
      <c r="S353" s="27">
        <v>2.13</v>
      </c>
      <c r="T353" s="27">
        <v>1.93</v>
      </c>
      <c r="U353" s="27">
        <v>1.74</v>
      </c>
      <c r="V353" s="27">
        <v>1.54</v>
      </c>
      <c r="W353">
        <v>1.35</v>
      </c>
      <c r="X353">
        <v>1.1499999999999999</v>
      </c>
      <c r="Y353">
        <v>0.96</v>
      </c>
      <c r="Z353">
        <v>0.77</v>
      </c>
      <c r="AA353">
        <v>2.71</v>
      </c>
    </row>
    <row r="354" spans="1:27">
      <c r="A354" t="s">
        <v>1075</v>
      </c>
      <c r="C354" s="27">
        <v>3.92</v>
      </c>
      <c r="D354" s="27">
        <v>3.92</v>
      </c>
      <c r="E354" s="27">
        <v>3.92</v>
      </c>
      <c r="F354" s="27">
        <v>3.92</v>
      </c>
      <c r="G354" s="27">
        <v>3.92</v>
      </c>
      <c r="H354" s="27">
        <v>3.92</v>
      </c>
      <c r="I354" s="27">
        <v>3.92</v>
      </c>
      <c r="J354" s="27">
        <v>3.92</v>
      </c>
      <c r="K354" s="27">
        <v>3.92</v>
      </c>
      <c r="L354" s="27">
        <v>3.73</v>
      </c>
      <c r="M354" s="27">
        <v>3.53</v>
      </c>
      <c r="N354" s="44">
        <v>3.34</v>
      </c>
      <c r="O354" s="27">
        <v>3.14</v>
      </c>
      <c r="P354" s="27">
        <v>2.95</v>
      </c>
      <c r="Q354" s="27">
        <v>2.75</v>
      </c>
      <c r="R354" s="27">
        <v>2.56</v>
      </c>
      <c r="S354" s="27">
        <v>2.37</v>
      </c>
      <c r="T354" s="27">
        <v>2.17</v>
      </c>
      <c r="U354" s="27">
        <v>1.98</v>
      </c>
      <c r="V354" s="27">
        <v>1.78</v>
      </c>
      <c r="W354">
        <v>1.59</v>
      </c>
      <c r="X354">
        <v>1.39</v>
      </c>
      <c r="Y354">
        <v>1.2</v>
      </c>
      <c r="Z354">
        <v>1.01</v>
      </c>
      <c r="AA354">
        <v>2.95</v>
      </c>
    </row>
    <row r="355" spans="1:27">
      <c r="A355" t="s">
        <v>12</v>
      </c>
      <c r="B355" t="s">
        <v>12</v>
      </c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44"/>
      <c r="O355" s="27"/>
      <c r="P355" s="27"/>
      <c r="Q355" s="27"/>
      <c r="R355" s="27"/>
      <c r="S355" s="27"/>
      <c r="T355" s="27"/>
      <c r="U355" s="27"/>
      <c r="V355" s="27"/>
    </row>
    <row r="356" spans="1:27">
      <c r="A356" t="s">
        <v>1076</v>
      </c>
      <c r="C356" s="27">
        <v>3.23</v>
      </c>
      <c r="D356" s="27">
        <v>3.21</v>
      </c>
      <c r="E356" s="27">
        <v>3.21</v>
      </c>
      <c r="F356" s="27">
        <v>3.2</v>
      </c>
      <c r="G356" s="27">
        <v>3.19</v>
      </c>
      <c r="H356" s="27">
        <v>3.19</v>
      </c>
      <c r="I356" s="27">
        <v>3.2</v>
      </c>
      <c r="J356" s="27">
        <v>3.21</v>
      </c>
      <c r="K356" s="27">
        <v>3.22</v>
      </c>
      <c r="L356" s="27">
        <v>3.04</v>
      </c>
      <c r="M356" s="27">
        <v>2.84</v>
      </c>
      <c r="N356" s="44">
        <v>2.66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  <c r="V356" s="27">
        <v>0</v>
      </c>
      <c r="W356">
        <v>0</v>
      </c>
      <c r="X356">
        <v>0</v>
      </c>
      <c r="Y356">
        <v>0</v>
      </c>
      <c r="Z356">
        <v>0</v>
      </c>
      <c r="AA356">
        <v>1.56</v>
      </c>
    </row>
    <row r="357" spans="1:27"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44"/>
      <c r="O357" s="27"/>
      <c r="P357" s="27"/>
      <c r="Q357" s="27"/>
      <c r="R357" s="27"/>
      <c r="S357" s="27"/>
      <c r="T357" s="27"/>
      <c r="U357" s="27"/>
      <c r="V357" s="27"/>
    </row>
    <row r="358" spans="1:27">
      <c r="A358" t="s">
        <v>1077</v>
      </c>
      <c r="C358" s="27">
        <v>0</v>
      </c>
      <c r="D358" s="27">
        <v>0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0.1</v>
      </c>
      <c r="L358" s="27">
        <v>0.1</v>
      </c>
      <c r="M358" s="27">
        <v>0.1</v>
      </c>
      <c r="N358" s="44">
        <v>0.1</v>
      </c>
      <c r="O358" s="27">
        <v>0.1</v>
      </c>
      <c r="P358" s="27">
        <v>0.1</v>
      </c>
      <c r="Q358" s="27">
        <v>0.1</v>
      </c>
      <c r="R358" s="27">
        <v>0.1</v>
      </c>
      <c r="S358" s="27">
        <v>0.1</v>
      </c>
      <c r="T358" s="27">
        <v>0.1</v>
      </c>
      <c r="U358" s="27">
        <v>0.1</v>
      </c>
      <c r="V358" s="27">
        <v>0.1</v>
      </c>
      <c r="W358">
        <v>0.1</v>
      </c>
      <c r="X358">
        <v>0.1</v>
      </c>
      <c r="Y358">
        <v>0.1</v>
      </c>
      <c r="Z358">
        <v>0.1</v>
      </c>
      <c r="AA358">
        <v>7.0000000000000007E-2</v>
      </c>
    </row>
    <row r="359" spans="1:27">
      <c r="A359" t="s">
        <v>1078</v>
      </c>
      <c r="B359">
        <v>820710</v>
      </c>
      <c r="C359" s="27">
        <v>1</v>
      </c>
      <c r="D359" s="27">
        <v>1</v>
      </c>
      <c r="E359" s="27">
        <v>1</v>
      </c>
      <c r="F359" s="27">
        <v>1</v>
      </c>
      <c r="G359" s="27">
        <v>1</v>
      </c>
      <c r="H359" s="27">
        <v>1</v>
      </c>
      <c r="I359" s="27">
        <v>1</v>
      </c>
      <c r="J359" s="27">
        <v>1</v>
      </c>
      <c r="K359" s="27">
        <v>1</v>
      </c>
      <c r="L359" s="27">
        <v>0.96</v>
      </c>
      <c r="M359" s="27">
        <v>0.92</v>
      </c>
      <c r="N359" s="44">
        <v>0.88</v>
      </c>
      <c r="O359" s="27">
        <v>0.84</v>
      </c>
      <c r="P359" s="27">
        <v>0.8</v>
      </c>
      <c r="Q359" s="27">
        <v>0.76</v>
      </c>
      <c r="R359" s="27">
        <v>0.72</v>
      </c>
      <c r="S359" s="27">
        <v>0.68</v>
      </c>
      <c r="T359" s="27">
        <v>0.64</v>
      </c>
      <c r="U359" s="27">
        <v>0.6</v>
      </c>
      <c r="V359" s="27">
        <v>0.56000000000000005</v>
      </c>
      <c r="W359">
        <v>0.52</v>
      </c>
      <c r="X359">
        <v>0.48</v>
      </c>
      <c r="Y359">
        <v>0.44</v>
      </c>
      <c r="Z359">
        <v>0.4</v>
      </c>
      <c r="AA359">
        <v>0.8</v>
      </c>
    </row>
    <row r="360" spans="1:27">
      <c r="A360" t="s">
        <v>1079</v>
      </c>
      <c r="C360" s="27">
        <v>1</v>
      </c>
      <c r="D360" s="27">
        <v>1</v>
      </c>
      <c r="E360" s="27">
        <v>1</v>
      </c>
      <c r="F360" s="27">
        <v>1</v>
      </c>
      <c r="G360" s="27">
        <v>1</v>
      </c>
      <c r="H360" s="27">
        <v>1</v>
      </c>
      <c r="I360" s="27">
        <v>1</v>
      </c>
      <c r="J360" s="27">
        <v>1</v>
      </c>
      <c r="K360" s="27">
        <v>1</v>
      </c>
      <c r="L360" s="27">
        <v>0.96</v>
      </c>
      <c r="M360" s="27">
        <v>0.92</v>
      </c>
      <c r="N360" s="44">
        <v>0.88</v>
      </c>
      <c r="O360" s="27">
        <v>0.84</v>
      </c>
      <c r="P360" s="27">
        <v>0.8</v>
      </c>
      <c r="Q360" s="27">
        <v>0.76</v>
      </c>
      <c r="R360" s="27">
        <v>0.72</v>
      </c>
      <c r="S360" s="27">
        <v>0.68</v>
      </c>
      <c r="T360" s="27">
        <v>0.64</v>
      </c>
      <c r="U360" s="27">
        <v>0.6</v>
      </c>
      <c r="V360" s="27">
        <v>0.56000000000000005</v>
      </c>
      <c r="W360">
        <v>0.52</v>
      </c>
      <c r="X360">
        <v>0.48</v>
      </c>
      <c r="Y360">
        <v>0.44</v>
      </c>
      <c r="Z360">
        <v>0.4</v>
      </c>
      <c r="AA360">
        <v>0.8</v>
      </c>
    </row>
    <row r="361" spans="1:27">
      <c r="A361" t="s">
        <v>1080</v>
      </c>
      <c r="C361" s="27">
        <v>1.49</v>
      </c>
      <c r="D361" s="27">
        <v>1.49</v>
      </c>
      <c r="E361" s="27">
        <v>1.49</v>
      </c>
      <c r="F361" s="27">
        <v>1.49</v>
      </c>
      <c r="G361" s="27">
        <v>1.49</v>
      </c>
      <c r="H361" s="27">
        <v>1.49</v>
      </c>
      <c r="I361" s="27">
        <v>1.49</v>
      </c>
      <c r="J361" s="27">
        <v>1.49</v>
      </c>
      <c r="K361" s="27">
        <v>1.49</v>
      </c>
      <c r="L361" s="27">
        <v>1.47</v>
      </c>
      <c r="M361" s="27">
        <v>1.45</v>
      </c>
      <c r="N361" s="44">
        <v>1.43</v>
      </c>
      <c r="O361" s="27">
        <v>1.41</v>
      </c>
      <c r="P361" s="27">
        <v>1.39</v>
      </c>
      <c r="Q361" s="27">
        <v>1.37</v>
      </c>
      <c r="R361" s="27">
        <v>1.35</v>
      </c>
      <c r="S361" s="27">
        <v>1.33</v>
      </c>
      <c r="T361" s="27">
        <v>1.31</v>
      </c>
      <c r="U361" s="27">
        <v>1.29</v>
      </c>
      <c r="V361" s="27">
        <v>1.27</v>
      </c>
      <c r="W361">
        <v>1.25</v>
      </c>
      <c r="X361">
        <v>1.23</v>
      </c>
      <c r="Y361">
        <v>1.21</v>
      </c>
      <c r="Z361">
        <v>1.19</v>
      </c>
      <c r="AA361">
        <v>1.39</v>
      </c>
    </row>
    <row r="362" spans="1:27">
      <c r="A362" t="s">
        <v>1081</v>
      </c>
      <c r="C362" s="27">
        <v>2.4700000000000002</v>
      </c>
      <c r="D362" s="27">
        <v>2.4700000000000002</v>
      </c>
      <c r="E362" s="27">
        <v>2.4700000000000002</v>
      </c>
      <c r="F362" s="27">
        <v>2.4700000000000002</v>
      </c>
      <c r="G362" s="27">
        <v>2.4700000000000002</v>
      </c>
      <c r="H362" s="27">
        <v>2.4700000000000002</v>
      </c>
      <c r="I362" s="27">
        <v>2.4700000000000002</v>
      </c>
      <c r="J362" s="27">
        <v>2.4700000000000002</v>
      </c>
      <c r="K362" s="27">
        <v>2.4700000000000002</v>
      </c>
      <c r="L362" s="27">
        <v>2.4</v>
      </c>
      <c r="M362" s="27">
        <v>2.33</v>
      </c>
      <c r="N362" s="44">
        <v>2.2599999999999998</v>
      </c>
      <c r="O362" s="27">
        <v>2.19</v>
      </c>
      <c r="P362" s="27">
        <v>2.12</v>
      </c>
      <c r="Q362" s="27">
        <v>2.0499999999999998</v>
      </c>
      <c r="R362" s="27">
        <v>1.98</v>
      </c>
      <c r="S362" s="27">
        <v>1.91</v>
      </c>
      <c r="T362" s="27">
        <v>1.84</v>
      </c>
      <c r="U362" s="27">
        <v>1.77</v>
      </c>
      <c r="V362" s="27">
        <v>1.7</v>
      </c>
      <c r="W362">
        <v>1.63</v>
      </c>
      <c r="X362">
        <v>1.56</v>
      </c>
      <c r="Y362">
        <v>1.49</v>
      </c>
      <c r="Z362">
        <v>1.42</v>
      </c>
      <c r="AA362">
        <v>2.12</v>
      </c>
    </row>
    <row r="363" spans="1:27">
      <c r="A363" t="s">
        <v>1082</v>
      </c>
      <c r="C363" s="27">
        <v>2.71</v>
      </c>
      <c r="D363" s="27">
        <v>2.71</v>
      </c>
      <c r="E363" s="27">
        <v>2.71</v>
      </c>
      <c r="F363" s="27">
        <v>2.71</v>
      </c>
      <c r="G363" s="27">
        <v>2.71</v>
      </c>
      <c r="H363" s="27">
        <v>2.71</v>
      </c>
      <c r="I363" s="27">
        <v>2.71</v>
      </c>
      <c r="J363" s="27">
        <v>2.71</v>
      </c>
      <c r="K363" s="27">
        <v>2.71</v>
      </c>
      <c r="L363" s="27">
        <v>2.64</v>
      </c>
      <c r="M363" s="27">
        <v>2.57</v>
      </c>
      <c r="N363" s="44">
        <v>2.5</v>
      </c>
      <c r="O363" s="27">
        <v>2.4300000000000002</v>
      </c>
      <c r="P363" s="27">
        <v>2.36</v>
      </c>
      <c r="Q363" s="27">
        <v>2.29</v>
      </c>
      <c r="R363" s="27">
        <v>2.2200000000000002</v>
      </c>
      <c r="S363" s="27">
        <v>2.15</v>
      </c>
      <c r="T363" s="27">
        <v>2.08</v>
      </c>
      <c r="U363" s="27">
        <v>2.0099999999999998</v>
      </c>
      <c r="V363" s="27">
        <v>1.94</v>
      </c>
      <c r="W363">
        <v>1.87</v>
      </c>
      <c r="X363">
        <v>1.8</v>
      </c>
      <c r="Y363">
        <v>1.73</v>
      </c>
      <c r="Z363">
        <v>1.66</v>
      </c>
      <c r="AA363">
        <v>2.36</v>
      </c>
    </row>
    <row r="364" spans="1:27">
      <c r="A364" t="s">
        <v>1083</v>
      </c>
      <c r="C364" s="27">
        <v>2.96</v>
      </c>
      <c r="D364" s="27">
        <v>2.96</v>
      </c>
      <c r="E364" s="27">
        <v>2.96</v>
      </c>
      <c r="F364" s="27">
        <v>2.96</v>
      </c>
      <c r="G364" s="27">
        <v>2.96</v>
      </c>
      <c r="H364" s="27">
        <v>2.96</v>
      </c>
      <c r="I364" s="27">
        <v>2.96</v>
      </c>
      <c r="J364" s="27">
        <v>2.96</v>
      </c>
      <c r="K364" s="27">
        <v>2.96</v>
      </c>
      <c r="L364" s="27">
        <v>2.77</v>
      </c>
      <c r="M364" s="27">
        <v>2.57</v>
      </c>
      <c r="N364" s="44">
        <v>2.38</v>
      </c>
      <c r="O364" s="27">
        <v>2.1800000000000002</v>
      </c>
      <c r="P364" s="27">
        <v>1.99</v>
      </c>
      <c r="Q364" s="27">
        <v>1.79</v>
      </c>
      <c r="R364" s="27">
        <v>1.6</v>
      </c>
      <c r="S364" s="27">
        <v>1.41</v>
      </c>
      <c r="T364" s="27">
        <v>1.21</v>
      </c>
      <c r="U364" s="27">
        <v>1.02</v>
      </c>
      <c r="V364" s="27">
        <v>0.82</v>
      </c>
      <c r="W364">
        <v>0.63</v>
      </c>
      <c r="X364">
        <v>0.43</v>
      </c>
      <c r="Y364">
        <v>0.24</v>
      </c>
      <c r="Z364">
        <v>0.1</v>
      </c>
      <c r="AA364">
        <v>1.99</v>
      </c>
    </row>
    <row r="365" spans="1:27">
      <c r="A365" t="s">
        <v>1084</v>
      </c>
      <c r="C365" s="27">
        <v>3.44</v>
      </c>
      <c r="D365" s="27">
        <v>3.44</v>
      </c>
      <c r="E365" s="27">
        <v>3.44</v>
      </c>
      <c r="F365" s="27">
        <v>3.44</v>
      </c>
      <c r="G365" s="27">
        <v>3.44</v>
      </c>
      <c r="H365" s="27">
        <v>3.44</v>
      </c>
      <c r="I365" s="27">
        <v>3.44</v>
      </c>
      <c r="J365" s="27">
        <v>3.44</v>
      </c>
      <c r="K365" s="27">
        <v>3.44</v>
      </c>
      <c r="L365" s="27">
        <v>3.25</v>
      </c>
      <c r="M365" s="27">
        <v>3.05</v>
      </c>
      <c r="N365" s="44">
        <v>2.86</v>
      </c>
      <c r="O365" s="27">
        <v>2.66</v>
      </c>
      <c r="P365" s="27">
        <v>2.4700000000000002</v>
      </c>
      <c r="Q365" s="27">
        <v>2.27</v>
      </c>
      <c r="R365" s="27">
        <v>2.08</v>
      </c>
      <c r="S365" s="27">
        <v>1.89</v>
      </c>
      <c r="T365" s="27">
        <v>1.69</v>
      </c>
      <c r="U365" s="27">
        <v>1.5</v>
      </c>
      <c r="V365" s="27">
        <v>1.3</v>
      </c>
      <c r="W365">
        <v>1.1100000000000001</v>
      </c>
      <c r="X365">
        <v>0.91</v>
      </c>
      <c r="Y365">
        <v>0.72</v>
      </c>
      <c r="Z365">
        <v>0.53</v>
      </c>
      <c r="AA365">
        <v>2.4700000000000002</v>
      </c>
    </row>
    <row r="366" spans="1:27">
      <c r="A366" t="s">
        <v>12</v>
      </c>
      <c r="B366" t="s">
        <v>12</v>
      </c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44"/>
      <c r="O366" s="27"/>
      <c r="P366" s="27"/>
      <c r="Q366" s="27"/>
      <c r="R366" s="27"/>
      <c r="S366" s="27"/>
      <c r="T366" s="27"/>
      <c r="U366" s="27"/>
      <c r="V366" s="27"/>
    </row>
    <row r="367" spans="1:27">
      <c r="A367" t="s">
        <v>1085</v>
      </c>
      <c r="C367" s="27">
        <v>2.06</v>
      </c>
      <c r="D367" s="27">
        <v>2.0699999999999998</v>
      </c>
      <c r="E367" s="27">
        <v>2.06</v>
      </c>
      <c r="F367" s="27">
        <v>2.0499999999999998</v>
      </c>
      <c r="G367" s="27">
        <v>2.0299999999999998</v>
      </c>
      <c r="H367" s="27">
        <v>2.0099999999999998</v>
      </c>
      <c r="I367" s="27">
        <v>1.99</v>
      </c>
      <c r="J367" s="27">
        <v>2</v>
      </c>
      <c r="K367" s="27">
        <v>2.0099999999999998</v>
      </c>
      <c r="L367" s="27">
        <v>1.95</v>
      </c>
      <c r="M367" s="27">
        <v>1.88</v>
      </c>
      <c r="N367" s="44">
        <v>1.82</v>
      </c>
      <c r="O367" s="27">
        <v>1.75</v>
      </c>
      <c r="P367" s="27">
        <v>1.69</v>
      </c>
      <c r="Q367" s="27">
        <v>1.63</v>
      </c>
      <c r="R367" s="27">
        <v>1.56</v>
      </c>
      <c r="S367" s="27">
        <v>1.5</v>
      </c>
      <c r="T367" s="27">
        <v>1.43</v>
      </c>
      <c r="U367" s="27">
        <v>1.37</v>
      </c>
      <c r="V367" s="27">
        <v>1.31</v>
      </c>
      <c r="W367">
        <v>1.24</v>
      </c>
      <c r="X367">
        <v>1.18</v>
      </c>
      <c r="Y367">
        <v>1.1200000000000001</v>
      </c>
      <c r="Z367">
        <v>1.06</v>
      </c>
      <c r="AA367">
        <v>1.7</v>
      </c>
    </row>
    <row r="368" spans="1:27"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44"/>
      <c r="O368" s="27"/>
      <c r="P368" s="27"/>
      <c r="Q368" s="27"/>
      <c r="R368" s="27"/>
      <c r="S368" s="27"/>
      <c r="T368" s="27"/>
      <c r="U368" s="27"/>
      <c r="V368" s="27"/>
    </row>
    <row r="369" spans="1:27">
      <c r="A369" t="s">
        <v>1086</v>
      </c>
      <c r="B369">
        <v>820709</v>
      </c>
      <c r="C369" s="27">
        <v>0.1</v>
      </c>
      <c r="D369" s="27">
        <v>0.1</v>
      </c>
      <c r="E369" s="27">
        <v>0.1</v>
      </c>
      <c r="F369" s="27">
        <v>0.1</v>
      </c>
      <c r="G369" s="27">
        <v>0.1</v>
      </c>
      <c r="H369" s="27">
        <v>0.1</v>
      </c>
      <c r="I369" s="27">
        <v>0.1</v>
      </c>
      <c r="J369" s="27">
        <v>0.1</v>
      </c>
      <c r="K369" s="27">
        <v>3.93</v>
      </c>
      <c r="L369" s="27">
        <v>3.86</v>
      </c>
      <c r="M369" s="27">
        <v>3.79</v>
      </c>
      <c r="N369" s="44">
        <v>3.72</v>
      </c>
      <c r="O369" s="27">
        <v>3.72</v>
      </c>
      <c r="P369" s="27">
        <v>3.72</v>
      </c>
      <c r="Q369" s="27">
        <v>3.51</v>
      </c>
      <c r="R369" s="27">
        <v>3.51</v>
      </c>
      <c r="S369" s="27">
        <v>3.51</v>
      </c>
      <c r="T369" s="27">
        <v>3.3</v>
      </c>
      <c r="U369" s="27">
        <v>3.3</v>
      </c>
      <c r="V369" s="27">
        <v>3.3</v>
      </c>
      <c r="W369">
        <v>3.09</v>
      </c>
      <c r="X369">
        <v>3.02</v>
      </c>
      <c r="Y369">
        <v>3.02</v>
      </c>
      <c r="Z369">
        <v>2.98</v>
      </c>
      <c r="AA369">
        <v>2.34</v>
      </c>
    </row>
    <row r="370" spans="1:27"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44"/>
      <c r="O370" s="27"/>
      <c r="P370" s="27"/>
      <c r="Q370" s="27"/>
      <c r="R370" s="27"/>
      <c r="S370" s="27"/>
      <c r="T370" s="27"/>
      <c r="U370" s="27"/>
      <c r="V370" s="27"/>
    </row>
    <row r="371" spans="1:27">
      <c r="A371" t="s">
        <v>1087</v>
      </c>
      <c r="B371">
        <v>820712</v>
      </c>
      <c r="C371" s="27">
        <v>1.98</v>
      </c>
      <c r="D371" s="27">
        <v>1.98</v>
      </c>
      <c r="E371" s="27">
        <v>1.98</v>
      </c>
      <c r="F371" s="27">
        <v>1.98</v>
      </c>
      <c r="G371" s="27">
        <v>1.98</v>
      </c>
      <c r="H371" s="27">
        <v>1.98</v>
      </c>
      <c r="I371" s="27">
        <v>1.98</v>
      </c>
      <c r="J371" s="27">
        <v>1.98</v>
      </c>
      <c r="K371" s="27">
        <v>1.98</v>
      </c>
      <c r="L371" s="27">
        <v>1.82</v>
      </c>
      <c r="M371" s="27">
        <v>1.65</v>
      </c>
      <c r="N371" s="44">
        <v>1.49</v>
      </c>
      <c r="O371" s="27">
        <v>1.32</v>
      </c>
      <c r="P371" s="27">
        <v>1.1599999999999999</v>
      </c>
      <c r="Q371" s="27">
        <v>0.99</v>
      </c>
      <c r="R371" s="27">
        <v>0.83</v>
      </c>
      <c r="S371" s="27">
        <v>0.67</v>
      </c>
      <c r="T371" s="27">
        <v>0.5</v>
      </c>
      <c r="U371" s="27">
        <v>0.34</v>
      </c>
      <c r="V371" s="27">
        <v>0.17</v>
      </c>
      <c r="W371">
        <v>0.01</v>
      </c>
      <c r="X371">
        <v>0.01</v>
      </c>
      <c r="Y371">
        <v>0.01</v>
      </c>
      <c r="Z371">
        <v>0.01</v>
      </c>
      <c r="AA371">
        <v>1.2</v>
      </c>
    </row>
    <row r="372" spans="1:27">
      <c r="A372" t="s">
        <v>1088</v>
      </c>
      <c r="C372" s="27">
        <v>2.4700000000000002</v>
      </c>
      <c r="D372" s="27">
        <v>2.4700000000000002</v>
      </c>
      <c r="E372" s="27">
        <v>2.4700000000000002</v>
      </c>
      <c r="F372" s="27">
        <v>2.4700000000000002</v>
      </c>
      <c r="G372" s="27">
        <v>2.4700000000000002</v>
      </c>
      <c r="H372" s="27">
        <v>2.4700000000000002</v>
      </c>
      <c r="I372" s="27">
        <v>2.4700000000000002</v>
      </c>
      <c r="J372" s="27">
        <v>2.4700000000000002</v>
      </c>
      <c r="K372" s="27">
        <v>2.4700000000000002</v>
      </c>
      <c r="L372" s="27">
        <v>2.31</v>
      </c>
      <c r="M372" s="27">
        <v>2.14</v>
      </c>
      <c r="N372" s="44">
        <v>1.98</v>
      </c>
      <c r="O372" s="27">
        <v>1.81</v>
      </c>
      <c r="P372" s="27">
        <v>1.65</v>
      </c>
      <c r="Q372" s="27">
        <v>1.48</v>
      </c>
      <c r="R372" s="27">
        <v>1.32</v>
      </c>
      <c r="S372" s="27">
        <v>1.1599999999999999</v>
      </c>
      <c r="T372" s="27">
        <v>0.99</v>
      </c>
      <c r="U372" s="27">
        <v>0.83</v>
      </c>
      <c r="V372" s="27">
        <v>0.66</v>
      </c>
      <c r="W372">
        <v>0.5</v>
      </c>
      <c r="X372">
        <v>0.33</v>
      </c>
      <c r="Y372">
        <v>0.17</v>
      </c>
      <c r="Z372">
        <v>0.01</v>
      </c>
      <c r="AA372">
        <v>1.65</v>
      </c>
    </row>
    <row r="373" spans="1:27">
      <c r="A373" t="s">
        <v>1089</v>
      </c>
      <c r="C373" s="27">
        <v>3.68</v>
      </c>
      <c r="D373" s="27">
        <v>3.68</v>
      </c>
      <c r="E373" s="27">
        <v>3.68</v>
      </c>
      <c r="F373" s="27">
        <v>3.68</v>
      </c>
      <c r="G373" s="27">
        <v>3.68</v>
      </c>
      <c r="H373" s="27">
        <v>3.68</v>
      </c>
      <c r="I373" s="27">
        <v>3.68</v>
      </c>
      <c r="J373" s="27">
        <v>3.68</v>
      </c>
      <c r="K373" s="27">
        <v>3.68</v>
      </c>
      <c r="L373" s="27">
        <v>3.54</v>
      </c>
      <c r="M373" s="27">
        <v>3.39</v>
      </c>
      <c r="N373" s="44">
        <v>3.25</v>
      </c>
      <c r="O373" s="27">
        <v>3.1</v>
      </c>
      <c r="P373" s="27">
        <v>2.96</v>
      </c>
      <c r="Q373" s="27">
        <v>2.81</v>
      </c>
      <c r="R373" s="27">
        <v>2.67</v>
      </c>
      <c r="S373" s="27">
        <v>2.5299999999999998</v>
      </c>
      <c r="T373" s="27">
        <v>2.38</v>
      </c>
      <c r="U373" s="27">
        <v>2.2400000000000002</v>
      </c>
      <c r="V373" s="27">
        <v>2.09</v>
      </c>
      <c r="W373">
        <v>1.95</v>
      </c>
      <c r="X373">
        <v>1.8</v>
      </c>
      <c r="Y373">
        <v>1.66</v>
      </c>
      <c r="Z373">
        <v>1.52</v>
      </c>
      <c r="AA373">
        <v>2.96</v>
      </c>
    </row>
    <row r="374" spans="1:27">
      <c r="A374" t="s">
        <v>1090</v>
      </c>
      <c r="C374" s="27">
        <v>3.68</v>
      </c>
      <c r="D374" s="27">
        <v>3.68</v>
      </c>
      <c r="E374" s="27">
        <v>3.68</v>
      </c>
      <c r="F374" s="27">
        <v>3.68</v>
      </c>
      <c r="G374" s="27">
        <v>3.68</v>
      </c>
      <c r="H374" s="27">
        <v>3.68</v>
      </c>
      <c r="I374" s="27">
        <v>3.68</v>
      </c>
      <c r="J374" s="27">
        <v>3.68</v>
      </c>
      <c r="K374" s="27">
        <v>3.68</v>
      </c>
      <c r="L374" s="27">
        <v>3.49</v>
      </c>
      <c r="M374" s="27">
        <v>3.29</v>
      </c>
      <c r="N374" s="44">
        <v>3.1</v>
      </c>
      <c r="O374" s="27">
        <v>2.9</v>
      </c>
      <c r="P374" s="27">
        <v>2.71</v>
      </c>
      <c r="Q374" s="27">
        <v>2.5099999999999998</v>
      </c>
      <c r="R374" s="27">
        <v>2.3199999999999998</v>
      </c>
      <c r="S374" s="27">
        <v>2.13</v>
      </c>
      <c r="T374" s="27">
        <v>1.93</v>
      </c>
      <c r="U374" s="27">
        <v>1.74</v>
      </c>
      <c r="V374" s="27">
        <v>1.54</v>
      </c>
      <c r="W374">
        <v>1.35</v>
      </c>
      <c r="X374">
        <v>1.1499999999999999</v>
      </c>
      <c r="Y374">
        <v>0.96</v>
      </c>
      <c r="Z374">
        <v>0.77</v>
      </c>
      <c r="AA374">
        <v>2.71</v>
      </c>
    </row>
    <row r="375" spans="1:27">
      <c r="A375" t="s">
        <v>1091</v>
      </c>
      <c r="C375" s="27">
        <v>3.68</v>
      </c>
      <c r="D375" s="27">
        <v>3.68</v>
      </c>
      <c r="E375" s="27">
        <v>3.68</v>
      </c>
      <c r="F375" s="27">
        <v>3.68</v>
      </c>
      <c r="G375" s="27">
        <v>3.68</v>
      </c>
      <c r="H375" s="27">
        <v>3.68</v>
      </c>
      <c r="I375" s="27">
        <v>3.68</v>
      </c>
      <c r="J375" s="27">
        <v>3.68</v>
      </c>
      <c r="K375" s="27">
        <v>3.68</v>
      </c>
      <c r="L375" s="27">
        <v>3.49</v>
      </c>
      <c r="M375" s="27">
        <v>3.29</v>
      </c>
      <c r="N375" s="44">
        <v>3.1</v>
      </c>
      <c r="O375" s="27">
        <v>2.9</v>
      </c>
      <c r="P375" s="27">
        <v>2.71</v>
      </c>
      <c r="Q375" s="27">
        <v>2.5099999999999998</v>
      </c>
      <c r="R375" s="27">
        <v>2.3199999999999998</v>
      </c>
      <c r="S375" s="27">
        <v>2.13</v>
      </c>
      <c r="T375" s="27">
        <v>1.93</v>
      </c>
      <c r="U375" s="27">
        <v>1.74</v>
      </c>
      <c r="V375" s="27">
        <v>1.54</v>
      </c>
      <c r="W375">
        <v>1.35</v>
      </c>
      <c r="X375">
        <v>1.1499999999999999</v>
      </c>
      <c r="Y375">
        <v>0.96</v>
      </c>
      <c r="Z375">
        <v>0.77</v>
      </c>
      <c r="AA375">
        <v>2.71</v>
      </c>
    </row>
    <row r="376" spans="1:27">
      <c r="A376" t="s">
        <v>1092</v>
      </c>
      <c r="C376" s="27">
        <v>3.37</v>
      </c>
      <c r="D376" s="27">
        <v>3.37</v>
      </c>
      <c r="E376" s="27">
        <v>3.37</v>
      </c>
      <c r="F376" s="27">
        <v>3.37</v>
      </c>
      <c r="G376" s="27">
        <v>3.37</v>
      </c>
      <c r="H376" s="27">
        <v>3.37</v>
      </c>
      <c r="I376" s="27">
        <v>3.37</v>
      </c>
      <c r="J376" s="27">
        <v>3.37</v>
      </c>
      <c r="K376" s="27">
        <v>3.37</v>
      </c>
      <c r="L376" s="27">
        <v>3.18</v>
      </c>
      <c r="M376" s="27">
        <v>2.98</v>
      </c>
      <c r="N376" s="44">
        <v>2.79</v>
      </c>
      <c r="O376" s="27">
        <v>2.59</v>
      </c>
      <c r="P376" s="27">
        <v>2.4</v>
      </c>
      <c r="Q376" s="27">
        <v>2.2000000000000002</v>
      </c>
      <c r="R376" s="27">
        <v>2.0099999999999998</v>
      </c>
      <c r="S376" s="27">
        <v>1.82</v>
      </c>
      <c r="T376" s="27">
        <v>1.62</v>
      </c>
      <c r="U376" s="27">
        <v>1.43</v>
      </c>
      <c r="V376" s="27">
        <v>1.23</v>
      </c>
      <c r="W376">
        <v>1.04</v>
      </c>
      <c r="X376">
        <v>0.84</v>
      </c>
      <c r="Y376">
        <v>0.65</v>
      </c>
      <c r="Z376">
        <v>0.46</v>
      </c>
      <c r="AA376">
        <v>2.4</v>
      </c>
    </row>
    <row r="377" spans="1:27">
      <c r="A377" t="s">
        <v>12</v>
      </c>
      <c r="B377" t="s">
        <v>12</v>
      </c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44"/>
      <c r="O377" s="27"/>
      <c r="P377" s="27"/>
      <c r="Q377" s="27"/>
      <c r="R377" s="27"/>
      <c r="S377" s="27"/>
      <c r="T377" s="27"/>
      <c r="U377" s="27"/>
      <c r="V377" s="27"/>
    </row>
    <row r="378" spans="1:27">
      <c r="A378" t="s">
        <v>1093</v>
      </c>
      <c r="C378" s="27">
        <v>2.75</v>
      </c>
      <c r="D378" s="27">
        <v>2.76</v>
      </c>
      <c r="E378" s="27">
        <v>2.75</v>
      </c>
      <c r="F378" s="27">
        <v>2.76</v>
      </c>
      <c r="G378" s="27">
        <v>2.76</v>
      </c>
      <c r="H378" s="27">
        <v>2.78</v>
      </c>
      <c r="I378" s="27">
        <v>2.8</v>
      </c>
      <c r="J378" s="27">
        <v>2.8</v>
      </c>
      <c r="K378" s="27">
        <v>2.83</v>
      </c>
      <c r="L378" s="27">
        <v>2.68</v>
      </c>
      <c r="M378" s="27">
        <v>2.5299999999999998</v>
      </c>
      <c r="N378" s="44">
        <v>2.38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  <c r="V378" s="27">
        <v>0</v>
      </c>
      <c r="W378">
        <v>0</v>
      </c>
      <c r="X378">
        <v>0</v>
      </c>
      <c r="Y378">
        <v>0</v>
      </c>
      <c r="Z378">
        <v>0</v>
      </c>
      <c r="AA378">
        <v>1.36</v>
      </c>
    </row>
    <row r="379" spans="1:27">
      <c r="A379" t="s">
        <v>12</v>
      </c>
      <c r="B379" t="s">
        <v>12</v>
      </c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44"/>
      <c r="O379" s="27"/>
      <c r="P379" s="27"/>
      <c r="Q379" s="27"/>
      <c r="R379" s="27"/>
      <c r="S379" s="27"/>
      <c r="T379" s="27"/>
      <c r="U379" s="27"/>
      <c r="V379" s="27"/>
    </row>
    <row r="380" spans="1:27">
      <c r="A380" t="s">
        <v>1094</v>
      </c>
      <c r="C380" s="27">
        <v>2.46</v>
      </c>
      <c r="D380" s="27">
        <v>2.4700000000000002</v>
      </c>
      <c r="E380" s="27">
        <v>2.4700000000000002</v>
      </c>
      <c r="F380" s="27">
        <v>2.4900000000000002</v>
      </c>
      <c r="G380" s="27">
        <v>2.5099999999999998</v>
      </c>
      <c r="H380" s="27">
        <v>2.46</v>
      </c>
      <c r="I380" s="27">
        <v>2.34</v>
      </c>
      <c r="J380" s="27">
        <v>2.23</v>
      </c>
      <c r="K380" s="27">
        <v>2.83</v>
      </c>
      <c r="L380" s="27">
        <v>2.71</v>
      </c>
      <c r="M380" s="27">
        <v>2.67</v>
      </c>
      <c r="N380" s="44">
        <v>2.82</v>
      </c>
      <c r="O380" s="27">
        <v>2.86</v>
      </c>
      <c r="P380" s="27">
        <v>2.73</v>
      </c>
      <c r="Q380" s="27">
        <v>2.71</v>
      </c>
      <c r="R380" s="27">
        <v>2.69</v>
      </c>
      <c r="S380" s="27">
        <v>2.68</v>
      </c>
      <c r="T380" s="27">
        <v>2.52</v>
      </c>
      <c r="U380" s="27">
        <v>2.5099999999999998</v>
      </c>
      <c r="V380" s="27">
        <v>2.5</v>
      </c>
      <c r="W380">
        <v>2.33</v>
      </c>
      <c r="X380">
        <v>2.3199999999999998</v>
      </c>
      <c r="Y380">
        <v>2.3199999999999998</v>
      </c>
      <c r="Z380">
        <v>2.3199999999999998</v>
      </c>
      <c r="AA380">
        <v>2.54</v>
      </c>
    </row>
    <row r="381" spans="1:27"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44"/>
      <c r="O381" s="27"/>
      <c r="P381" s="27"/>
      <c r="Q381" s="27"/>
      <c r="R381" s="27"/>
      <c r="S381" s="27"/>
      <c r="T381" s="27"/>
      <c r="U381" s="27"/>
      <c r="V381" s="27"/>
    </row>
    <row r="382" spans="1:27">
      <c r="A382" t="s">
        <v>12</v>
      </c>
      <c r="B382" t="s">
        <v>12</v>
      </c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44"/>
      <c r="O382" s="27"/>
      <c r="P382" s="27"/>
      <c r="Q382" s="27"/>
      <c r="R382" s="27"/>
      <c r="S382" s="27"/>
      <c r="T382" s="27"/>
      <c r="U382" s="27"/>
      <c r="V382" s="27"/>
    </row>
    <row r="383" spans="1:27">
      <c r="A383" t="s">
        <v>1095</v>
      </c>
      <c r="C383" s="27">
        <v>1.67</v>
      </c>
      <c r="D383" s="27">
        <v>1.76</v>
      </c>
      <c r="E383" s="27">
        <v>1.81</v>
      </c>
      <c r="F383" s="27">
        <v>1.81</v>
      </c>
      <c r="G383" s="27">
        <v>1.8</v>
      </c>
      <c r="H383" s="27">
        <v>1.77</v>
      </c>
      <c r="I383" s="27">
        <v>1.68</v>
      </c>
      <c r="J383" s="27">
        <v>1.54</v>
      </c>
      <c r="K383" s="27">
        <v>2.06</v>
      </c>
      <c r="L383" s="27">
        <v>2</v>
      </c>
      <c r="M383" s="27">
        <v>1.99</v>
      </c>
      <c r="N383" s="44">
        <v>2.0499999999999998</v>
      </c>
      <c r="O383" s="27">
        <v>2.02</v>
      </c>
      <c r="P383" s="27">
        <v>1.99</v>
      </c>
      <c r="Q383" s="27">
        <v>1.98</v>
      </c>
      <c r="R383" s="27">
        <v>1.99</v>
      </c>
      <c r="S383" s="27">
        <v>1.98</v>
      </c>
      <c r="T383" s="27">
        <v>1.94</v>
      </c>
      <c r="U383" s="27">
        <v>1.93</v>
      </c>
      <c r="V383" s="27">
        <v>1.93</v>
      </c>
      <c r="W383">
        <v>1.88</v>
      </c>
      <c r="X383">
        <v>1.88</v>
      </c>
      <c r="Y383">
        <v>1.89</v>
      </c>
      <c r="Z383">
        <v>1.89</v>
      </c>
      <c r="AA383">
        <v>1.89</v>
      </c>
    </row>
    <row r="384" spans="1:27"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44"/>
      <c r="O384" s="27"/>
      <c r="P384" s="27"/>
      <c r="Q384" s="27"/>
      <c r="R384" s="27"/>
      <c r="S384" s="27"/>
      <c r="T384" s="27"/>
      <c r="U384" s="27"/>
      <c r="V384" s="27"/>
    </row>
    <row r="385" spans="1:27">
      <c r="A385" t="s">
        <v>1096</v>
      </c>
      <c r="B385">
        <v>820715</v>
      </c>
      <c r="C385" s="27">
        <v>4.5</v>
      </c>
      <c r="D385" s="27">
        <v>4.5</v>
      </c>
      <c r="E385" s="27">
        <v>4.5</v>
      </c>
      <c r="F385" s="27">
        <v>4.5</v>
      </c>
      <c r="G385" s="27">
        <v>4.5</v>
      </c>
      <c r="H385" s="27">
        <v>4.5</v>
      </c>
      <c r="I385" s="27">
        <v>4.5</v>
      </c>
      <c r="J385" s="27">
        <v>4.5</v>
      </c>
      <c r="K385" s="27">
        <v>4.13</v>
      </c>
      <c r="L385" s="27">
        <v>3.88</v>
      </c>
      <c r="M385" s="27">
        <v>3.88</v>
      </c>
      <c r="N385" s="44">
        <v>3.63</v>
      </c>
      <c r="O385" s="27">
        <v>3.38</v>
      </c>
      <c r="P385" s="27">
        <v>3.38</v>
      </c>
      <c r="Q385" s="27">
        <v>3.38</v>
      </c>
      <c r="R385" s="27">
        <v>3.38</v>
      </c>
      <c r="S385" s="27">
        <v>3.38</v>
      </c>
      <c r="T385" s="27">
        <v>3.13</v>
      </c>
      <c r="U385" s="27">
        <v>3.13</v>
      </c>
      <c r="V385" s="27">
        <v>3.13</v>
      </c>
      <c r="W385">
        <v>2.88</v>
      </c>
      <c r="X385">
        <v>2.88</v>
      </c>
      <c r="Y385">
        <v>2.88</v>
      </c>
      <c r="Z385">
        <v>2.88</v>
      </c>
      <c r="AA385">
        <v>3.72</v>
      </c>
    </row>
    <row r="386" spans="1:27">
      <c r="A386" t="s">
        <v>1097</v>
      </c>
      <c r="B386">
        <v>820716</v>
      </c>
      <c r="C386" s="27">
        <v>5.5</v>
      </c>
      <c r="D386" s="27">
        <v>5.5</v>
      </c>
      <c r="E386" s="27">
        <v>5.5</v>
      </c>
      <c r="F386" s="27">
        <v>5.5</v>
      </c>
      <c r="G386" s="27">
        <v>5.5</v>
      </c>
      <c r="H386" s="27">
        <v>5.5</v>
      </c>
      <c r="I386" s="27">
        <v>5.5</v>
      </c>
      <c r="J386" s="27">
        <v>5.5</v>
      </c>
      <c r="K386" s="27">
        <v>4.13</v>
      </c>
      <c r="L386" s="27">
        <v>3.88</v>
      </c>
      <c r="M386" s="27">
        <v>3.88</v>
      </c>
      <c r="N386" s="44">
        <v>3.63</v>
      </c>
      <c r="O386" s="27">
        <v>3.38</v>
      </c>
      <c r="P386" s="27">
        <v>3.38</v>
      </c>
      <c r="Q386" s="27">
        <v>3.38</v>
      </c>
      <c r="R386" s="27">
        <v>3.38</v>
      </c>
      <c r="S386" s="27">
        <v>3.38</v>
      </c>
      <c r="T386" s="27">
        <v>3.13</v>
      </c>
      <c r="U386" s="27">
        <v>3.13</v>
      </c>
      <c r="V386" s="27">
        <v>3.13</v>
      </c>
      <c r="W386">
        <v>2.88</v>
      </c>
      <c r="X386">
        <v>2.88</v>
      </c>
      <c r="Y386">
        <v>2.88</v>
      </c>
      <c r="Z386">
        <v>2.88</v>
      </c>
      <c r="AA386">
        <v>4.0599999999999996</v>
      </c>
    </row>
    <row r="387" spans="1:27">
      <c r="A387" t="s">
        <v>1098</v>
      </c>
      <c r="B387">
        <v>820717</v>
      </c>
      <c r="C387" s="27">
        <v>5</v>
      </c>
      <c r="D387" s="27">
        <v>5</v>
      </c>
      <c r="E387" s="27">
        <v>5</v>
      </c>
      <c r="F387" s="27">
        <v>5</v>
      </c>
      <c r="G387" s="27">
        <v>5</v>
      </c>
      <c r="H387" s="27">
        <v>5</v>
      </c>
      <c r="I387" s="27">
        <v>5</v>
      </c>
      <c r="J387" s="27">
        <v>5</v>
      </c>
      <c r="K387" s="27">
        <v>0</v>
      </c>
      <c r="L387" s="27">
        <v>0</v>
      </c>
      <c r="M387" s="27">
        <v>0</v>
      </c>
      <c r="N387" s="44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  <c r="V387" s="27">
        <v>0</v>
      </c>
      <c r="W387">
        <v>0</v>
      </c>
      <c r="X387">
        <v>0</v>
      </c>
      <c r="Y387">
        <v>0</v>
      </c>
      <c r="Z387">
        <v>0</v>
      </c>
      <c r="AA387">
        <v>1.67</v>
      </c>
    </row>
    <row r="388" spans="1:27">
      <c r="A388" t="s">
        <v>1099</v>
      </c>
      <c r="B388">
        <v>820725</v>
      </c>
      <c r="C388" s="27">
        <v>4.49</v>
      </c>
      <c r="D388" s="27">
        <v>4.49</v>
      </c>
      <c r="E388" s="27">
        <v>4.49</v>
      </c>
      <c r="F388" s="27">
        <v>4.49</v>
      </c>
      <c r="G388" s="27">
        <v>4.49</v>
      </c>
      <c r="H388" s="27">
        <v>4.49</v>
      </c>
      <c r="I388" s="27">
        <v>4.49</v>
      </c>
      <c r="J388" s="27">
        <v>4.49</v>
      </c>
      <c r="K388" s="27">
        <v>4.13</v>
      </c>
      <c r="L388" s="27">
        <v>3.63</v>
      </c>
      <c r="M388" s="27">
        <v>3.63</v>
      </c>
      <c r="N388" s="44">
        <v>3.63</v>
      </c>
      <c r="O388" s="27">
        <v>3.38</v>
      </c>
      <c r="P388" s="27">
        <v>3.38</v>
      </c>
      <c r="Q388" s="27">
        <v>3.38</v>
      </c>
      <c r="R388" s="27">
        <v>3.13</v>
      </c>
      <c r="S388" s="27">
        <v>3.13</v>
      </c>
      <c r="T388" s="27">
        <v>3.13</v>
      </c>
      <c r="U388" s="27">
        <v>3.13</v>
      </c>
      <c r="V388" s="27">
        <v>3.13</v>
      </c>
      <c r="W388">
        <v>3.13</v>
      </c>
      <c r="X388">
        <v>3</v>
      </c>
      <c r="Y388">
        <v>3</v>
      </c>
      <c r="Z388">
        <v>3</v>
      </c>
      <c r="AA388">
        <v>3.7</v>
      </c>
    </row>
    <row r="389" spans="1:27">
      <c r="A389" t="s">
        <v>12</v>
      </c>
      <c r="B389" t="s">
        <v>12</v>
      </c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44"/>
      <c r="O389" s="27"/>
      <c r="P389" s="27"/>
      <c r="Q389" s="27"/>
      <c r="R389" s="27"/>
      <c r="S389" s="27"/>
      <c r="T389" s="27"/>
      <c r="U389" s="27"/>
      <c r="V389" s="27"/>
    </row>
    <row r="390" spans="1:27">
      <c r="A390" t="s">
        <v>520</v>
      </c>
      <c r="C390" s="27">
        <v>4.7</v>
      </c>
      <c r="D390" s="27">
        <v>4.49</v>
      </c>
      <c r="E390" s="27">
        <v>4.49</v>
      </c>
      <c r="F390" s="27">
        <v>4.49</v>
      </c>
      <c r="G390" s="27">
        <v>4.49</v>
      </c>
      <c r="H390" s="27">
        <v>4.49</v>
      </c>
      <c r="I390" s="27">
        <v>4.49</v>
      </c>
      <c r="J390" s="27">
        <v>4.49</v>
      </c>
      <c r="K390" s="27">
        <v>4.13</v>
      </c>
      <c r="L390" s="27">
        <v>3.63</v>
      </c>
      <c r="M390" s="27">
        <v>3.63</v>
      </c>
      <c r="N390" s="44">
        <v>3.63</v>
      </c>
      <c r="O390" s="27">
        <v>3.38</v>
      </c>
      <c r="P390" s="27">
        <v>3.38</v>
      </c>
      <c r="Q390" s="27">
        <v>3.38</v>
      </c>
      <c r="R390" s="27">
        <v>3.13</v>
      </c>
      <c r="S390" s="27">
        <v>3.13</v>
      </c>
      <c r="T390" s="27">
        <v>3.13</v>
      </c>
      <c r="U390" s="27">
        <v>3.13</v>
      </c>
      <c r="V390" s="27">
        <v>3.13</v>
      </c>
      <c r="W390">
        <v>3.13</v>
      </c>
      <c r="X390">
        <v>3</v>
      </c>
      <c r="Y390">
        <v>3</v>
      </c>
      <c r="Z390">
        <v>3</v>
      </c>
      <c r="AA390">
        <v>3.71</v>
      </c>
    </row>
    <row r="391" spans="1:27">
      <c r="A391" t="s">
        <v>12</v>
      </c>
      <c r="B391" t="s">
        <v>12</v>
      </c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44"/>
      <c r="O391" s="27"/>
      <c r="P391" s="27"/>
      <c r="Q391" s="27"/>
      <c r="R391" s="27"/>
      <c r="S391" s="27"/>
      <c r="T391" s="27"/>
      <c r="U391" s="27"/>
      <c r="V391" s="27"/>
    </row>
    <row r="392" spans="1:27">
      <c r="A392" t="s">
        <v>1100</v>
      </c>
      <c r="C392">
        <v>1.81</v>
      </c>
      <c r="D392">
        <v>1.88</v>
      </c>
      <c r="E392">
        <v>1.93</v>
      </c>
      <c r="F392">
        <v>1.94</v>
      </c>
      <c r="G392">
        <v>1.94</v>
      </c>
      <c r="H392">
        <v>1.91</v>
      </c>
      <c r="I392">
        <v>1.8</v>
      </c>
      <c r="J392">
        <v>1.65</v>
      </c>
      <c r="K392">
        <v>2.1</v>
      </c>
      <c r="L392">
        <v>2.02</v>
      </c>
      <c r="M392">
        <v>2.02</v>
      </c>
      <c r="N392" s="14">
        <v>2.09</v>
      </c>
      <c r="O392">
        <v>2.0499999999999998</v>
      </c>
      <c r="P392">
        <v>2.02</v>
      </c>
      <c r="Q392">
        <v>2.02</v>
      </c>
      <c r="R392">
        <v>2.0099999999999998</v>
      </c>
      <c r="S392">
        <v>2.0099999999999998</v>
      </c>
      <c r="T392">
        <v>1.96</v>
      </c>
      <c r="U392">
        <v>1.96</v>
      </c>
      <c r="V392">
        <v>1.96</v>
      </c>
      <c r="W392">
        <v>1.91</v>
      </c>
      <c r="X392">
        <v>1.91</v>
      </c>
      <c r="Y392">
        <v>1.91</v>
      </c>
      <c r="Z392">
        <v>1.92</v>
      </c>
      <c r="AA392">
        <v>1.95</v>
      </c>
    </row>
    <row r="394" spans="1:27">
      <c r="A394" t="s">
        <v>12</v>
      </c>
      <c r="B394" t="s">
        <v>12</v>
      </c>
    </row>
    <row r="395" spans="1:27">
      <c r="A395" t="s">
        <v>1101</v>
      </c>
      <c r="C395">
        <v>1.71</v>
      </c>
      <c r="D395">
        <v>1.78</v>
      </c>
      <c r="E395">
        <v>1.81</v>
      </c>
      <c r="F395">
        <v>1.82</v>
      </c>
      <c r="G395">
        <v>1.83</v>
      </c>
      <c r="H395">
        <v>1.79</v>
      </c>
      <c r="I395">
        <v>1.69</v>
      </c>
      <c r="J395">
        <v>1.55</v>
      </c>
      <c r="K395">
        <v>1.97</v>
      </c>
      <c r="L395">
        <v>1.9</v>
      </c>
      <c r="M395">
        <v>1.89</v>
      </c>
      <c r="N395" s="14">
        <v>1.95</v>
      </c>
      <c r="O395">
        <v>1.92</v>
      </c>
      <c r="P395">
        <v>1.89</v>
      </c>
      <c r="Q395">
        <v>1.88</v>
      </c>
      <c r="R395">
        <v>1.88</v>
      </c>
      <c r="S395">
        <v>1.87</v>
      </c>
      <c r="T395">
        <v>1.83</v>
      </c>
      <c r="U395">
        <v>1.82</v>
      </c>
      <c r="V395">
        <v>1.82</v>
      </c>
      <c r="W395">
        <v>1.78</v>
      </c>
      <c r="X395">
        <v>1.77</v>
      </c>
      <c r="Y395">
        <v>1.78</v>
      </c>
      <c r="Z395">
        <v>1.78</v>
      </c>
      <c r="AA395">
        <v>1.82</v>
      </c>
    </row>
    <row r="396" spans="1:27">
      <c r="A396" t="s">
        <v>1013</v>
      </c>
      <c r="B396" t="s">
        <v>334</v>
      </c>
    </row>
    <row r="418" spans="7:22">
      <c r="G418">
        <v>2.04</v>
      </c>
      <c r="H418">
        <v>2.04</v>
      </c>
      <c r="I418">
        <v>2.04</v>
      </c>
      <c r="J418">
        <v>1.7</v>
      </c>
      <c r="K418">
        <v>1.7</v>
      </c>
      <c r="L418">
        <v>1.7</v>
      </c>
      <c r="M418">
        <v>1.45</v>
      </c>
      <c r="N418" s="14">
        <v>1.45</v>
      </c>
      <c r="O418">
        <v>1.45</v>
      </c>
      <c r="P418">
        <v>1.45</v>
      </c>
      <c r="Q418">
        <v>1.45</v>
      </c>
      <c r="R418">
        <v>1.45</v>
      </c>
      <c r="S418">
        <v>1.2</v>
      </c>
      <c r="T418">
        <v>1.2</v>
      </c>
      <c r="U418">
        <v>1.2</v>
      </c>
      <c r="V418">
        <v>1.2</v>
      </c>
    </row>
    <row r="419" spans="7:22">
      <c r="G419">
        <f>+G418-0.015</f>
        <v>2.0249999999999999</v>
      </c>
      <c r="H419">
        <f t="shared" ref="H419:V419" si="0">+H418-0.015</f>
        <v>2.0249999999999999</v>
      </c>
      <c r="I419">
        <f t="shared" si="0"/>
        <v>2.0249999999999999</v>
      </c>
      <c r="J419">
        <f t="shared" si="0"/>
        <v>1.6850000000000001</v>
      </c>
      <c r="K419">
        <f t="shared" si="0"/>
        <v>1.6850000000000001</v>
      </c>
      <c r="L419">
        <f t="shared" si="0"/>
        <v>1.6850000000000001</v>
      </c>
      <c r="M419">
        <f t="shared" si="0"/>
        <v>1.4350000000000001</v>
      </c>
      <c r="N419" s="14">
        <f t="shared" si="0"/>
        <v>1.4350000000000001</v>
      </c>
      <c r="O419">
        <f t="shared" si="0"/>
        <v>1.4350000000000001</v>
      </c>
      <c r="P419">
        <f t="shared" si="0"/>
        <v>1.4350000000000001</v>
      </c>
      <c r="Q419">
        <f t="shared" si="0"/>
        <v>1.4350000000000001</v>
      </c>
      <c r="R419">
        <f t="shared" si="0"/>
        <v>1.4350000000000001</v>
      </c>
      <c r="S419">
        <f t="shared" si="0"/>
        <v>1.1850000000000001</v>
      </c>
      <c r="T419">
        <f t="shared" si="0"/>
        <v>1.1850000000000001</v>
      </c>
      <c r="U419">
        <f t="shared" si="0"/>
        <v>1.1850000000000001</v>
      </c>
      <c r="V419">
        <f t="shared" si="0"/>
        <v>1.1850000000000001</v>
      </c>
    </row>
    <row r="420" spans="7:22">
      <c r="G420">
        <v>1.83</v>
      </c>
      <c r="H420">
        <v>1.83</v>
      </c>
      <c r="I420">
        <v>1.83</v>
      </c>
      <c r="J420">
        <v>1.83</v>
      </c>
      <c r="K420">
        <v>1.83</v>
      </c>
      <c r="L420">
        <v>1.83</v>
      </c>
      <c r="M420">
        <v>1.83</v>
      </c>
      <c r="N420" s="14">
        <v>1.83</v>
      </c>
      <c r="O420">
        <v>1.83</v>
      </c>
      <c r="P420">
        <v>1.83</v>
      </c>
      <c r="Q420">
        <v>1.83</v>
      </c>
      <c r="R420">
        <v>1.83</v>
      </c>
      <c r="S420">
        <v>1.83</v>
      </c>
      <c r="T420">
        <v>1.83</v>
      </c>
      <c r="U420">
        <v>1.83</v>
      </c>
      <c r="V420">
        <v>1.83</v>
      </c>
    </row>
    <row r="426" spans="7:22">
      <c r="G426">
        <v>7.92</v>
      </c>
      <c r="H426">
        <v>7.93</v>
      </c>
      <c r="I426">
        <v>7.94</v>
      </c>
      <c r="J426">
        <v>7.95</v>
      </c>
      <c r="K426">
        <v>7.96</v>
      </c>
      <c r="L426">
        <v>7.97</v>
      </c>
      <c r="M426">
        <v>7.99</v>
      </c>
      <c r="N426" s="14">
        <v>8.01</v>
      </c>
      <c r="O426">
        <v>8.02</v>
      </c>
      <c r="P426">
        <v>8.0399999999999991</v>
      </c>
      <c r="Q426">
        <v>8.06</v>
      </c>
      <c r="R426">
        <v>8.08</v>
      </c>
    </row>
    <row r="427" spans="7:22">
      <c r="H427">
        <v>7.86</v>
      </c>
      <c r="I427">
        <f>+H427-0.01</f>
        <v>7.8500000000000005</v>
      </c>
      <c r="J427">
        <f t="shared" ref="J427:R427" si="1">+I427-0.01</f>
        <v>7.8400000000000007</v>
      </c>
      <c r="K427">
        <f t="shared" si="1"/>
        <v>7.830000000000001</v>
      </c>
      <c r="L427">
        <f t="shared" si="1"/>
        <v>7.8200000000000012</v>
      </c>
      <c r="M427">
        <f t="shared" si="1"/>
        <v>7.8100000000000014</v>
      </c>
      <c r="N427" s="14">
        <f t="shared" si="1"/>
        <v>7.8000000000000016</v>
      </c>
      <c r="O427">
        <f t="shared" si="1"/>
        <v>7.7900000000000018</v>
      </c>
      <c r="P427">
        <f t="shared" si="1"/>
        <v>7.780000000000002</v>
      </c>
      <c r="Q427">
        <f t="shared" si="1"/>
        <v>7.7700000000000022</v>
      </c>
      <c r="R427">
        <f t="shared" si="1"/>
        <v>7.7600000000000025</v>
      </c>
    </row>
    <row r="434" spans="9:24">
      <c r="J434">
        <v>1327244</v>
      </c>
      <c r="K434">
        <v>1215296</v>
      </c>
      <c r="L434">
        <v>1374327</v>
      </c>
      <c r="M434">
        <v>1358482</v>
      </c>
      <c r="N434" s="14">
        <v>1432260</v>
      </c>
      <c r="O434">
        <v>1411763</v>
      </c>
      <c r="P434">
        <v>1484250</v>
      </c>
      <c r="Q434">
        <v>1507788</v>
      </c>
      <c r="R434">
        <v>1480922</v>
      </c>
      <c r="S434">
        <v>1550305</v>
      </c>
      <c r="T434">
        <v>1517415</v>
      </c>
      <c r="U434">
        <v>1583265</v>
      </c>
      <c r="W434">
        <f>SUM(J434:U434)</f>
        <v>17243317</v>
      </c>
      <c r="X434" s="4">
        <f>+W434-W437</f>
        <v>145287</v>
      </c>
    </row>
    <row r="435" spans="9:24">
      <c r="J435">
        <v>7.92</v>
      </c>
      <c r="K435">
        <v>7.93</v>
      </c>
      <c r="L435">
        <v>7.94</v>
      </c>
      <c r="M435">
        <v>7.95</v>
      </c>
      <c r="N435" s="14">
        <v>7.96</v>
      </c>
      <c r="O435">
        <v>7.97</v>
      </c>
      <c r="P435">
        <v>7.99</v>
      </c>
      <c r="Q435">
        <v>8.01</v>
      </c>
      <c r="R435">
        <v>8.02</v>
      </c>
      <c r="S435">
        <v>8.0399999999999991</v>
      </c>
      <c r="T435">
        <v>8.06</v>
      </c>
      <c r="U435">
        <v>8.08</v>
      </c>
    </row>
    <row r="437" spans="9:24">
      <c r="J437">
        <v>1327118</v>
      </c>
      <c r="K437">
        <v>1214654</v>
      </c>
      <c r="L437">
        <v>1372469</v>
      </c>
      <c r="M437">
        <v>1355055</v>
      </c>
      <c r="N437" s="14">
        <v>1426576</v>
      </c>
      <c r="O437">
        <v>1403775</v>
      </c>
      <c r="P437">
        <v>1472955</v>
      </c>
      <c r="Q437">
        <v>1493011</v>
      </c>
      <c r="R437">
        <v>1462848</v>
      </c>
      <c r="S437">
        <v>1527444</v>
      </c>
      <c r="T437">
        <v>1490955</v>
      </c>
      <c r="U437">
        <v>1551170</v>
      </c>
      <c r="W437">
        <f>SUM(J437:U437)</f>
        <v>17098030</v>
      </c>
    </row>
    <row r="438" spans="9:24">
      <c r="J438">
        <v>7.16</v>
      </c>
      <c r="K438">
        <f>+J438-0.06</f>
        <v>7.1000000000000005</v>
      </c>
      <c r="L438">
        <f t="shared" ref="L438:U438" si="2">+K438-0.06</f>
        <v>7.0400000000000009</v>
      </c>
      <c r="M438">
        <f t="shared" si="2"/>
        <v>6.9800000000000013</v>
      </c>
      <c r="N438" s="14">
        <f t="shared" si="2"/>
        <v>6.9200000000000017</v>
      </c>
      <c r="O438">
        <f t="shared" si="2"/>
        <v>6.8600000000000021</v>
      </c>
      <c r="P438">
        <f t="shared" si="2"/>
        <v>6.8000000000000025</v>
      </c>
      <c r="Q438">
        <f t="shared" si="2"/>
        <v>6.7400000000000029</v>
      </c>
      <c r="R438">
        <f t="shared" si="2"/>
        <v>6.6800000000000033</v>
      </c>
      <c r="S438">
        <f t="shared" si="2"/>
        <v>6.6200000000000037</v>
      </c>
      <c r="T438">
        <f t="shared" si="2"/>
        <v>6.5600000000000041</v>
      </c>
      <c r="U438">
        <f t="shared" si="2"/>
        <v>6.5000000000000044</v>
      </c>
    </row>
    <row r="447" spans="9:24">
      <c r="I447">
        <v>1.98</v>
      </c>
      <c r="J447">
        <v>1.93</v>
      </c>
      <c r="K447">
        <v>1.93</v>
      </c>
      <c r="L447">
        <v>1.93</v>
      </c>
      <c r="M447">
        <v>1.93</v>
      </c>
      <c r="N447" s="14">
        <v>1.86</v>
      </c>
      <c r="O447">
        <v>1.86</v>
      </c>
      <c r="P447">
        <v>1.86</v>
      </c>
      <c r="Q447">
        <v>1.79</v>
      </c>
      <c r="R447">
        <v>1.78</v>
      </c>
      <c r="S447">
        <v>1.77</v>
      </c>
      <c r="T447">
        <v>1.77</v>
      </c>
    </row>
    <row r="450" spans="9:20">
      <c r="I450">
        <v>0.84</v>
      </c>
      <c r="J450">
        <v>0.8</v>
      </c>
      <c r="K450">
        <v>0.76</v>
      </c>
      <c r="L450">
        <v>0.72</v>
      </c>
      <c r="M450">
        <v>0.68</v>
      </c>
      <c r="N450" s="14">
        <v>0.64</v>
      </c>
      <c r="O450">
        <v>0.6</v>
      </c>
      <c r="P450">
        <v>0.56000000000000005</v>
      </c>
      <c r="Q450">
        <v>0.52</v>
      </c>
      <c r="R450">
        <v>0.5</v>
      </c>
      <c r="S450">
        <v>0.5</v>
      </c>
      <c r="T450">
        <v>0.5</v>
      </c>
    </row>
    <row r="451" spans="9:20">
      <c r="I451">
        <v>1.41</v>
      </c>
      <c r="J451">
        <v>1.39</v>
      </c>
      <c r="K451">
        <v>1.37</v>
      </c>
      <c r="L451">
        <v>1.35</v>
      </c>
      <c r="M451">
        <v>1.33</v>
      </c>
      <c r="N451" s="14">
        <v>1.31</v>
      </c>
      <c r="O451">
        <v>1.29</v>
      </c>
      <c r="P451">
        <v>1.27</v>
      </c>
      <c r="Q451">
        <v>1.25</v>
      </c>
      <c r="R451">
        <v>1.23</v>
      </c>
      <c r="S451">
        <v>1.23</v>
      </c>
      <c r="T451">
        <v>1.23</v>
      </c>
    </row>
    <row r="452" spans="9:20">
      <c r="I452">
        <v>2.1800000000000002</v>
      </c>
      <c r="J452">
        <v>1.99</v>
      </c>
      <c r="K452">
        <v>1.79</v>
      </c>
      <c r="L452">
        <v>1.6</v>
      </c>
      <c r="M452">
        <v>1.41</v>
      </c>
      <c r="N452" s="14">
        <v>1.21</v>
      </c>
      <c r="O452">
        <v>1.02</v>
      </c>
      <c r="P452">
        <v>0.82</v>
      </c>
      <c r="Q452">
        <v>0.63</v>
      </c>
      <c r="R452">
        <v>0.43</v>
      </c>
      <c r="S452">
        <v>0.24</v>
      </c>
      <c r="T452">
        <v>0.1</v>
      </c>
    </row>
    <row r="453" spans="9:20">
      <c r="I453">
        <v>2.4300000000000002</v>
      </c>
      <c r="J453">
        <v>2.36</v>
      </c>
      <c r="K453">
        <v>2.29</v>
      </c>
      <c r="L453">
        <v>2.2200000000000002</v>
      </c>
      <c r="M453">
        <v>2.15</v>
      </c>
      <c r="N453" s="14">
        <v>2.08</v>
      </c>
      <c r="O453">
        <v>2.0099999999999998</v>
      </c>
      <c r="P453">
        <v>1.94</v>
      </c>
      <c r="Q453">
        <v>1.87</v>
      </c>
      <c r="R453">
        <v>1.8</v>
      </c>
      <c r="S453">
        <v>1.8</v>
      </c>
      <c r="T453">
        <v>1.8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88E3-6598-4C7D-8015-CC0212BBD768}">
  <dimension ref="A1:AK192"/>
  <sheetViews>
    <sheetView tabSelected="1" zoomScale="70" zoomScaleNormal="70" workbookViewId="0">
      <pane xSplit="1" ySplit="2" topLeftCell="AE58" activePane="bottomRight" state="frozen"/>
      <selection pane="bottomRight" activeCell="B64" sqref="B64:AK65"/>
      <selection pane="bottomLeft" activeCell="A3" sqref="A3"/>
      <selection pane="topRight" activeCell="B1" sqref="B1"/>
    </sheetView>
  </sheetViews>
  <sheetFormatPr defaultRowHeight="15"/>
  <cols>
    <col min="1" max="1" width="34.28515625" bestFit="1" customWidth="1"/>
    <col min="2" max="2" width="16" bestFit="1" customWidth="1"/>
    <col min="3" max="3" width="16" hidden="1" customWidth="1"/>
    <col min="4" max="4" width="16.28515625" hidden="1" customWidth="1"/>
    <col min="5" max="5" width="16" hidden="1" customWidth="1"/>
    <col min="6" max="12" width="16.28515625" hidden="1" customWidth="1"/>
    <col min="13" max="14" width="16.28515625" bestFit="1" customWidth="1"/>
    <col min="15" max="15" width="16.28515625" hidden="1" customWidth="1"/>
    <col min="16" max="16" width="16" hidden="1" customWidth="1"/>
    <col min="17" max="17" width="16.28515625" hidden="1" customWidth="1"/>
    <col min="18" max="18" width="16" hidden="1" customWidth="1"/>
    <col min="19" max="20" width="16.28515625" hidden="1" customWidth="1"/>
    <col min="21" max="21" width="16" hidden="1" customWidth="1"/>
    <col min="22" max="24" width="16.28515625" hidden="1" customWidth="1"/>
    <col min="25" max="25" width="16.28515625" bestFit="1" customWidth="1"/>
    <col min="26" max="26" width="16" bestFit="1" customWidth="1"/>
    <col min="27" max="28" width="16.28515625" bestFit="1" customWidth="1"/>
    <col min="29" max="30" width="16" bestFit="1" customWidth="1"/>
    <col min="31" max="32" width="16.28515625" bestFit="1" customWidth="1"/>
    <col min="33" max="33" width="16" bestFit="1" customWidth="1"/>
    <col min="34" max="34" width="16.28515625" bestFit="1" customWidth="1"/>
    <col min="35" max="35" width="16" bestFit="1" customWidth="1"/>
    <col min="36" max="37" width="16.28515625" bestFit="1" customWidth="1"/>
  </cols>
  <sheetData>
    <row r="1" spans="1:37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</row>
    <row r="2" spans="1:37">
      <c r="B2" s="2">
        <v>45681</v>
      </c>
      <c r="C2" s="2">
        <v>45712</v>
      </c>
      <c r="D2" s="2">
        <v>45740</v>
      </c>
      <c r="E2" s="2">
        <v>45771</v>
      </c>
      <c r="F2" s="2">
        <v>45801</v>
      </c>
      <c r="G2" s="2">
        <v>45832</v>
      </c>
      <c r="H2" s="2">
        <v>45862</v>
      </c>
      <c r="I2" s="2">
        <v>45893</v>
      </c>
      <c r="J2" s="2">
        <v>45924</v>
      </c>
      <c r="K2" s="2">
        <v>45954</v>
      </c>
      <c r="L2" s="2">
        <v>45985</v>
      </c>
      <c r="M2" s="2">
        <v>46015</v>
      </c>
      <c r="N2" s="2">
        <v>45682</v>
      </c>
      <c r="O2" s="2">
        <v>45713</v>
      </c>
      <c r="P2" s="2">
        <v>45741</v>
      </c>
      <c r="Q2" s="2">
        <v>45772</v>
      </c>
      <c r="R2" s="2">
        <v>45802</v>
      </c>
      <c r="S2" s="2">
        <v>45833</v>
      </c>
      <c r="T2" s="2">
        <v>45863</v>
      </c>
      <c r="U2" s="2">
        <v>45894</v>
      </c>
      <c r="V2" s="2">
        <v>45925</v>
      </c>
      <c r="W2" s="2">
        <v>45955</v>
      </c>
      <c r="X2" s="2">
        <v>45986</v>
      </c>
      <c r="Y2" s="2">
        <v>46016</v>
      </c>
      <c r="Z2" s="2">
        <v>45683</v>
      </c>
      <c r="AA2" s="2">
        <v>45714</v>
      </c>
      <c r="AB2" s="2">
        <v>45742</v>
      </c>
      <c r="AC2" s="2">
        <v>45773</v>
      </c>
      <c r="AD2" s="2">
        <v>45803</v>
      </c>
      <c r="AE2" s="2">
        <v>45834</v>
      </c>
      <c r="AF2" s="2">
        <v>45864</v>
      </c>
      <c r="AG2" s="2">
        <v>45895</v>
      </c>
      <c r="AH2" s="2">
        <v>45926</v>
      </c>
      <c r="AI2" s="2">
        <v>45956</v>
      </c>
      <c r="AJ2" s="2">
        <v>45987</v>
      </c>
      <c r="AK2" s="2">
        <v>46017</v>
      </c>
    </row>
    <row r="3" spans="1:37">
      <c r="A3" t="s">
        <v>1102</v>
      </c>
      <c r="B3" s="29">
        <v>2351232815</v>
      </c>
      <c r="C3" s="29">
        <v>2350023414</v>
      </c>
      <c r="D3" s="29">
        <v>2354340674</v>
      </c>
      <c r="E3" s="29">
        <v>2350961332</v>
      </c>
      <c r="F3" s="29">
        <v>2344600853</v>
      </c>
      <c r="G3" s="29">
        <v>2341109537</v>
      </c>
      <c r="H3" s="29">
        <v>2338287544</v>
      </c>
      <c r="I3" s="29">
        <v>2337785764</v>
      </c>
      <c r="J3" s="29">
        <v>2338198029</v>
      </c>
      <c r="K3" s="29">
        <v>2337179187</v>
      </c>
      <c r="L3" s="29">
        <v>2336398073</v>
      </c>
      <c r="M3" s="29">
        <v>2335496735</v>
      </c>
      <c r="N3" s="29">
        <v>2331400898</v>
      </c>
      <c r="O3" s="29">
        <v>2337522250</v>
      </c>
      <c r="P3" s="29">
        <v>2337581015</v>
      </c>
      <c r="Q3" s="29">
        <v>2336265235</v>
      </c>
      <c r="R3" s="29">
        <v>2337012922</v>
      </c>
      <c r="S3" s="29">
        <v>2338672195</v>
      </c>
      <c r="T3" s="29">
        <v>2342357859</v>
      </c>
      <c r="U3" s="29">
        <v>2349062917</v>
      </c>
      <c r="V3" s="29">
        <v>2355692921</v>
      </c>
      <c r="W3" s="29">
        <v>2364846061</v>
      </c>
      <c r="X3" s="29">
        <v>2373508467</v>
      </c>
      <c r="Y3" s="29">
        <v>2381749574</v>
      </c>
      <c r="Z3" s="29">
        <v>2479140167</v>
      </c>
      <c r="AA3" s="29">
        <v>2484996475</v>
      </c>
      <c r="AB3" s="29">
        <v>2491536283</v>
      </c>
      <c r="AC3" s="29">
        <v>2498180394</v>
      </c>
      <c r="AD3" s="29">
        <v>2505477244</v>
      </c>
      <c r="AE3" s="29">
        <v>2512886618</v>
      </c>
      <c r="AF3" s="29">
        <v>2521102736</v>
      </c>
      <c r="AG3" s="29">
        <v>2529837773</v>
      </c>
      <c r="AH3" s="29">
        <v>2538673095</v>
      </c>
      <c r="AI3" s="29">
        <v>2548030966</v>
      </c>
      <c r="AJ3" s="29">
        <v>2557137507</v>
      </c>
      <c r="AK3" s="29">
        <v>2566418670</v>
      </c>
    </row>
    <row r="4" spans="1:37">
      <c r="A4" t="s">
        <v>1103</v>
      </c>
      <c r="B4" s="29">
        <v>3398382</v>
      </c>
      <c r="C4" s="29">
        <v>6667630</v>
      </c>
      <c r="D4" s="29">
        <v>10267137</v>
      </c>
      <c r="E4" s="29">
        <v>13842016</v>
      </c>
      <c r="F4" s="29">
        <v>17661123</v>
      </c>
      <c r="G4" s="29">
        <v>21436896</v>
      </c>
      <c r="H4" s="29">
        <v>25344353</v>
      </c>
      <c r="I4" s="29">
        <v>29099780</v>
      </c>
      <c r="J4" s="29">
        <v>32623293</v>
      </c>
      <c r="K4" s="29">
        <v>36219947</v>
      </c>
      <c r="L4" s="29">
        <v>39698774</v>
      </c>
      <c r="M4" s="29">
        <v>43296612</v>
      </c>
      <c r="N4" s="29">
        <v>3453158</v>
      </c>
      <c r="O4" s="29">
        <v>6456914</v>
      </c>
      <c r="P4" s="29">
        <v>9665270</v>
      </c>
      <c r="Q4" s="29">
        <v>12728426</v>
      </c>
      <c r="R4" s="29">
        <v>15880895</v>
      </c>
      <c r="S4" s="29">
        <v>18970950</v>
      </c>
      <c r="T4" s="29">
        <v>22292837</v>
      </c>
      <c r="U4" s="29">
        <v>25724139</v>
      </c>
      <c r="V4" s="29">
        <v>29437097</v>
      </c>
      <c r="W4" s="29">
        <v>33257728</v>
      </c>
      <c r="X4" s="29">
        <v>36982772</v>
      </c>
      <c r="Y4" s="29">
        <v>40924543</v>
      </c>
      <c r="Z4" s="29">
        <v>3937536</v>
      </c>
      <c r="AA4" s="29">
        <v>7432634</v>
      </c>
      <c r="AB4" s="29">
        <v>11300459</v>
      </c>
      <c r="AC4" s="29">
        <v>15048424</v>
      </c>
      <c r="AD4" s="29">
        <v>18925314</v>
      </c>
      <c r="AE4" s="29">
        <v>22569688</v>
      </c>
      <c r="AF4" s="29">
        <v>26339690</v>
      </c>
      <c r="AG4" s="29">
        <v>30137648</v>
      </c>
      <c r="AH4" s="29">
        <v>33736924</v>
      </c>
      <c r="AI4" s="29">
        <v>37480235</v>
      </c>
      <c r="AJ4" s="29">
        <v>41136230</v>
      </c>
      <c r="AK4" s="29">
        <v>44944915</v>
      </c>
    </row>
    <row r="5" spans="1:37">
      <c r="A5" t="s">
        <v>1104</v>
      </c>
      <c r="B5" s="29">
        <v>751089</v>
      </c>
      <c r="C5" s="29">
        <v>1267164</v>
      </c>
      <c r="D5" s="29">
        <v>1893355</v>
      </c>
      <c r="E5" s="29">
        <v>2390970</v>
      </c>
      <c r="F5" s="29">
        <v>2864112</v>
      </c>
      <c r="G5" s="29">
        <v>3268985</v>
      </c>
      <c r="H5" s="29">
        <v>3672622</v>
      </c>
      <c r="I5" s="29">
        <v>4083957</v>
      </c>
      <c r="J5" s="29">
        <v>4486248</v>
      </c>
      <c r="K5" s="29">
        <v>4891254</v>
      </c>
      <c r="L5" s="29">
        <v>5285250</v>
      </c>
      <c r="M5" s="29">
        <v>5690734</v>
      </c>
      <c r="N5" s="29">
        <v>405732</v>
      </c>
      <c r="O5" s="29">
        <v>774218</v>
      </c>
      <c r="P5" s="29">
        <v>1176657</v>
      </c>
      <c r="Q5" s="29">
        <v>1568532</v>
      </c>
      <c r="R5" s="29">
        <v>2293249</v>
      </c>
      <c r="S5" s="29">
        <v>3594698</v>
      </c>
      <c r="T5" s="29">
        <v>4934598</v>
      </c>
      <c r="U5" s="29">
        <v>5960141</v>
      </c>
      <c r="V5" s="29">
        <v>6632635</v>
      </c>
      <c r="W5" s="29">
        <v>7529189</v>
      </c>
      <c r="X5" s="29">
        <v>7985862</v>
      </c>
      <c r="Y5" s="29">
        <v>8283968</v>
      </c>
      <c r="Z5" s="29">
        <v>336643</v>
      </c>
      <c r="AA5" s="29">
        <v>640708</v>
      </c>
      <c r="AB5" s="29">
        <v>977351</v>
      </c>
      <c r="AC5" s="29">
        <v>1303134</v>
      </c>
      <c r="AD5" s="29">
        <v>1639777</v>
      </c>
      <c r="AE5" s="29">
        <v>1965561</v>
      </c>
      <c r="AF5" s="29">
        <v>2270779</v>
      </c>
      <c r="AG5" s="29">
        <v>2544573</v>
      </c>
      <c r="AH5" s="29">
        <v>2809535</v>
      </c>
      <c r="AI5" s="29">
        <v>3076640</v>
      </c>
      <c r="AJ5" s="29">
        <v>3328656</v>
      </c>
      <c r="AK5" s="29">
        <v>3589073</v>
      </c>
    </row>
    <row r="6" spans="1:37">
      <c r="A6" t="s">
        <v>1105</v>
      </c>
      <c r="B6" s="29">
        <v>6149404</v>
      </c>
      <c r="C6" s="29">
        <v>12270072</v>
      </c>
      <c r="D6" s="29">
        <v>17526748</v>
      </c>
      <c r="E6" s="29">
        <v>23890306</v>
      </c>
      <c r="F6" s="29">
        <v>30408857</v>
      </c>
      <c r="G6" s="29">
        <v>36296484</v>
      </c>
      <c r="H6" s="29">
        <v>42743067</v>
      </c>
      <c r="I6" s="29">
        <v>49271804</v>
      </c>
      <c r="J6" s="29">
        <v>55080921</v>
      </c>
      <c r="K6" s="29">
        <v>61381844</v>
      </c>
      <c r="L6" s="29">
        <v>67573169</v>
      </c>
      <c r="M6" s="29">
        <v>74038948</v>
      </c>
      <c r="N6" s="29">
        <v>6166233</v>
      </c>
      <c r="O6" s="29">
        <v>12283225</v>
      </c>
      <c r="P6" s="29">
        <v>18447045</v>
      </c>
      <c r="Q6" s="29">
        <v>23987036</v>
      </c>
      <c r="R6" s="29">
        <v>30935974</v>
      </c>
      <c r="S6" s="29">
        <v>37999392</v>
      </c>
      <c r="T6" s="29">
        <v>45620855</v>
      </c>
      <c r="U6" s="29">
        <v>51969089</v>
      </c>
      <c r="V6" s="29">
        <v>58267929</v>
      </c>
      <c r="W6" s="29">
        <v>65462629</v>
      </c>
      <c r="X6" s="29">
        <v>71716438</v>
      </c>
      <c r="Y6" s="29">
        <v>78528269</v>
      </c>
      <c r="Z6" s="29">
        <v>6828002</v>
      </c>
      <c r="AA6" s="29">
        <v>13435610</v>
      </c>
      <c r="AB6" s="29">
        <v>20379922</v>
      </c>
      <c r="AC6" s="29">
        <v>27455598</v>
      </c>
      <c r="AD6" s="29">
        <v>34713657</v>
      </c>
      <c r="AE6" s="29">
        <v>42030928</v>
      </c>
      <c r="AF6" s="29">
        <v>49812324</v>
      </c>
      <c r="AG6" s="29">
        <v>57333655</v>
      </c>
      <c r="AH6" s="29">
        <v>65025002</v>
      </c>
      <c r="AI6" s="29">
        <v>72938680</v>
      </c>
      <c r="AJ6" s="29">
        <v>80727158</v>
      </c>
      <c r="AK6" s="29">
        <v>88715057</v>
      </c>
    </row>
    <row r="7" spans="1:37">
      <c r="A7" t="s">
        <v>1106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</row>
    <row r="8" spans="1:37">
      <c r="A8" t="s">
        <v>1107</v>
      </c>
      <c r="B8" s="28">
        <v>8.1999999999999993</v>
      </c>
      <c r="C8" s="28">
        <v>8.11</v>
      </c>
      <c r="D8" s="28">
        <v>8.1199999999999992</v>
      </c>
      <c r="E8" s="28">
        <v>8.2799999999999994</v>
      </c>
      <c r="F8" s="28">
        <v>8.2799999999999994</v>
      </c>
      <c r="G8" s="28">
        <v>8.0299999999999994</v>
      </c>
      <c r="H8" s="28">
        <v>8.09</v>
      </c>
      <c r="I8" s="28">
        <v>8</v>
      </c>
      <c r="J8" s="28">
        <v>8.11</v>
      </c>
      <c r="K8" s="28">
        <v>8.15</v>
      </c>
      <c r="L8" s="28">
        <v>8.17</v>
      </c>
      <c r="M8" s="28">
        <v>8.25</v>
      </c>
      <c r="N8" s="28">
        <v>8.19</v>
      </c>
      <c r="O8" s="28">
        <v>8.1999999999999993</v>
      </c>
      <c r="P8" s="28">
        <v>8.2899999999999991</v>
      </c>
      <c r="Q8" s="28">
        <v>8.2899999999999991</v>
      </c>
      <c r="R8" s="28">
        <v>8.27</v>
      </c>
      <c r="S8" s="28">
        <v>8.27</v>
      </c>
      <c r="T8" s="28">
        <v>8.16</v>
      </c>
      <c r="U8" s="28">
        <v>8.16</v>
      </c>
      <c r="V8" s="28">
        <v>8.11</v>
      </c>
      <c r="W8" s="28">
        <v>8.07</v>
      </c>
      <c r="X8" s="28">
        <v>8.07</v>
      </c>
      <c r="Y8" s="28">
        <v>8.09</v>
      </c>
      <c r="Z8" s="28">
        <v>8.09</v>
      </c>
      <c r="AA8" s="28">
        <v>8.1</v>
      </c>
      <c r="AB8" s="28">
        <v>8.11</v>
      </c>
      <c r="AC8" s="28">
        <v>8.1</v>
      </c>
      <c r="AD8" s="28">
        <v>8.1</v>
      </c>
      <c r="AE8" s="28">
        <v>8.1</v>
      </c>
      <c r="AF8" s="28">
        <v>8.09</v>
      </c>
      <c r="AG8" s="28">
        <v>8.09</v>
      </c>
      <c r="AH8" s="28">
        <v>8.08</v>
      </c>
      <c r="AI8" s="28">
        <v>8.08</v>
      </c>
      <c r="AJ8" s="28">
        <v>8.09</v>
      </c>
      <c r="AK8" s="28">
        <v>8.11</v>
      </c>
    </row>
    <row r="9" spans="1:37">
      <c r="A9" t="s">
        <v>1108</v>
      </c>
      <c r="B9" s="28">
        <v>106.49</v>
      </c>
      <c r="C9" s="28">
        <v>106.09</v>
      </c>
      <c r="D9" s="28">
        <v>106.2</v>
      </c>
      <c r="E9" s="28">
        <v>105.84</v>
      </c>
      <c r="F9" s="28">
        <v>106.03</v>
      </c>
      <c r="G9" s="28">
        <v>105.96</v>
      </c>
      <c r="H9" s="28">
        <v>106.3</v>
      </c>
      <c r="I9" s="28">
        <v>106.53</v>
      </c>
      <c r="J9" s="28">
        <v>106.76</v>
      </c>
      <c r="K9" s="28">
        <v>106.33</v>
      </c>
      <c r="L9" s="28">
        <v>106.51</v>
      </c>
      <c r="M9" s="28">
        <v>106.3</v>
      </c>
      <c r="N9" s="28">
        <v>106.34</v>
      </c>
      <c r="O9" s="28">
        <v>106.61</v>
      </c>
      <c r="P9" s="28">
        <v>106.68</v>
      </c>
      <c r="Q9" s="28">
        <v>106.85</v>
      </c>
      <c r="R9" s="28">
        <v>106.7</v>
      </c>
      <c r="S9" s="28">
        <v>106.85</v>
      </c>
      <c r="T9" s="28">
        <v>106.63</v>
      </c>
      <c r="U9" s="28">
        <v>106.88</v>
      </c>
      <c r="V9" s="28">
        <v>106.9</v>
      </c>
      <c r="W9" s="28">
        <v>106.94</v>
      </c>
      <c r="X9" s="28">
        <v>107.03</v>
      </c>
      <c r="Y9" s="28">
        <v>107.32</v>
      </c>
      <c r="Z9" s="28">
        <v>107.41</v>
      </c>
      <c r="AA9" s="28">
        <v>107.46</v>
      </c>
      <c r="AB9" s="28">
        <v>107.53</v>
      </c>
      <c r="AC9" s="28">
        <v>107.61</v>
      </c>
      <c r="AD9" s="28">
        <v>107.66</v>
      </c>
      <c r="AE9" s="28">
        <v>107.71</v>
      </c>
      <c r="AF9" s="28">
        <v>107.75</v>
      </c>
      <c r="AG9" s="28">
        <v>107.79</v>
      </c>
      <c r="AH9" s="28">
        <v>107.81</v>
      </c>
      <c r="AI9" s="28">
        <v>107.85</v>
      </c>
      <c r="AJ9" s="28">
        <v>107.87</v>
      </c>
      <c r="AK9" s="28">
        <v>107.9</v>
      </c>
    </row>
    <row r="10" spans="1:37">
      <c r="A10" t="s">
        <v>1109</v>
      </c>
      <c r="B10" s="28">
        <v>10.45</v>
      </c>
      <c r="C10" s="28">
        <v>10.49</v>
      </c>
      <c r="D10" s="28">
        <v>10.56</v>
      </c>
      <c r="E10" s="28">
        <v>10.59</v>
      </c>
      <c r="F10" s="28">
        <v>10.61</v>
      </c>
      <c r="G10" s="28">
        <v>10.3</v>
      </c>
      <c r="H10" s="28">
        <v>10.32</v>
      </c>
      <c r="I10" s="28">
        <v>10.36</v>
      </c>
      <c r="J10" s="28">
        <v>10.42</v>
      </c>
      <c r="K10" s="28">
        <v>10.45</v>
      </c>
      <c r="L10" s="28">
        <v>10.5</v>
      </c>
      <c r="M10" s="28">
        <v>10.55</v>
      </c>
      <c r="N10" s="28">
        <v>10.57</v>
      </c>
      <c r="O10" s="28">
        <v>10.56</v>
      </c>
      <c r="P10" s="28">
        <v>10.58</v>
      </c>
      <c r="Q10" s="28">
        <v>10.55</v>
      </c>
      <c r="R10" s="28">
        <v>10.52</v>
      </c>
      <c r="S10" s="28">
        <v>10.48</v>
      </c>
      <c r="T10" s="28">
        <v>10.51</v>
      </c>
      <c r="U10" s="28">
        <v>10.63</v>
      </c>
      <c r="V10" s="28">
        <v>10.71</v>
      </c>
      <c r="W10" s="28">
        <v>10.35</v>
      </c>
      <c r="X10" s="28">
        <v>10.36</v>
      </c>
      <c r="Y10" s="28">
        <v>10.35</v>
      </c>
      <c r="Z10" s="28">
        <v>10.33</v>
      </c>
      <c r="AA10" s="28">
        <v>10.31</v>
      </c>
      <c r="AB10" s="28">
        <v>10.3</v>
      </c>
      <c r="AC10" s="28">
        <v>10.23</v>
      </c>
      <c r="AD10" s="28">
        <v>10.18</v>
      </c>
      <c r="AE10" s="28">
        <v>10.130000000000001</v>
      </c>
      <c r="AF10" s="28">
        <v>10.07</v>
      </c>
      <c r="AG10" s="28">
        <v>10.050000000000001</v>
      </c>
      <c r="AH10" s="28">
        <v>10.029999999999999</v>
      </c>
      <c r="AI10" s="28">
        <v>10.029999999999999</v>
      </c>
      <c r="AJ10" s="28">
        <v>10.050000000000001</v>
      </c>
      <c r="AK10" s="28">
        <v>10.08</v>
      </c>
    </row>
    <row r="11" spans="1:37">
      <c r="A11" t="s">
        <v>1110</v>
      </c>
      <c r="B11" s="28">
        <v>9.48</v>
      </c>
      <c r="C11" s="28">
        <v>7.21</v>
      </c>
      <c r="D11" s="28">
        <v>7.05</v>
      </c>
      <c r="E11" s="28">
        <v>7.52</v>
      </c>
      <c r="F11" s="28">
        <v>7.67</v>
      </c>
      <c r="G11" s="28">
        <v>7.96</v>
      </c>
      <c r="H11" s="28">
        <v>8.08</v>
      </c>
      <c r="I11" s="28">
        <v>8.17</v>
      </c>
      <c r="J11" s="28">
        <v>8.6199999999999992</v>
      </c>
      <c r="K11" s="28">
        <v>8.51</v>
      </c>
      <c r="L11" s="28">
        <v>8.68</v>
      </c>
      <c r="M11" s="28">
        <v>9.0399999999999991</v>
      </c>
      <c r="N11" s="28">
        <v>8.9600000000000009</v>
      </c>
      <c r="O11" s="28">
        <v>9.0299999999999994</v>
      </c>
      <c r="P11" s="28">
        <v>8.26</v>
      </c>
      <c r="Q11" s="28">
        <v>8.31</v>
      </c>
      <c r="R11" s="28">
        <v>8.65</v>
      </c>
      <c r="S11" s="28">
        <v>9.19</v>
      </c>
      <c r="T11" s="28">
        <v>8.35</v>
      </c>
      <c r="U11" s="28">
        <v>8.44</v>
      </c>
      <c r="V11" s="28">
        <v>8.4</v>
      </c>
      <c r="W11" s="28">
        <v>8.3800000000000008</v>
      </c>
      <c r="X11" s="28">
        <v>8.33</v>
      </c>
      <c r="Y11" s="28">
        <v>8.2899999999999991</v>
      </c>
      <c r="Z11" s="28">
        <v>8.25</v>
      </c>
      <c r="AA11" s="28">
        <v>8.2100000000000009</v>
      </c>
      <c r="AB11" s="28">
        <v>8.15</v>
      </c>
      <c r="AC11" s="28">
        <v>8.11</v>
      </c>
      <c r="AD11" s="28">
        <v>8.06</v>
      </c>
      <c r="AE11" s="28">
        <v>8.01</v>
      </c>
      <c r="AF11" s="28">
        <v>7.95</v>
      </c>
      <c r="AG11" s="28">
        <v>7.89</v>
      </c>
      <c r="AH11" s="28">
        <v>7.84</v>
      </c>
      <c r="AI11" s="28">
        <v>7.78</v>
      </c>
      <c r="AJ11" s="28">
        <v>7.72</v>
      </c>
      <c r="AK11" s="28">
        <v>7.66</v>
      </c>
    </row>
    <row r="12" spans="1:37">
      <c r="A12" t="s">
        <v>1111</v>
      </c>
      <c r="B12" s="28">
        <v>71.3</v>
      </c>
      <c r="C12" s="28">
        <v>53.65</v>
      </c>
      <c r="D12" s="28">
        <v>50.07</v>
      </c>
      <c r="E12" s="28">
        <v>52.97</v>
      </c>
      <c r="F12" s="28">
        <v>53.9</v>
      </c>
      <c r="G12" s="28">
        <v>44.75</v>
      </c>
      <c r="H12" s="28">
        <v>45.38</v>
      </c>
      <c r="I12" s="28">
        <v>46.61</v>
      </c>
      <c r="J12" s="28">
        <v>49.16</v>
      </c>
      <c r="K12" s="28">
        <v>48.9</v>
      </c>
      <c r="L12" s="28">
        <v>50.6</v>
      </c>
      <c r="M12" s="28">
        <v>52.08</v>
      </c>
      <c r="N12" s="28">
        <v>50.96</v>
      </c>
      <c r="O12" s="28">
        <v>50.58</v>
      </c>
      <c r="P12" s="28">
        <v>45.45</v>
      </c>
      <c r="Q12" s="28">
        <v>43.74</v>
      </c>
      <c r="R12" s="28">
        <v>45.16</v>
      </c>
      <c r="S12" s="28">
        <v>46.98</v>
      </c>
      <c r="T12" s="28">
        <v>43.15</v>
      </c>
      <c r="U12" s="28">
        <v>43.85</v>
      </c>
      <c r="V12" s="28">
        <v>42.32</v>
      </c>
      <c r="W12" s="28">
        <v>41.66</v>
      </c>
      <c r="X12" s="28">
        <v>41.41</v>
      </c>
      <c r="Y12" s="28">
        <v>41.14</v>
      </c>
      <c r="Z12" s="28">
        <v>40.85</v>
      </c>
      <c r="AA12" s="28">
        <v>40.5</v>
      </c>
      <c r="AB12" s="28">
        <v>40.119999999999997</v>
      </c>
      <c r="AC12" s="28">
        <v>39.590000000000003</v>
      </c>
      <c r="AD12" s="28">
        <v>39.24</v>
      </c>
      <c r="AE12" s="28">
        <v>38.82</v>
      </c>
      <c r="AF12" s="28">
        <v>38.479999999999997</v>
      </c>
      <c r="AG12" s="28">
        <v>38.11</v>
      </c>
      <c r="AH12" s="28">
        <v>37.79</v>
      </c>
      <c r="AI12" s="28">
        <v>37.630000000000003</v>
      </c>
      <c r="AJ12" s="28">
        <v>37.46</v>
      </c>
      <c r="AK12" s="28">
        <v>37.42</v>
      </c>
    </row>
    <row r="13" spans="1:37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</row>
    <row r="14" spans="1:37">
      <c r="A14" t="s">
        <v>1112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</row>
    <row r="15" spans="1:37">
      <c r="A15" t="s">
        <v>1113</v>
      </c>
      <c r="B15" s="28">
        <v>0.99</v>
      </c>
      <c r="C15" s="28">
        <v>0.76</v>
      </c>
      <c r="D15" s="28">
        <v>0.74</v>
      </c>
      <c r="E15" s="28">
        <v>0.8</v>
      </c>
      <c r="F15" s="28">
        <v>0.81</v>
      </c>
      <c r="G15" s="28">
        <v>0.82</v>
      </c>
      <c r="H15" s="28">
        <v>0.83</v>
      </c>
      <c r="I15" s="28">
        <v>0.85</v>
      </c>
      <c r="J15" s="28">
        <v>0.9</v>
      </c>
      <c r="K15" s="28">
        <v>0.89</v>
      </c>
      <c r="L15" s="28">
        <v>0.91</v>
      </c>
      <c r="M15" s="28">
        <v>0.95</v>
      </c>
      <c r="N15" s="28">
        <v>0.95</v>
      </c>
      <c r="O15" s="28">
        <v>0.95</v>
      </c>
      <c r="P15" s="28">
        <v>0.87</v>
      </c>
      <c r="Q15" s="28">
        <v>0.88</v>
      </c>
      <c r="R15" s="28">
        <v>0.91</v>
      </c>
      <c r="S15" s="28">
        <v>0.96</v>
      </c>
      <c r="T15" s="28">
        <v>0.88</v>
      </c>
      <c r="U15" s="28">
        <v>0.9</v>
      </c>
      <c r="V15" s="28">
        <v>0.9</v>
      </c>
      <c r="W15" s="28">
        <v>0.87</v>
      </c>
      <c r="X15" s="28">
        <v>0.86</v>
      </c>
      <c r="Y15" s="28">
        <v>0.86</v>
      </c>
      <c r="Z15" s="28">
        <v>0.85</v>
      </c>
      <c r="AA15" s="28">
        <v>0.85</v>
      </c>
      <c r="AB15" s="28">
        <v>0.84</v>
      </c>
      <c r="AC15" s="28">
        <v>0.83</v>
      </c>
      <c r="AD15" s="28">
        <v>0.82</v>
      </c>
      <c r="AE15" s="28">
        <v>0.81</v>
      </c>
      <c r="AF15" s="28">
        <v>0.8</v>
      </c>
      <c r="AG15" s="28">
        <v>0.79</v>
      </c>
      <c r="AH15" s="28">
        <v>0.79</v>
      </c>
      <c r="AI15" s="28">
        <v>0.78</v>
      </c>
      <c r="AJ15" s="28">
        <v>0.78</v>
      </c>
      <c r="AK15" s="28">
        <v>0.77</v>
      </c>
    </row>
    <row r="16" spans="1:37">
      <c r="A16" t="s">
        <v>1114</v>
      </c>
      <c r="B16" s="28">
        <v>0.78</v>
      </c>
      <c r="C16" s="28">
        <v>0.57999999999999996</v>
      </c>
      <c r="D16" s="28">
        <v>0.56999999999999995</v>
      </c>
      <c r="E16" s="28">
        <v>0.62</v>
      </c>
      <c r="F16" s="28">
        <v>0.64</v>
      </c>
      <c r="G16" s="28">
        <v>0.64</v>
      </c>
      <c r="H16" s="28">
        <v>0.65</v>
      </c>
      <c r="I16" s="28">
        <v>0.65</v>
      </c>
      <c r="J16" s="28">
        <v>0.7</v>
      </c>
      <c r="K16" s="28">
        <v>0.69</v>
      </c>
      <c r="L16" s="28">
        <v>0.71</v>
      </c>
      <c r="M16" s="28">
        <v>0.75</v>
      </c>
      <c r="N16" s="28">
        <v>0.73</v>
      </c>
      <c r="O16" s="28">
        <v>0.74</v>
      </c>
      <c r="P16" s="28">
        <v>0.68</v>
      </c>
      <c r="Q16" s="28">
        <v>0.69</v>
      </c>
      <c r="R16" s="28">
        <v>0.71</v>
      </c>
      <c r="S16" s="28">
        <v>0.76</v>
      </c>
      <c r="T16" s="28">
        <v>0.68</v>
      </c>
      <c r="U16" s="28">
        <v>0.69</v>
      </c>
      <c r="V16" s="28">
        <v>0.68</v>
      </c>
      <c r="W16" s="28">
        <v>0.68</v>
      </c>
      <c r="X16" s="28">
        <v>0.67</v>
      </c>
      <c r="Y16" s="28">
        <v>0.67</v>
      </c>
      <c r="Z16" s="28">
        <v>0.67</v>
      </c>
      <c r="AA16" s="28">
        <v>0.66</v>
      </c>
      <c r="AB16" s="28">
        <v>0.66</v>
      </c>
      <c r="AC16" s="28">
        <v>0.66</v>
      </c>
      <c r="AD16" s="28">
        <v>0.65</v>
      </c>
      <c r="AE16" s="28">
        <v>0.65</v>
      </c>
      <c r="AF16" s="28">
        <v>0.64</v>
      </c>
      <c r="AG16" s="28">
        <v>0.64</v>
      </c>
      <c r="AH16" s="28">
        <v>0.63</v>
      </c>
      <c r="AI16" s="28">
        <v>0.63</v>
      </c>
      <c r="AJ16" s="28">
        <v>0.62</v>
      </c>
      <c r="AK16" s="28">
        <v>0.62</v>
      </c>
    </row>
    <row r="17" spans="1:37">
      <c r="A17" t="s">
        <v>1115</v>
      </c>
      <c r="B17" s="28">
        <v>0.08</v>
      </c>
      <c r="C17" s="28">
        <v>0.09</v>
      </c>
      <c r="D17" s="28">
        <v>0.08</v>
      </c>
      <c r="E17" s="28">
        <v>0.08</v>
      </c>
      <c r="F17" s="28">
        <v>0.09</v>
      </c>
      <c r="G17" s="28">
        <v>0.1</v>
      </c>
      <c r="H17" s="28">
        <v>0.1</v>
      </c>
      <c r="I17" s="28">
        <v>0.1</v>
      </c>
      <c r="J17" s="28">
        <v>0.11</v>
      </c>
      <c r="K17" s="28">
        <v>0.11</v>
      </c>
      <c r="L17" s="28">
        <v>0.12</v>
      </c>
      <c r="M17" s="28">
        <v>0.1</v>
      </c>
      <c r="N17" s="28">
        <v>0.11</v>
      </c>
      <c r="O17" s="28">
        <v>0.12</v>
      </c>
      <c r="P17" s="28">
        <v>0.13</v>
      </c>
      <c r="Q17" s="28">
        <v>0.11</v>
      </c>
      <c r="R17" s="28">
        <v>0.13</v>
      </c>
      <c r="S17" s="28">
        <v>0.14000000000000001</v>
      </c>
      <c r="T17" s="28">
        <v>0.14000000000000001</v>
      </c>
      <c r="U17" s="28">
        <v>0.13</v>
      </c>
      <c r="V17" s="28">
        <v>0.13</v>
      </c>
      <c r="W17" s="28">
        <v>0.12</v>
      </c>
      <c r="X17" s="28">
        <v>0.12</v>
      </c>
      <c r="Y17" s="28">
        <v>0.12</v>
      </c>
      <c r="Z17" s="28">
        <v>0.12</v>
      </c>
      <c r="AA17" s="28">
        <v>0.11</v>
      </c>
      <c r="AB17" s="28">
        <v>0.11</v>
      </c>
      <c r="AC17" s="28">
        <v>0.11</v>
      </c>
      <c r="AD17" s="28">
        <v>0.11</v>
      </c>
      <c r="AE17" s="28">
        <v>0.11</v>
      </c>
      <c r="AF17" s="28">
        <v>0.11</v>
      </c>
      <c r="AG17" s="28">
        <v>0.1</v>
      </c>
      <c r="AH17" s="28">
        <v>0.1</v>
      </c>
      <c r="AI17" s="28">
        <v>0.1</v>
      </c>
      <c r="AJ17" s="28">
        <v>0.1</v>
      </c>
      <c r="AK17" s="28">
        <v>0.11</v>
      </c>
    </row>
    <row r="18" spans="1:37">
      <c r="A18" t="s">
        <v>1116</v>
      </c>
      <c r="B18" s="28">
        <v>-50.55</v>
      </c>
      <c r="C18" s="28">
        <v>-52.67</v>
      </c>
      <c r="D18" s="28">
        <v>-51.7</v>
      </c>
      <c r="E18" s="28">
        <v>-54.68</v>
      </c>
      <c r="F18" s="28">
        <v>-53.05</v>
      </c>
      <c r="G18" s="28">
        <v>-51.45</v>
      </c>
      <c r="H18" s="28">
        <v>-49.14</v>
      </c>
      <c r="I18" s="28">
        <v>-47.04</v>
      </c>
      <c r="J18" s="28">
        <v>-45.64</v>
      </c>
      <c r="K18" s="28">
        <v>-49.6</v>
      </c>
      <c r="L18" s="28">
        <v>-48.47</v>
      </c>
      <c r="M18" s="28">
        <v>-50.65</v>
      </c>
      <c r="N18" s="28">
        <v>-50.14</v>
      </c>
      <c r="O18" s="28">
        <v>-47.66</v>
      </c>
      <c r="P18" s="28">
        <v>-47.57</v>
      </c>
      <c r="Q18" s="28">
        <v>-46.64</v>
      </c>
      <c r="R18" s="28">
        <v>-48.03</v>
      </c>
      <c r="S18" s="28">
        <v>-46.28</v>
      </c>
      <c r="T18" s="28">
        <v>-47.03</v>
      </c>
      <c r="U18" s="28">
        <v>-45.14</v>
      </c>
      <c r="V18" s="28">
        <v>-26.48</v>
      </c>
      <c r="W18" s="28">
        <v>-40.53</v>
      </c>
      <c r="X18" s="28">
        <v>-37.57</v>
      </c>
      <c r="Y18" s="28">
        <v>-40.36</v>
      </c>
      <c r="Z18" s="28">
        <v>-39.83</v>
      </c>
      <c r="AA18" s="28">
        <v>-40.92</v>
      </c>
      <c r="AB18" s="28">
        <v>-41.55</v>
      </c>
      <c r="AC18" s="28">
        <v>-42.71</v>
      </c>
      <c r="AD18" s="28">
        <v>-43.53</v>
      </c>
      <c r="AE18" s="28">
        <v>-44.01</v>
      </c>
      <c r="AF18" s="28">
        <v>-44.67</v>
      </c>
      <c r="AG18" s="28">
        <v>-44.54</v>
      </c>
      <c r="AH18" s="28">
        <v>-44.17</v>
      </c>
      <c r="AI18" s="28">
        <v>-43.64</v>
      </c>
      <c r="AJ18" s="28">
        <v>-43.21</v>
      </c>
      <c r="AK18" s="28">
        <v>-42.25</v>
      </c>
    </row>
    <row r="19" spans="1:37">
      <c r="A19" t="s">
        <v>1117</v>
      </c>
      <c r="B19" s="29">
        <v>2285151902</v>
      </c>
      <c r="C19" s="29">
        <v>2270821862</v>
      </c>
      <c r="D19" s="29">
        <v>2285061375</v>
      </c>
      <c r="E19" s="29">
        <v>2276781664</v>
      </c>
      <c r="F19" s="29">
        <v>2262799454</v>
      </c>
      <c r="G19" s="29">
        <v>2266738200</v>
      </c>
      <c r="H19" s="29">
        <v>2257998485</v>
      </c>
      <c r="I19" s="29">
        <v>2268980050</v>
      </c>
      <c r="J19" s="29">
        <v>2272090506</v>
      </c>
      <c r="K19" s="29">
        <v>2252071032</v>
      </c>
      <c r="L19" s="29">
        <v>2261938659</v>
      </c>
      <c r="M19" s="29">
        <v>2268092137</v>
      </c>
      <c r="N19" s="29">
        <v>2273712775</v>
      </c>
      <c r="O19" s="29">
        <v>2285053671</v>
      </c>
      <c r="P19" s="29">
        <v>2269992361</v>
      </c>
      <c r="Q19" s="29">
        <v>2260084265</v>
      </c>
      <c r="R19" s="29">
        <v>2278236216</v>
      </c>
      <c r="S19" s="29">
        <v>2283925488</v>
      </c>
      <c r="T19" s="29">
        <v>2280563752</v>
      </c>
      <c r="U19" s="29">
        <v>2316307427</v>
      </c>
      <c r="V19" s="29">
        <v>2347903713</v>
      </c>
      <c r="W19" s="29">
        <v>2382338209</v>
      </c>
      <c r="X19" s="29">
        <v>2396342532</v>
      </c>
      <c r="Y19" s="29">
        <v>2405821879</v>
      </c>
      <c r="Z19" s="29">
        <v>2414798132</v>
      </c>
      <c r="AA19" s="29">
        <v>2426482312</v>
      </c>
      <c r="AB19" s="29">
        <v>2439956637</v>
      </c>
      <c r="AC19" s="29">
        <v>2455434558</v>
      </c>
      <c r="AD19" s="29">
        <v>2472077183</v>
      </c>
      <c r="AE19" s="29">
        <v>2488905024</v>
      </c>
      <c r="AF19" s="29">
        <v>2508685857</v>
      </c>
      <c r="AG19" s="29">
        <v>2529724771</v>
      </c>
      <c r="AH19" s="29">
        <v>2548785467</v>
      </c>
      <c r="AI19" s="29">
        <v>2566398026</v>
      </c>
      <c r="AJ19" s="29">
        <v>2584254969</v>
      </c>
      <c r="AK19" s="29">
        <v>2600644163</v>
      </c>
    </row>
    <row r="20" spans="1:37">
      <c r="A20" t="s">
        <v>1118</v>
      </c>
      <c r="B20" s="29">
        <v>2028461004</v>
      </c>
      <c r="C20" s="29">
        <v>2055931902</v>
      </c>
      <c r="D20" s="29">
        <v>2090252186</v>
      </c>
      <c r="E20" s="29">
        <v>2077174169</v>
      </c>
      <c r="F20" s="29">
        <v>2066678607</v>
      </c>
      <c r="G20" s="29">
        <v>2079005596</v>
      </c>
      <c r="H20" s="29">
        <v>2072624550</v>
      </c>
      <c r="I20" s="29">
        <v>2079229837</v>
      </c>
      <c r="J20" s="29">
        <v>2081331970</v>
      </c>
      <c r="K20" s="29">
        <v>2072384674</v>
      </c>
      <c r="L20" s="29">
        <v>2073775265</v>
      </c>
      <c r="M20" s="29">
        <v>2071244836</v>
      </c>
      <c r="N20" s="29">
        <v>2079246228</v>
      </c>
      <c r="O20" s="29">
        <v>2086191084</v>
      </c>
      <c r="P20" s="29">
        <v>2076184668</v>
      </c>
      <c r="Q20" s="29">
        <v>2071344555</v>
      </c>
      <c r="R20" s="29">
        <v>2072620191</v>
      </c>
      <c r="S20" s="29">
        <v>2090651466</v>
      </c>
      <c r="T20" s="29">
        <v>2127579312</v>
      </c>
      <c r="U20" s="29">
        <v>2151687487</v>
      </c>
      <c r="V20" s="29">
        <v>2146041531</v>
      </c>
      <c r="W20" s="29">
        <v>2167399515</v>
      </c>
      <c r="X20" s="29">
        <v>2192553885</v>
      </c>
      <c r="Y20" s="29">
        <v>2197374721</v>
      </c>
      <c r="Z20" s="29">
        <v>2189898238</v>
      </c>
      <c r="AA20" s="29">
        <v>2199969990</v>
      </c>
      <c r="AB20" s="29">
        <v>2210372157</v>
      </c>
      <c r="AC20" s="29">
        <v>2221956944</v>
      </c>
      <c r="AD20" s="29">
        <v>2235125373</v>
      </c>
      <c r="AE20" s="29">
        <v>2249382293</v>
      </c>
      <c r="AF20" s="29">
        <v>2265952594</v>
      </c>
      <c r="AG20" s="29">
        <v>2284148832</v>
      </c>
      <c r="AH20" s="29">
        <v>2302638700</v>
      </c>
      <c r="AI20" s="29">
        <v>2320749241</v>
      </c>
      <c r="AJ20" s="29">
        <v>2337785596</v>
      </c>
      <c r="AK20" s="29">
        <v>2352967293</v>
      </c>
    </row>
    <row r="21" spans="1:37">
      <c r="A21" t="s">
        <v>1119</v>
      </c>
      <c r="B21" s="28">
        <v>97.19</v>
      </c>
      <c r="C21" s="28">
        <v>96.68</v>
      </c>
      <c r="D21" s="28">
        <v>96.71</v>
      </c>
      <c r="E21" s="28">
        <v>97.27</v>
      </c>
      <c r="F21" s="28">
        <v>97.54</v>
      </c>
      <c r="G21" s="28">
        <v>97.56</v>
      </c>
      <c r="H21" s="28">
        <v>97.26</v>
      </c>
      <c r="I21" s="28">
        <v>97.2</v>
      </c>
      <c r="J21" s="28">
        <v>97.03</v>
      </c>
      <c r="K21" s="28">
        <v>96.73</v>
      </c>
      <c r="L21" s="28">
        <v>97.14</v>
      </c>
      <c r="M21" s="28">
        <v>97.52</v>
      </c>
      <c r="N21" s="28">
        <v>97.53</v>
      </c>
      <c r="O21" s="28">
        <v>97.47</v>
      </c>
      <c r="P21" s="28">
        <v>97.1</v>
      </c>
      <c r="Q21" s="28">
        <v>96.9</v>
      </c>
      <c r="R21" s="28">
        <v>97.36</v>
      </c>
      <c r="S21" s="28">
        <v>97.31</v>
      </c>
      <c r="T21" s="28">
        <v>96.48</v>
      </c>
      <c r="U21" s="28">
        <v>96.72</v>
      </c>
      <c r="V21" s="28">
        <v>97.45</v>
      </c>
      <c r="W21" s="28">
        <v>97.42</v>
      </c>
      <c r="X21" s="28">
        <v>97.36</v>
      </c>
      <c r="Y21" s="28">
        <v>97.38</v>
      </c>
      <c r="Z21" s="28">
        <v>97.4</v>
      </c>
      <c r="AA21" s="28">
        <v>97.39</v>
      </c>
      <c r="AB21" s="28">
        <v>97.44</v>
      </c>
      <c r="AC21" s="28">
        <v>97.51</v>
      </c>
      <c r="AD21" s="28">
        <v>97.57</v>
      </c>
      <c r="AE21" s="28">
        <v>97.6</v>
      </c>
      <c r="AF21" s="28">
        <v>97.65</v>
      </c>
      <c r="AG21" s="28">
        <v>97.69</v>
      </c>
      <c r="AH21" s="28">
        <v>97.65</v>
      </c>
      <c r="AI21" s="28">
        <v>97.57</v>
      </c>
      <c r="AJ21" s="28">
        <v>97.54</v>
      </c>
      <c r="AK21" s="28">
        <v>97.53</v>
      </c>
    </row>
    <row r="22" spans="1:37">
      <c r="A22" t="s">
        <v>1120</v>
      </c>
      <c r="B22" s="28">
        <v>2.81</v>
      </c>
      <c r="C22" s="28">
        <v>3.32</v>
      </c>
      <c r="D22" s="28">
        <v>3.29</v>
      </c>
      <c r="E22" s="28">
        <v>2.73</v>
      </c>
      <c r="F22" s="28">
        <v>2.46</v>
      </c>
      <c r="G22" s="28">
        <v>2.44</v>
      </c>
      <c r="H22" s="28">
        <v>2.74</v>
      </c>
      <c r="I22" s="28">
        <v>2.8</v>
      </c>
      <c r="J22" s="28">
        <v>2.97</v>
      </c>
      <c r="K22" s="28">
        <v>3.27</v>
      </c>
      <c r="L22" s="28">
        <v>2.86</v>
      </c>
      <c r="M22" s="28">
        <v>2.48</v>
      </c>
      <c r="N22" s="28">
        <v>2.4700000000000002</v>
      </c>
      <c r="O22" s="28">
        <v>2.5299999999999998</v>
      </c>
      <c r="P22" s="28">
        <v>2.9</v>
      </c>
      <c r="Q22" s="28">
        <v>3.1</v>
      </c>
      <c r="R22" s="28">
        <v>2.64</v>
      </c>
      <c r="S22" s="28">
        <v>2.69</v>
      </c>
      <c r="T22" s="28">
        <v>3.52</v>
      </c>
      <c r="U22" s="28">
        <v>3.28</v>
      </c>
      <c r="V22" s="28">
        <v>2.5499999999999998</v>
      </c>
      <c r="W22" s="28">
        <v>2.58</v>
      </c>
      <c r="X22" s="28">
        <v>2.64</v>
      </c>
      <c r="Y22" s="28">
        <v>2.62</v>
      </c>
      <c r="Z22" s="28">
        <v>2.6</v>
      </c>
      <c r="AA22" s="28">
        <v>2.61</v>
      </c>
      <c r="AB22" s="28">
        <v>2.56</v>
      </c>
      <c r="AC22" s="28">
        <v>2.4900000000000002</v>
      </c>
      <c r="AD22" s="28">
        <v>2.4300000000000002</v>
      </c>
      <c r="AE22" s="28">
        <v>2.4</v>
      </c>
      <c r="AF22" s="28">
        <v>2.35</v>
      </c>
      <c r="AG22" s="28">
        <v>2.31</v>
      </c>
      <c r="AH22" s="28">
        <v>2.35</v>
      </c>
      <c r="AI22" s="28">
        <v>2.4300000000000002</v>
      </c>
      <c r="AJ22" s="28">
        <v>2.46</v>
      </c>
      <c r="AK22" s="28">
        <v>2.4700000000000002</v>
      </c>
    </row>
    <row r="23" spans="1:37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</row>
    <row r="24" spans="1:37">
      <c r="A24" t="s">
        <v>1121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</row>
    <row r="25" spans="1:37">
      <c r="A25" t="s">
        <v>1122</v>
      </c>
      <c r="B25" s="28">
        <v>5.36</v>
      </c>
      <c r="C25" s="28">
        <v>5.4</v>
      </c>
      <c r="D25" s="28">
        <v>5.38</v>
      </c>
      <c r="E25" s="28">
        <v>5.38</v>
      </c>
      <c r="F25" s="28">
        <v>5.58</v>
      </c>
      <c r="G25" s="28">
        <v>5.51</v>
      </c>
      <c r="H25" s="28">
        <v>5.54</v>
      </c>
      <c r="I25" s="28">
        <v>5.65</v>
      </c>
      <c r="J25" s="28">
        <v>5.6</v>
      </c>
      <c r="K25" s="28">
        <v>5.58</v>
      </c>
      <c r="L25" s="28">
        <v>5.62</v>
      </c>
      <c r="M25" s="28">
        <v>5.71</v>
      </c>
      <c r="N25" s="28">
        <v>5.59</v>
      </c>
      <c r="O25" s="28">
        <v>5.57</v>
      </c>
      <c r="P25" s="28">
        <v>5.72</v>
      </c>
      <c r="Q25" s="28">
        <v>5.71</v>
      </c>
      <c r="R25" s="28">
        <v>5.96</v>
      </c>
      <c r="S25" s="28">
        <v>6.28</v>
      </c>
      <c r="T25" s="28">
        <v>6.3</v>
      </c>
      <c r="U25" s="28">
        <v>6.13</v>
      </c>
      <c r="V25" s="28">
        <v>6.13</v>
      </c>
      <c r="W25" s="28">
        <v>6.33</v>
      </c>
      <c r="X25" s="28">
        <v>5.93</v>
      </c>
      <c r="Y25" s="28">
        <v>5.91</v>
      </c>
      <c r="Z25" s="28">
        <v>5.91</v>
      </c>
      <c r="AA25" s="28">
        <v>5.9</v>
      </c>
      <c r="AB25" s="28">
        <v>5.89</v>
      </c>
      <c r="AC25" s="28">
        <v>5.89</v>
      </c>
      <c r="AD25" s="28">
        <v>5.9</v>
      </c>
      <c r="AE25" s="28">
        <v>5.89</v>
      </c>
      <c r="AF25" s="28">
        <v>5.9</v>
      </c>
      <c r="AG25" s="28">
        <v>5.91</v>
      </c>
      <c r="AH25" s="28">
        <v>5.89</v>
      </c>
      <c r="AI25" s="28">
        <v>5.88</v>
      </c>
      <c r="AJ25" s="28">
        <v>5.88</v>
      </c>
      <c r="AK25" s="28">
        <v>5.86</v>
      </c>
    </row>
    <row r="26" spans="1:37">
      <c r="A26" t="s">
        <v>1123</v>
      </c>
      <c r="B26" s="28">
        <v>2.08</v>
      </c>
      <c r="C26" s="28">
        <v>2.0299999999999998</v>
      </c>
      <c r="D26" s="28">
        <v>2.11</v>
      </c>
      <c r="E26" s="28">
        <v>2.12</v>
      </c>
      <c r="F26" s="28">
        <v>2.1800000000000002</v>
      </c>
      <c r="G26" s="28">
        <v>2.19</v>
      </c>
      <c r="H26" s="28">
        <v>2.19</v>
      </c>
      <c r="I26" s="28">
        <v>2.1</v>
      </c>
      <c r="J26" s="28">
        <v>2.04</v>
      </c>
      <c r="K26" s="28">
        <v>2.0299999999999998</v>
      </c>
      <c r="L26" s="28">
        <v>2.0299999999999998</v>
      </c>
      <c r="M26" s="28">
        <v>2.0299999999999998</v>
      </c>
      <c r="N26" s="28">
        <v>1.95</v>
      </c>
      <c r="O26" s="28">
        <v>1.88</v>
      </c>
      <c r="P26" s="28">
        <v>1.82</v>
      </c>
      <c r="Q26" s="28">
        <v>1.8</v>
      </c>
      <c r="R26" s="28">
        <v>1.95</v>
      </c>
      <c r="S26" s="28">
        <v>2.2799999999999998</v>
      </c>
      <c r="T26" s="28">
        <v>2.3199999999999998</v>
      </c>
      <c r="U26" s="28">
        <v>2.19</v>
      </c>
      <c r="V26" s="28">
        <v>2.21</v>
      </c>
      <c r="W26" s="28">
        <v>2.27</v>
      </c>
      <c r="X26" s="28">
        <v>2.0699999999999998</v>
      </c>
      <c r="Y26" s="28">
        <v>2.02</v>
      </c>
      <c r="Z26" s="28">
        <v>2.0299999999999998</v>
      </c>
      <c r="AA26" s="28">
        <v>1.99</v>
      </c>
      <c r="AB26" s="28">
        <v>1.98</v>
      </c>
      <c r="AC26" s="28">
        <v>1.97</v>
      </c>
      <c r="AD26" s="28">
        <v>1.96</v>
      </c>
      <c r="AE26" s="28">
        <v>1.89</v>
      </c>
      <c r="AF26" s="28">
        <v>1.87</v>
      </c>
      <c r="AG26" s="28">
        <v>1.85</v>
      </c>
      <c r="AH26" s="28">
        <v>1.8</v>
      </c>
      <c r="AI26" s="28">
        <v>1.8</v>
      </c>
      <c r="AJ26" s="28">
        <v>1.79</v>
      </c>
      <c r="AK26" s="28">
        <v>1.8</v>
      </c>
    </row>
    <row r="27" spans="1:37">
      <c r="A27" t="s">
        <v>1124</v>
      </c>
      <c r="B27" s="28">
        <v>3.27</v>
      </c>
      <c r="C27" s="28">
        <v>3.37</v>
      </c>
      <c r="D27" s="28">
        <v>3.27</v>
      </c>
      <c r="E27" s="28">
        <v>3.26</v>
      </c>
      <c r="F27" s="28">
        <v>3.39</v>
      </c>
      <c r="G27" s="28">
        <v>3.32</v>
      </c>
      <c r="H27" s="28">
        <v>3.35</v>
      </c>
      <c r="I27" s="28">
        <v>3.54</v>
      </c>
      <c r="J27" s="28">
        <v>3.56</v>
      </c>
      <c r="K27" s="28">
        <v>3.55</v>
      </c>
      <c r="L27" s="28">
        <v>3.59</v>
      </c>
      <c r="M27" s="28">
        <v>3.68</v>
      </c>
      <c r="N27" s="28">
        <v>3.64</v>
      </c>
      <c r="O27" s="28">
        <v>3.7</v>
      </c>
      <c r="P27" s="28">
        <v>3.91</v>
      </c>
      <c r="Q27" s="28">
        <v>3.91</v>
      </c>
      <c r="R27" s="28">
        <v>4.01</v>
      </c>
      <c r="S27" s="28">
        <v>4.01</v>
      </c>
      <c r="T27" s="28">
        <v>3.98</v>
      </c>
      <c r="U27" s="28">
        <v>3.94</v>
      </c>
      <c r="V27" s="28">
        <v>3.92</v>
      </c>
      <c r="W27" s="28">
        <v>4.0599999999999996</v>
      </c>
      <c r="X27" s="28">
        <v>3.87</v>
      </c>
      <c r="Y27" s="28">
        <v>3.89</v>
      </c>
      <c r="Z27" s="28">
        <v>3.88</v>
      </c>
      <c r="AA27" s="28">
        <v>3.92</v>
      </c>
      <c r="AB27" s="28">
        <v>3.92</v>
      </c>
      <c r="AC27" s="28">
        <v>3.92</v>
      </c>
      <c r="AD27" s="28">
        <v>3.94</v>
      </c>
      <c r="AE27" s="28">
        <v>4</v>
      </c>
      <c r="AF27" s="28">
        <v>4.03</v>
      </c>
      <c r="AG27" s="28">
        <v>4.0599999999999996</v>
      </c>
      <c r="AH27" s="28">
        <v>4.09</v>
      </c>
      <c r="AI27" s="28">
        <v>4.09</v>
      </c>
      <c r="AJ27" s="28">
        <v>4.08</v>
      </c>
      <c r="AK27" s="28">
        <v>4.0599999999999996</v>
      </c>
    </row>
    <row r="28" spans="1:37">
      <c r="A28" t="s">
        <v>1125</v>
      </c>
      <c r="B28" s="28">
        <v>1.02</v>
      </c>
      <c r="C28" s="28">
        <v>0.94</v>
      </c>
      <c r="D28" s="28">
        <v>0.95</v>
      </c>
      <c r="E28" s="28">
        <v>1.06</v>
      </c>
      <c r="F28" s="28">
        <v>1.05</v>
      </c>
      <c r="G28" s="28">
        <v>1</v>
      </c>
      <c r="H28" s="28">
        <v>1.27</v>
      </c>
      <c r="I28" s="28">
        <v>1.06</v>
      </c>
      <c r="J28" s="28">
        <v>0.98</v>
      </c>
      <c r="K28" s="28">
        <v>1.04</v>
      </c>
      <c r="L28" s="28">
        <v>1.05</v>
      </c>
      <c r="M28" s="28">
        <v>1.53</v>
      </c>
      <c r="N28" s="28">
        <v>1.06</v>
      </c>
      <c r="O28" s="28">
        <v>1.1200000000000001</v>
      </c>
      <c r="P28" s="28">
        <v>1.08</v>
      </c>
      <c r="Q28" s="28">
        <v>1.1100000000000001</v>
      </c>
      <c r="R28" s="28">
        <v>1.1100000000000001</v>
      </c>
      <c r="S28" s="28">
        <v>1.1100000000000001</v>
      </c>
      <c r="T28" s="28">
        <v>1.1299999999999999</v>
      </c>
      <c r="U28" s="28">
        <v>1.45</v>
      </c>
      <c r="V28" s="28">
        <v>1.61</v>
      </c>
      <c r="W28" s="28">
        <v>1.06</v>
      </c>
      <c r="X28" s="28">
        <v>1.05</v>
      </c>
      <c r="Y28" s="28">
        <v>1.04</v>
      </c>
      <c r="Z28" s="28">
        <v>1.1000000000000001</v>
      </c>
      <c r="AA28" s="28">
        <v>1.23</v>
      </c>
      <c r="AB28" s="28">
        <v>1.19</v>
      </c>
      <c r="AC28" s="28">
        <v>1.25</v>
      </c>
      <c r="AD28" s="28">
        <v>1.25</v>
      </c>
      <c r="AE28" s="28">
        <v>1.33</v>
      </c>
      <c r="AF28" s="28">
        <v>1.42</v>
      </c>
      <c r="AG28" s="28">
        <v>1.32</v>
      </c>
      <c r="AH28" s="28">
        <v>1.32</v>
      </c>
      <c r="AI28" s="28">
        <v>1.32</v>
      </c>
      <c r="AJ28" s="28">
        <v>1.32</v>
      </c>
      <c r="AK28" s="28">
        <v>1.32</v>
      </c>
    </row>
    <row r="29" spans="1:37">
      <c r="A29" t="s">
        <v>1126</v>
      </c>
      <c r="B29" s="28">
        <v>3.13</v>
      </c>
      <c r="C29" s="28">
        <v>3.15</v>
      </c>
      <c r="D29" s="28">
        <v>2.67</v>
      </c>
      <c r="E29" s="28">
        <v>3.27</v>
      </c>
      <c r="F29" s="28">
        <v>3.37</v>
      </c>
      <c r="G29" s="28">
        <v>3.05</v>
      </c>
      <c r="H29" s="28">
        <v>3.33</v>
      </c>
      <c r="I29" s="28">
        <v>3.35</v>
      </c>
      <c r="J29" s="28">
        <v>2.99</v>
      </c>
      <c r="K29" s="28">
        <v>3.24</v>
      </c>
      <c r="L29" s="28">
        <v>3.2</v>
      </c>
      <c r="M29" s="28">
        <v>3.33</v>
      </c>
      <c r="N29" s="28">
        <v>3.17</v>
      </c>
      <c r="O29" s="28">
        <v>3.17</v>
      </c>
      <c r="P29" s="28">
        <v>3.16</v>
      </c>
      <c r="Q29" s="28">
        <v>2.86</v>
      </c>
      <c r="R29" s="28">
        <v>3.56</v>
      </c>
      <c r="S29" s="28">
        <v>3.62</v>
      </c>
      <c r="T29" s="28">
        <v>3.86</v>
      </c>
      <c r="U29" s="28">
        <v>3.17</v>
      </c>
      <c r="V29" s="28">
        <v>3.15</v>
      </c>
      <c r="W29" s="28">
        <v>3.52</v>
      </c>
      <c r="X29" s="28">
        <v>3.06</v>
      </c>
      <c r="Y29" s="28">
        <v>3.3</v>
      </c>
      <c r="Z29" s="28">
        <v>3.3</v>
      </c>
      <c r="AA29" s="28">
        <v>3.22</v>
      </c>
      <c r="AB29" s="28">
        <v>3.32</v>
      </c>
      <c r="AC29" s="28">
        <v>3.38</v>
      </c>
      <c r="AD29" s="28">
        <v>3.43</v>
      </c>
      <c r="AE29" s="28">
        <v>3.45</v>
      </c>
      <c r="AF29" s="28">
        <v>3.62</v>
      </c>
      <c r="AG29" s="28">
        <v>3.48</v>
      </c>
      <c r="AH29" s="28">
        <v>3.54</v>
      </c>
      <c r="AI29" s="28">
        <v>3.6</v>
      </c>
      <c r="AJ29" s="28">
        <v>3.54</v>
      </c>
      <c r="AK29" s="28">
        <v>3.59</v>
      </c>
    </row>
    <row r="30" spans="1:37">
      <c r="A30" t="s">
        <v>1127</v>
      </c>
      <c r="B30" s="28">
        <v>1.1599999999999999</v>
      </c>
      <c r="C30" s="28">
        <v>1.1599999999999999</v>
      </c>
      <c r="D30" s="28">
        <v>1.56</v>
      </c>
      <c r="E30" s="28">
        <v>1.04</v>
      </c>
      <c r="F30" s="28">
        <v>1.08</v>
      </c>
      <c r="G30" s="28">
        <v>1.26</v>
      </c>
      <c r="H30" s="28">
        <v>1.29</v>
      </c>
      <c r="I30" s="28">
        <v>1.25</v>
      </c>
      <c r="J30" s="28">
        <v>1.55</v>
      </c>
      <c r="K30" s="28">
        <v>1.35</v>
      </c>
      <c r="L30" s="28">
        <v>1.44</v>
      </c>
      <c r="M30" s="28">
        <v>1.88</v>
      </c>
      <c r="N30" s="28">
        <v>1.53</v>
      </c>
      <c r="O30" s="28">
        <v>1.65</v>
      </c>
      <c r="P30" s="28">
        <v>1.83</v>
      </c>
      <c r="Q30" s="28">
        <v>2.16</v>
      </c>
      <c r="R30" s="28">
        <v>1.56</v>
      </c>
      <c r="S30" s="28">
        <v>1.5</v>
      </c>
      <c r="T30" s="28">
        <v>1.25</v>
      </c>
      <c r="U30" s="28">
        <v>2.2200000000000002</v>
      </c>
      <c r="V30" s="28">
        <v>2.38</v>
      </c>
      <c r="W30" s="28">
        <v>1.6</v>
      </c>
      <c r="X30" s="28">
        <v>1.86</v>
      </c>
      <c r="Y30" s="28">
        <v>1.63</v>
      </c>
      <c r="Z30" s="28">
        <v>1.68</v>
      </c>
      <c r="AA30" s="28">
        <v>1.92</v>
      </c>
      <c r="AB30" s="28">
        <v>1.78</v>
      </c>
      <c r="AC30" s="28">
        <v>1.79</v>
      </c>
      <c r="AD30" s="28">
        <v>1.77</v>
      </c>
      <c r="AE30" s="28">
        <v>1.88</v>
      </c>
      <c r="AF30" s="28">
        <v>1.82</v>
      </c>
      <c r="AG30" s="28">
        <v>1.9</v>
      </c>
      <c r="AH30" s="28">
        <v>1.87</v>
      </c>
      <c r="AI30" s="28">
        <v>1.8</v>
      </c>
      <c r="AJ30" s="28">
        <v>1.87</v>
      </c>
      <c r="AK30" s="28">
        <v>1.8</v>
      </c>
    </row>
    <row r="31" spans="1:37">
      <c r="A31" t="s">
        <v>1128</v>
      </c>
      <c r="B31" s="28">
        <v>1.18</v>
      </c>
      <c r="C31" s="28">
        <v>0.98</v>
      </c>
      <c r="D31" s="28">
        <v>1.47</v>
      </c>
      <c r="E31" s="28">
        <v>0.9</v>
      </c>
      <c r="F31" s="28">
        <v>1.05</v>
      </c>
      <c r="G31" s="28">
        <v>0.85</v>
      </c>
      <c r="H31" s="28">
        <v>1.1100000000000001</v>
      </c>
      <c r="I31" s="28">
        <v>0.89</v>
      </c>
      <c r="J31" s="28">
        <v>1.06</v>
      </c>
      <c r="K31" s="28">
        <v>1.17</v>
      </c>
      <c r="L31" s="28">
        <v>0.92</v>
      </c>
      <c r="M31" s="28">
        <v>1.35</v>
      </c>
      <c r="N31" s="28">
        <v>1.31</v>
      </c>
      <c r="O31" s="28">
        <v>1.25</v>
      </c>
      <c r="P31" s="28">
        <v>1.48</v>
      </c>
      <c r="Q31" s="28">
        <v>1.94</v>
      </c>
      <c r="R31" s="28">
        <v>1.46</v>
      </c>
      <c r="S31" s="28">
        <v>1.43</v>
      </c>
      <c r="T31" s="28">
        <v>1.05</v>
      </c>
      <c r="U31" s="28">
        <v>1.2</v>
      </c>
      <c r="V31" s="28">
        <v>1.87</v>
      </c>
      <c r="W31" s="28">
        <v>1.43</v>
      </c>
      <c r="X31" s="28">
        <v>1.24</v>
      </c>
      <c r="Y31" s="28">
        <v>1.24</v>
      </c>
      <c r="Z31" s="28">
        <v>1.25</v>
      </c>
      <c r="AA31" s="28">
        <v>1.18</v>
      </c>
      <c r="AB31" s="28">
        <v>1.2</v>
      </c>
      <c r="AC31" s="28">
        <v>1.27</v>
      </c>
      <c r="AD31" s="28">
        <v>1.19</v>
      </c>
      <c r="AE31" s="28">
        <v>1.23</v>
      </c>
      <c r="AF31" s="28">
        <v>1.19</v>
      </c>
      <c r="AG31" s="28">
        <v>1.2</v>
      </c>
      <c r="AH31" s="28">
        <v>1.18</v>
      </c>
      <c r="AI31" s="28">
        <v>1.1000000000000001</v>
      </c>
      <c r="AJ31" s="28">
        <v>1.1000000000000001</v>
      </c>
      <c r="AK31" s="28">
        <v>1.04</v>
      </c>
    </row>
    <row r="32" spans="1:37">
      <c r="A32" t="s">
        <v>1129</v>
      </c>
      <c r="B32" s="28">
        <v>1.18</v>
      </c>
      <c r="C32" s="28">
        <v>0.98</v>
      </c>
      <c r="D32" s="28">
        <v>1.47</v>
      </c>
      <c r="E32" s="28">
        <v>0.9</v>
      </c>
      <c r="F32" s="28">
        <v>1.05</v>
      </c>
      <c r="G32" s="28">
        <v>0.85</v>
      </c>
      <c r="H32" s="28">
        <v>1.1100000000000001</v>
      </c>
      <c r="I32" s="28">
        <v>0.89</v>
      </c>
      <c r="J32" s="28">
        <v>1.06</v>
      </c>
      <c r="K32" s="28">
        <v>1.17</v>
      </c>
      <c r="L32" s="28">
        <v>0.92</v>
      </c>
      <c r="M32" s="28">
        <v>1.35</v>
      </c>
      <c r="N32" s="28">
        <v>1.31</v>
      </c>
      <c r="O32" s="28">
        <v>1.25</v>
      </c>
      <c r="P32" s="28">
        <v>1.48</v>
      </c>
      <c r="Q32" s="28">
        <v>1.94</v>
      </c>
      <c r="R32" s="28">
        <v>1.46</v>
      </c>
      <c r="S32" s="28">
        <v>1.43</v>
      </c>
      <c r="T32" s="28">
        <v>1.05</v>
      </c>
      <c r="U32" s="28">
        <v>1.2</v>
      </c>
      <c r="V32" s="28">
        <v>1.87</v>
      </c>
      <c r="W32" s="28">
        <v>1.43</v>
      </c>
      <c r="X32" s="28">
        <v>1.24</v>
      </c>
      <c r="Y32" s="28">
        <v>1.24</v>
      </c>
      <c r="Z32" s="28">
        <v>1.25</v>
      </c>
      <c r="AA32" s="28">
        <v>1.18</v>
      </c>
      <c r="AB32" s="28">
        <v>1.2</v>
      </c>
      <c r="AC32" s="28">
        <v>1.27</v>
      </c>
      <c r="AD32" s="28">
        <v>1.19</v>
      </c>
      <c r="AE32" s="28">
        <v>1.23</v>
      </c>
      <c r="AF32" s="28">
        <v>1.19</v>
      </c>
      <c r="AG32" s="28">
        <v>1.2</v>
      </c>
      <c r="AH32" s="28">
        <v>1.18</v>
      </c>
      <c r="AI32" s="28">
        <v>1.1000000000000001</v>
      </c>
      <c r="AJ32" s="28">
        <v>1.1000000000000001</v>
      </c>
      <c r="AK32" s="28">
        <v>1.04</v>
      </c>
    </row>
    <row r="33" spans="1:37">
      <c r="A33" t="s">
        <v>1130</v>
      </c>
      <c r="B33" s="28">
        <v>-0.02</v>
      </c>
      <c r="C33" s="28">
        <v>0.18</v>
      </c>
      <c r="D33" s="28">
        <v>0.09</v>
      </c>
      <c r="E33" s="28">
        <v>0.14000000000000001</v>
      </c>
      <c r="F33" s="28">
        <v>0.02</v>
      </c>
      <c r="G33" s="28">
        <v>0.41</v>
      </c>
      <c r="H33" s="28">
        <v>0.18</v>
      </c>
      <c r="I33" s="28">
        <v>0.36</v>
      </c>
      <c r="J33" s="28">
        <v>0.5</v>
      </c>
      <c r="K33" s="28">
        <v>0.18</v>
      </c>
      <c r="L33" s="28">
        <v>0.52</v>
      </c>
      <c r="M33" s="28">
        <v>0.53</v>
      </c>
      <c r="N33" s="28">
        <v>0.22</v>
      </c>
      <c r="O33" s="28">
        <v>0.4</v>
      </c>
      <c r="P33" s="28">
        <v>0.34</v>
      </c>
      <c r="Q33" s="28">
        <v>0.22</v>
      </c>
      <c r="R33" s="28">
        <v>0.1</v>
      </c>
      <c r="S33" s="28">
        <v>0.06</v>
      </c>
      <c r="T33" s="28">
        <v>0.19</v>
      </c>
      <c r="U33" s="28">
        <v>1.02</v>
      </c>
      <c r="V33" s="28">
        <v>0.52</v>
      </c>
      <c r="W33" s="28">
        <v>0.18</v>
      </c>
      <c r="X33" s="28">
        <v>0.62</v>
      </c>
      <c r="Y33" s="28">
        <v>0.4</v>
      </c>
      <c r="Z33" s="28">
        <v>0.43</v>
      </c>
      <c r="AA33" s="28">
        <v>0.74</v>
      </c>
      <c r="AB33" s="28">
        <v>0.57999999999999996</v>
      </c>
      <c r="AC33" s="28">
        <v>0.52</v>
      </c>
      <c r="AD33" s="28">
        <v>0.57999999999999996</v>
      </c>
      <c r="AE33" s="28">
        <v>0.65</v>
      </c>
      <c r="AF33" s="28">
        <v>0.64</v>
      </c>
      <c r="AG33" s="28">
        <v>0.69</v>
      </c>
      <c r="AH33" s="28">
        <v>0.69</v>
      </c>
      <c r="AI33" s="28">
        <v>0.7</v>
      </c>
      <c r="AJ33" s="28">
        <v>0.77</v>
      </c>
      <c r="AK33" s="28">
        <v>0.75</v>
      </c>
    </row>
    <row r="34" spans="1:37">
      <c r="A34" t="s">
        <v>1131</v>
      </c>
      <c r="B34" s="28">
        <v>-0.02</v>
      </c>
      <c r="C34" s="28">
        <v>0.08</v>
      </c>
      <c r="D34" s="28">
        <v>0.08</v>
      </c>
      <c r="E34" s="28">
        <v>0.1</v>
      </c>
      <c r="F34" s="28">
        <v>0.08</v>
      </c>
      <c r="G34" s="28">
        <v>0.14000000000000001</v>
      </c>
      <c r="H34" s="28">
        <v>0.14000000000000001</v>
      </c>
      <c r="I34" s="28">
        <v>0.17</v>
      </c>
      <c r="J34" s="28">
        <v>0.21</v>
      </c>
      <c r="K34" s="28">
        <v>0.2</v>
      </c>
      <c r="L34" s="28">
        <v>0.23</v>
      </c>
      <c r="M34" s="28">
        <v>0.26</v>
      </c>
      <c r="N34" s="28">
        <v>0.22</v>
      </c>
      <c r="O34" s="28">
        <v>0.3</v>
      </c>
      <c r="P34" s="28">
        <v>0.32</v>
      </c>
      <c r="Q34" s="28">
        <v>0.28999999999999998</v>
      </c>
      <c r="R34" s="28">
        <v>0.25</v>
      </c>
      <c r="S34" s="28">
        <v>0.22</v>
      </c>
      <c r="T34" s="28">
        <v>0.22</v>
      </c>
      <c r="U34" s="28">
        <v>0.32</v>
      </c>
      <c r="V34" s="28">
        <v>0.34</v>
      </c>
      <c r="W34" s="28">
        <v>0.32</v>
      </c>
      <c r="X34" s="28">
        <v>0.35</v>
      </c>
      <c r="Y34" s="28">
        <v>0.36</v>
      </c>
      <c r="Z34" s="28">
        <v>0.43</v>
      </c>
      <c r="AA34" s="28">
        <v>0.57999999999999996</v>
      </c>
      <c r="AB34" s="28">
        <v>0.57999999999999996</v>
      </c>
      <c r="AC34" s="28">
        <v>0.56000000000000005</v>
      </c>
      <c r="AD34" s="28">
        <v>0.56999999999999995</v>
      </c>
      <c r="AE34" s="28">
        <v>0.57999999999999996</v>
      </c>
      <c r="AF34" s="28">
        <v>0.59</v>
      </c>
      <c r="AG34" s="28">
        <v>0.6</v>
      </c>
      <c r="AH34" s="28">
        <v>0.61</v>
      </c>
      <c r="AI34" s="28">
        <v>0.62</v>
      </c>
      <c r="AJ34" s="28">
        <v>0.63</v>
      </c>
      <c r="AK34" s="28">
        <v>0.65</v>
      </c>
    </row>
    <row r="35" spans="1:37">
      <c r="A35" t="s">
        <v>1132</v>
      </c>
      <c r="B35" s="28">
        <v>-0.02</v>
      </c>
      <c r="C35" s="28">
        <v>0.08</v>
      </c>
      <c r="D35" s="28">
        <v>0.08</v>
      </c>
      <c r="E35" s="28">
        <v>0.1</v>
      </c>
      <c r="F35" s="28">
        <v>0.08</v>
      </c>
      <c r="G35" s="28">
        <v>0.14000000000000001</v>
      </c>
      <c r="H35" s="28">
        <v>0.14000000000000001</v>
      </c>
      <c r="I35" s="28">
        <v>0.17</v>
      </c>
      <c r="J35" s="28">
        <v>0.21</v>
      </c>
      <c r="K35" s="28">
        <v>0.2</v>
      </c>
      <c r="L35" s="28">
        <v>0.23</v>
      </c>
      <c r="M35" s="28">
        <v>0.26</v>
      </c>
      <c r="N35" s="28">
        <v>0.22</v>
      </c>
      <c r="O35" s="28">
        <v>0.3</v>
      </c>
      <c r="P35" s="28">
        <v>0.32</v>
      </c>
      <c r="Q35" s="28">
        <v>0.28999999999999998</v>
      </c>
      <c r="R35" s="28">
        <v>0.25</v>
      </c>
      <c r="S35" s="28">
        <v>0.22</v>
      </c>
      <c r="T35" s="28">
        <v>0.22</v>
      </c>
      <c r="U35" s="28">
        <v>0.32</v>
      </c>
      <c r="V35" s="28">
        <v>0.34</v>
      </c>
      <c r="W35" s="28">
        <v>0.32</v>
      </c>
      <c r="X35" s="28">
        <v>0.35</v>
      </c>
      <c r="Y35" s="28">
        <v>0.36</v>
      </c>
      <c r="Z35" s="28">
        <v>0.43</v>
      </c>
      <c r="AA35" s="28">
        <v>0.57999999999999996</v>
      </c>
      <c r="AB35" s="28">
        <v>0.57999999999999996</v>
      </c>
      <c r="AC35" s="28">
        <v>0.56000000000000005</v>
      </c>
      <c r="AD35" s="28">
        <v>0.56999999999999995</v>
      </c>
      <c r="AE35" s="28">
        <v>0.57999999999999996</v>
      </c>
      <c r="AF35" s="28">
        <v>0.59</v>
      </c>
      <c r="AG35" s="28">
        <v>0.6</v>
      </c>
      <c r="AH35" s="28">
        <v>0.61</v>
      </c>
      <c r="AI35" s="28">
        <v>0.62</v>
      </c>
      <c r="AJ35" s="28">
        <v>0.63</v>
      </c>
      <c r="AK35" s="28">
        <v>0.65</v>
      </c>
    </row>
    <row r="36" spans="1:37">
      <c r="A36" t="s">
        <v>1133</v>
      </c>
      <c r="B36" s="28">
        <v>-0.37</v>
      </c>
      <c r="C36" s="28">
        <v>3.36</v>
      </c>
      <c r="D36" s="28">
        <v>1.63</v>
      </c>
      <c r="E36" s="28">
        <v>2.66</v>
      </c>
      <c r="F36" s="28">
        <v>0.47</v>
      </c>
      <c r="G36" s="28">
        <v>7.78</v>
      </c>
      <c r="H36" s="28">
        <v>3.37</v>
      </c>
      <c r="I36" s="28">
        <v>6.4</v>
      </c>
      <c r="J36" s="28">
        <v>8.52</v>
      </c>
      <c r="K36" s="28">
        <v>3.12</v>
      </c>
      <c r="L36" s="28">
        <v>9.26</v>
      </c>
      <c r="M36" s="28">
        <v>9.4499999999999993</v>
      </c>
      <c r="N36" s="28">
        <v>3.89</v>
      </c>
      <c r="O36" s="28">
        <v>6.97</v>
      </c>
      <c r="P36" s="28">
        <v>5.81</v>
      </c>
      <c r="Q36" s="28">
        <v>3.74</v>
      </c>
      <c r="R36" s="28">
        <v>1.68</v>
      </c>
      <c r="S36" s="28">
        <v>1.0900000000000001</v>
      </c>
      <c r="T36" s="28">
        <v>3.26</v>
      </c>
      <c r="U36" s="28">
        <v>16.940000000000001</v>
      </c>
      <c r="V36" s="28">
        <v>8.4499999999999993</v>
      </c>
      <c r="W36" s="28">
        <v>2.86</v>
      </c>
      <c r="X36" s="28">
        <v>9.94</v>
      </c>
      <c r="Y36" s="28">
        <v>6.2</v>
      </c>
      <c r="Z36" s="28">
        <v>6.64</v>
      </c>
      <c r="AA36" s="28">
        <v>11.23</v>
      </c>
      <c r="AB36" s="28">
        <v>8.8000000000000007</v>
      </c>
      <c r="AC36" s="28">
        <v>7.79</v>
      </c>
      <c r="AD36" s="28">
        <v>8.65</v>
      </c>
      <c r="AE36" s="28">
        <v>9.6</v>
      </c>
      <c r="AF36" s="28">
        <v>9.32</v>
      </c>
      <c r="AG36" s="28">
        <v>10.119999999999999</v>
      </c>
      <c r="AH36" s="28">
        <v>10.029999999999999</v>
      </c>
      <c r="AI36" s="28">
        <v>10.199999999999999</v>
      </c>
      <c r="AJ36" s="28">
        <v>11.09</v>
      </c>
      <c r="AK36" s="28">
        <v>10.85</v>
      </c>
    </row>
    <row r="37" spans="1:37">
      <c r="A37" t="s">
        <v>1134</v>
      </c>
      <c r="B37" s="28">
        <v>-0.37</v>
      </c>
      <c r="C37" s="28">
        <v>1.43</v>
      </c>
      <c r="D37" s="28">
        <v>1.5</v>
      </c>
      <c r="E37" s="28">
        <v>1.79</v>
      </c>
      <c r="F37" s="28">
        <v>1.52</v>
      </c>
      <c r="G37" s="28">
        <v>2.5499999999999998</v>
      </c>
      <c r="H37" s="28">
        <v>2.67</v>
      </c>
      <c r="I37" s="28">
        <v>3.14</v>
      </c>
      <c r="J37" s="28">
        <v>3.73</v>
      </c>
      <c r="K37" s="28">
        <v>3.67</v>
      </c>
      <c r="L37" s="28">
        <v>4.17</v>
      </c>
      <c r="M37" s="28">
        <v>4.62</v>
      </c>
      <c r="N37" s="28">
        <v>3.89</v>
      </c>
      <c r="O37" s="28">
        <v>5.35</v>
      </c>
      <c r="P37" s="28">
        <v>5.51</v>
      </c>
      <c r="Q37" s="28">
        <v>5.07</v>
      </c>
      <c r="R37" s="28">
        <v>4.37</v>
      </c>
      <c r="S37" s="28">
        <v>3.83</v>
      </c>
      <c r="T37" s="28">
        <v>3.74</v>
      </c>
      <c r="U37" s="28">
        <v>5.43</v>
      </c>
      <c r="V37" s="28">
        <v>5.76</v>
      </c>
      <c r="W37" s="28">
        <v>5.46</v>
      </c>
      <c r="X37" s="28">
        <v>5.87</v>
      </c>
      <c r="Y37" s="28">
        <v>5.89</v>
      </c>
      <c r="Z37" s="28">
        <v>6.64</v>
      </c>
      <c r="AA37" s="28">
        <v>8.82</v>
      </c>
      <c r="AB37" s="28">
        <v>8.81</v>
      </c>
      <c r="AC37" s="28">
        <v>8.56</v>
      </c>
      <c r="AD37" s="28">
        <v>8.58</v>
      </c>
      <c r="AE37" s="28">
        <v>8.75</v>
      </c>
      <c r="AF37" s="28">
        <v>8.83</v>
      </c>
      <c r="AG37" s="28">
        <v>9</v>
      </c>
      <c r="AH37" s="28">
        <v>9.11</v>
      </c>
      <c r="AI37" s="28">
        <v>9.2200000000000006</v>
      </c>
      <c r="AJ37" s="28">
        <v>9.39</v>
      </c>
      <c r="AK37" s="28">
        <v>9.51</v>
      </c>
    </row>
    <row r="38" spans="1:37">
      <c r="A38" t="s">
        <v>1135</v>
      </c>
      <c r="B38" s="28">
        <v>-0.25</v>
      </c>
      <c r="C38" s="28">
        <v>2.23</v>
      </c>
      <c r="D38" s="28">
        <v>1.07</v>
      </c>
      <c r="E38" s="28">
        <v>1.71</v>
      </c>
      <c r="F38" s="28">
        <v>0.3</v>
      </c>
      <c r="G38" s="28">
        <v>5.07</v>
      </c>
      <c r="H38" s="28">
        <v>2.27</v>
      </c>
      <c r="I38" s="28">
        <v>4.49</v>
      </c>
      <c r="J38" s="28">
        <v>6.16</v>
      </c>
      <c r="K38" s="28">
        <v>2.21</v>
      </c>
      <c r="L38" s="28">
        <v>6.42</v>
      </c>
      <c r="M38" s="28">
        <v>6.5</v>
      </c>
      <c r="N38" s="28">
        <v>2.64</v>
      </c>
      <c r="O38" s="28">
        <v>4.87</v>
      </c>
      <c r="P38" s="28">
        <v>4.1500000000000004</v>
      </c>
      <c r="Q38" s="28">
        <v>2.7</v>
      </c>
      <c r="R38" s="28">
        <v>1.21</v>
      </c>
      <c r="S38" s="28">
        <v>0.79</v>
      </c>
      <c r="T38" s="28">
        <v>2.37</v>
      </c>
      <c r="U38" s="28">
        <v>12.45</v>
      </c>
      <c r="V38" s="28">
        <v>6.34</v>
      </c>
      <c r="W38" s="28">
        <v>2.17</v>
      </c>
      <c r="X38" s="28">
        <v>7.67</v>
      </c>
      <c r="Y38" s="28">
        <v>4.8899999999999997</v>
      </c>
      <c r="Z38" s="28">
        <v>5.34</v>
      </c>
      <c r="AA38" s="28">
        <v>9.11</v>
      </c>
      <c r="AB38" s="28">
        <v>7.18</v>
      </c>
      <c r="AC38" s="28">
        <v>6.42</v>
      </c>
      <c r="AD38" s="28">
        <v>7.19</v>
      </c>
      <c r="AE38" s="28">
        <v>8.0299999999999994</v>
      </c>
      <c r="AF38" s="28">
        <v>7.85</v>
      </c>
      <c r="AG38" s="28">
        <v>8.57</v>
      </c>
      <c r="AH38" s="28">
        <v>8.5399999999999991</v>
      </c>
      <c r="AI38" s="28">
        <v>8.7200000000000006</v>
      </c>
      <c r="AJ38" s="28">
        <v>9.51</v>
      </c>
      <c r="AK38" s="28">
        <v>9.32</v>
      </c>
    </row>
    <row r="39" spans="1:37">
      <c r="A39" t="s">
        <v>1136</v>
      </c>
      <c r="B39" s="28">
        <v>-0.25</v>
      </c>
      <c r="C39" s="28">
        <v>0.97</v>
      </c>
      <c r="D39" s="28">
        <v>1</v>
      </c>
      <c r="E39" s="28">
        <v>1.18</v>
      </c>
      <c r="F39" s="28">
        <v>1</v>
      </c>
      <c r="G39" s="28">
        <v>1.67</v>
      </c>
      <c r="H39" s="28">
        <v>1.76</v>
      </c>
      <c r="I39" s="28">
        <v>2.09</v>
      </c>
      <c r="J39" s="28">
        <v>2.54</v>
      </c>
      <c r="K39" s="28">
        <v>2.5099999999999998</v>
      </c>
      <c r="L39" s="28">
        <v>2.86</v>
      </c>
      <c r="M39" s="28">
        <v>3.17</v>
      </c>
      <c r="N39" s="28">
        <v>2.64</v>
      </c>
      <c r="O39" s="28">
        <v>3.7</v>
      </c>
      <c r="P39" s="28">
        <v>3.88</v>
      </c>
      <c r="Q39" s="28">
        <v>3.58</v>
      </c>
      <c r="R39" s="28">
        <v>3.12</v>
      </c>
      <c r="S39" s="28">
        <v>2.73</v>
      </c>
      <c r="T39" s="28">
        <v>2.68</v>
      </c>
      <c r="U39" s="28">
        <v>3.92</v>
      </c>
      <c r="V39" s="28">
        <v>4.1900000000000004</v>
      </c>
      <c r="W39" s="28">
        <v>3.99</v>
      </c>
      <c r="X39" s="28">
        <v>4.33</v>
      </c>
      <c r="Y39" s="28">
        <v>4.38</v>
      </c>
      <c r="Z39" s="28">
        <v>5.34</v>
      </c>
      <c r="AA39" s="28">
        <v>7.19</v>
      </c>
      <c r="AB39" s="28">
        <v>7.19</v>
      </c>
      <c r="AC39" s="28">
        <v>7</v>
      </c>
      <c r="AD39" s="28">
        <v>7.04</v>
      </c>
      <c r="AE39" s="28">
        <v>7.2</v>
      </c>
      <c r="AF39" s="28">
        <v>7.3</v>
      </c>
      <c r="AG39" s="28">
        <v>7.47</v>
      </c>
      <c r="AH39" s="28">
        <v>7.59</v>
      </c>
      <c r="AI39" s="28">
        <v>7.71</v>
      </c>
      <c r="AJ39" s="28">
        <v>7.88</v>
      </c>
      <c r="AK39" s="28">
        <v>8.01</v>
      </c>
    </row>
    <row r="40" spans="1:37">
      <c r="A40" t="s">
        <v>1137</v>
      </c>
      <c r="B40" s="28">
        <v>3.37</v>
      </c>
      <c r="C40" s="28">
        <v>3.48</v>
      </c>
      <c r="D40" s="28">
        <v>3.38</v>
      </c>
      <c r="E40" s="28">
        <v>3.35</v>
      </c>
      <c r="F40" s="28">
        <v>3.48</v>
      </c>
      <c r="G40" s="28">
        <v>3.4</v>
      </c>
      <c r="H40" s="28">
        <v>3.45</v>
      </c>
      <c r="I40" s="28">
        <v>3.64</v>
      </c>
      <c r="J40" s="28">
        <v>3.67</v>
      </c>
      <c r="K40" s="28">
        <v>3.67</v>
      </c>
      <c r="L40" s="28">
        <v>3.7</v>
      </c>
      <c r="M40" s="28">
        <v>3.77</v>
      </c>
      <c r="N40" s="28">
        <v>3.73</v>
      </c>
      <c r="O40" s="28">
        <v>3.79</v>
      </c>
      <c r="P40" s="28">
        <v>4.0199999999999996</v>
      </c>
      <c r="Q40" s="28">
        <v>4.03</v>
      </c>
      <c r="R40" s="28">
        <v>4.12</v>
      </c>
      <c r="S40" s="28">
        <v>4.12</v>
      </c>
      <c r="T40" s="28">
        <v>4.13</v>
      </c>
      <c r="U40" s="28">
        <v>4.07</v>
      </c>
      <c r="V40" s="28">
        <v>4.0199999999999996</v>
      </c>
      <c r="W40" s="28">
        <v>4.17</v>
      </c>
      <c r="X40" s="28">
        <v>3.97</v>
      </c>
      <c r="Y40" s="28">
        <v>3.99</v>
      </c>
      <c r="Z40" s="28">
        <v>3.99</v>
      </c>
      <c r="AA40" s="28">
        <v>4.0199999999999996</v>
      </c>
      <c r="AB40" s="28">
        <v>4.0199999999999996</v>
      </c>
      <c r="AC40" s="28">
        <v>4.0199999999999996</v>
      </c>
      <c r="AD40" s="28">
        <v>4.04</v>
      </c>
      <c r="AE40" s="28">
        <v>4.0999999999999996</v>
      </c>
      <c r="AF40" s="28">
        <v>4.13</v>
      </c>
      <c r="AG40" s="28">
        <v>4.1500000000000004</v>
      </c>
      <c r="AH40" s="28">
        <v>4.1900000000000004</v>
      </c>
      <c r="AI40" s="28">
        <v>4.1900000000000004</v>
      </c>
      <c r="AJ40" s="28">
        <v>4.1900000000000004</v>
      </c>
      <c r="AK40" s="28">
        <v>4.17</v>
      </c>
    </row>
    <row r="41" spans="1:37">
      <c r="A41" t="s">
        <v>1138</v>
      </c>
      <c r="B41" s="28">
        <v>4.2</v>
      </c>
      <c r="C41" s="28">
        <v>4.24</v>
      </c>
      <c r="D41" s="28">
        <v>3.82</v>
      </c>
      <c r="E41" s="28">
        <v>4.34</v>
      </c>
      <c r="F41" s="28">
        <v>4.5</v>
      </c>
      <c r="G41" s="28">
        <v>4.25</v>
      </c>
      <c r="H41" s="28">
        <v>4.25</v>
      </c>
      <c r="I41" s="28">
        <v>4.3899999999999997</v>
      </c>
      <c r="J41" s="28">
        <v>4.05</v>
      </c>
      <c r="K41" s="28">
        <v>4.2300000000000004</v>
      </c>
      <c r="L41" s="28">
        <v>4.18</v>
      </c>
      <c r="M41" s="28">
        <v>3.83</v>
      </c>
      <c r="N41" s="28">
        <v>4.0599999999999996</v>
      </c>
      <c r="O41" s="28">
        <v>3.92</v>
      </c>
      <c r="P41" s="28">
        <v>3.9</v>
      </c>
      <c r="Q41" s="28">
        <v>3.55</v>
      </c>
      <c r="R41" s="28">
        <v>4.4000000000000004</v>
      </c>
      <c r="S41" s="28">
        <v>4.78</v>
      </c>
      <c r="T41" s="28">
        <v>5.0599999999999996</v>
      </c>
      <c r="U41" s="28">
        <v>3.92</v>
      </c>
      <c r="V41" s="28">
        <v>3.75</v>
      </c>
      <c r="W41" s="28">
        <v>4.7300000000000004</v>
      </c>
      <c r="X41" s="28">
        <v>4.08</v>
      </c>
      <c r="Y41" s="28">
        <v>4.28</v>
      </c>
      <c r="Z41" s="28">
        <v>4.2300000000000004</v>
      </c>
      <c r="AA41" s="28">
        <v>3.99</v>
      </c>
      <c r="AB41" s="28">
        <v>4.1100000000000003</v>
      </c>
      <c r="AC41" s="28">
        <v>4.0999999999999996</v>
      </c>
      <c r="AD41" s="28">
        <v>4.13</v>
      </c>
      <c r="AE41" s="28">
        <v>4.0199999999999996</v>
      </c>
      <c r="AF41" s="28">
        <v>4.07</v>
      </c>
      <c r="AG41" s="28">
        <v>4.01</v>
      </c>
      <c r="AH41" s="28">
        <v>4.0199999999999996</v>
      </c>
      <c r="AI41" s="28">
        <v>4.08</v>
      </c>
      <c r="AJ41" s="28">
        <v>4.01</v>
      </c>
      <c r="AK41" s="28">
        <v>4.07</v>
      </c>
    </row>
    <row r="42" spans="1:37">
      <c r="A42" t="s">
        <v>1139</v>
      </c>
      <c r="B42" s="28">
        <v>5.38</v>
      </c>
      <c r="C42" s="28">
        <v>5.21</v>
      </c>
      <c r="D42" s="28">
        <v>5.29</v>
      </c>
      <c r="E42" s="28">
        <v>5.24</v>
      </c>
      <c r="F42" s="28">
        <v>5.55</v>
      </c>
      <c r="G42" s="28">
        <v>5.09</v>
      </c>
      <c r="H42" s="28">
        <v>5.36</v>
      </c>
      <c r="I42" s="28">
        <v>5.29</v>
      </c>
      <c r="J42" s="28">
        <v>5.0999999999999996</v>
      </c>
      <c r="K42" s="28">
        <v>5.4</v>
      </c>
      <c r="L42" s="28">
        <v>5.0999999999999996</v>
      </c>
      <c r="M42" s="28">
        <v>5.17</v>
      </c>
      <c r="N42" s="28">
        <v>5.37</v>
      </c>
      <c r="O42" s="28">
        <v>5.17</v>
      </c>
      <c r="P42" s="28">
        <v>5.38</v>
      </c>
      <c r="Q42" s="28">
        <v>5.49</v>
      </c>
      <c r="R42" s="28">
        <v>5.86</v>
      </c>
      <c r="S42" s="28">
        <v>6.22</v>
      </c>
      <c r="T42" s="28">
        <v>6.11</v>
      </c>
      <c r="U42" s="28">
        <v>5.12</v>
      </c>
      <c r="V42" s="28">
        <v>5.61</v>
      </c>
      <c r="W42" s="28">
        <v>6.16</v>
      </c>
      <c r="X42" s="28">
        <v>5.31</v>
      </c>
      <c r="Y42" s="28">
        <v>5.51</v>
      </c>
      <c r="Z42" s="28">
        <v>5.48</v>
      </c>
      <c r="AA42" s="28">
        <v>5.17</v>
      </c>
      <c r="AB42" s="28">
        <v>5.31</v>
      </c>
      <c r="AC42" s="28">
        <v>5.37</v>
      </c>
      <c r="AD42" s="28">
        <v>5.32</v>
      </c>
      <c r="AE42" s="28">
        <v>5.24</v>
      </c>
      <c r="AF42" s="28">
        <v>5.26</v>
      </c>
      <c r="AG42" s="28">
        <v>5.21</v>
      </c>
      <c r="AH42" s="28">
        <v>5.2</v>
      </c>
      <c r="AI42" s="28">
        <v>5.18</v>
      </c>
      <c r="AJ42" s="28">
        <v>5.1100000000000003</v>
      </c>
      <c r="AK42" s="28">
        <v>5.1100000000000003</v>
      </c>
    </row>
    <row r="43" spans="1:37">
      <c r="A43" t="s">
        <v>1140</v>
      </c>
      <c r="B43" s="28">
        <v>112.65</v>
      </c>
      <c r="C43" s="28">
        <v>110.45</v>
      </c>
      <c r="D43" s="28">
        <v>109.32</v>
      </c>
      <c r="E43" s="28">
        <v>109.61</v>
      </c>
      <c r="F43" s="28">
        <v>109.49</v>
      </c>
      <c r="G43" s="28">
        <v>109.03</v>
      </c>
      <c r="H43" s="28">
        <v>108.94</v>
      </c>
      <c r="I43" s="28">
        <v>109.13</v>
      </c>
      <c r="J43" s="28">
        <v>109.17</v>
      </c>
      <c r="K43" s="28">
        <v>108.67</v>
      </c>
      <c r="L43" s="28">
        <v>109.07</v>
      </c>
      <c r="M43" s="28">
        <v>109.5</v>
      </c>
      <c r="N43" s="28">
        <v>109.35</v>
      </c>
      <c r="O43" s="28">
        <v>109.53</v>
      </c>
      <c r="P43" s="28">
        <v>109.33</v>
      </c>
      <c r="Q43" s="28">
        <v>109.11</v>
      </c>
      <c r="R43" s="28">
        <v>109.92</v>
      </c>
      <c r="S43" s="28">
        <v>109.24</v>
      </c>
      <c r="T43" s="28">
        <v>107.19</v>
      </c>
      <c r="U43" s="28">
        <v>107.65</v>
      </c>
      <c r="V43" s="28">
        <v>109.41</v>
      </c>
      <c r="W43" s="28">
        <v>109.92</v>
      </c>
      <c r="X43" s="28">
        <v>109.29</v>
      </c>
      <c r="Y43" s="28">
        <v>109.49</v>
      </c>
      <c r="Z43" s="28">
        <v>110.27</v>
      </c>
      <c r="AA43" s="28">
        <v>110.3</v>
      </c>
      <c r="AB43" s="28">
        <v>110.39</v>
      </c>
      <c r="AC43" s="28">
        <v>110.51</v>
      </c>
      <c r="AD43" s="28">
        <v>110.6</v>
      </c>
      <c r="AE43" s="28">
        <v>110.65</v>
      </c>
      <c r="AF43" s="28">
        <v>110.71</v>
      </c>
      <c r="AG43" s="28">
        <v>110.75</v>
      </c>
      <c r="AH43" s="28">
        <v>110.69</v>
      </c>
      <c r="AI43" s="28">
        <v>110.58</v>
      </c>
      <c r="AJ43" s="28">
        <v>110.54</v>
      </c>
      <c r="AK43" s="28">
        <v>110.53</v>
      </c>
    </row>
    <row r="44" spans="1:37">
      <c r="A44" t="s">
        <v>1141</v>
      </c>
      <c r="B44" s="29">
        <v>77778941</v>
      </c>
      <c r="C44" s="29">
        <v>77035027</v>
      </c>
      <c r="D44" s="29">
        <v>77384950</v>
      </c>
      <c r="E44" s="29">
        <v>76868835</v>
      </c>
      <c r="F44" s="29">
        <v>77403591</v>
      </c>
      <c r="G44" s="29">
        <v>77191315</v>
      </c>
      <c r="H44" s="29">
        <v>77395024</v>
      </c>
      <c r="I44" s="29">
        <v>78161620</v>
      </c>
      <c r="J44" s="29">
        <v>78619552</v>
      </c>
      <c r="K44" s="29">
        <v>79106367</v>
      </c>
      <c r="L44" s="29">
        <v>79428504</v>
      </c>
      <c r="M44" s="29">
        <v>80014441</v>
      </c>
      <c r="N44" s="29">
        <v>85951546</v>
      </c>
      <c r="O44" s="29">
        <v>83796419</v>
      </c>
      <c r="P44" s="29">
        <v>86723971</v>
      </c>
      <c r="Q44" s="29">
        <v>87603128</v>
      </c>
      <c r="R44" s="29">
        <v>89129132</v>
      </c>
      <c r="S44" s="29">
        <v>89791068</v>
      </c>
      <c r="T44" s="29">
        <v>90602777</v>
      </c>
      <c r="U44" s="29">
        <v>91241099</v>
      </c>
      <c r="V44" s="29">
        <v>91489378</v>
      </c>
      <c r="W44" s="29">
        <v>92403916</v>
      </c>
      <c r="X44" s="29">
        <v>92572974</v>
      </c>
      <c r="Y44" s="29">
        <v>92970814</v>
      </c>
      <c r="Z44" s="29">
        <v>97510053</v>
      </c>
      <c r="AA44" s="29">
        <v>94866770</v>
      </c>
      <c r="AB44" s="29">
        <v>96357531</v>
      </c>
      <c r="AC44" s="29">
        <v>96739747</v>
      </c>
      <c r="AD44" s="29">
        <v>97650445</v>
      </c>
      <c r="AE44" s="29">
        <v>98210438</v>
      </c>
      <c r="AF44" s="29">
        <v>99179102</v>
      </c>
      <c r="AG44" s="29">
        <v>100091911</v>
      </c>
      <c r="AH44" s="29">
        <v>100722178</v>
      </c>
      <c r="AI44" s="29">
        <v>101556776</v>
      </c>
      <c r="AJ44" s="29">
        <v>102059244</v>
      </c>
      <c r="AK44" s="29">
        <v>102709927</v>
      </c>
    </row>
    <row r="45" spans="1:37">
      <c r="A45" t="s">
        <v>1142</v>
      </c>
      <c r="B45" s="28">
        <v>2.41</v>
      </c>
      <c r="C45" s="28">
        <v>2.3199999999999998</v>
      </c>
      <c r="D45" s="28">
        <v>2.38</v>
      </c>
      <c r="E45" s="28">
        <v>2.39</v>
      </c>
      <c r="F45" s="28">
        <v>2.4500000000000002</v>
      </c>
      <c r="G45" s="28">
        <v>2.4500000000000002</v>
      </c>
      <c r="H45" s="28">
        <v>2.4500000000000002</v>
      </c>
      <c r="I45" s="28">
        <v>2.36</v>
      </c>
      <c r="J45" s="28">
        <v>2.2999999999999998</v>
      </c>
      <c r="K45" s="28">
        <v>2.2799999999999998</v>
      </c>
      <c r="L45" s="28">
        <v>2.27</v>
      </c>
      <c r="M45" s="28">
        <v>2.2799999999999998</v>
      </c>
      <c r="N45" s="28">
        <v>2.1800000000000002</v>
      </c>
      <c r="O45" s="28">
        <v>2.11</v>
      </c>
      <c r="P45" s="28">
        <v>2.0499999999999998</v>
      </c>
      <c r="Q45" s="28">
        <v>2.0299999999999998</v>
      </c>
      <c r="R45" s="28">
        <v>2.2000000000000002</v>
      </c>
      <c r="S45" s="28">
        <v>2.56</v>
      </c>
      <c r="T45" s="28">
        <v>2.58</v>
      </c>
      <c r="U45" s="28">
        <v>2.44</v>
      </c>
      <c r="V45" s="28">
        <v>2.4900000000000002</v>
      </c>
      <c r="W45" s="28">
        <v>2.56</v>
      </c>
      <c r="X45" s="28">
        <v>2.3199999999999998</v>
      </c>
      <c r="Y45" s="28">
        <v>2.27</v>
      </c>
      <c r="Z45" s="28">
        <v>2.2999999999999998</v>
      </c>
      <c r="AA45" s="28">
        <v>2.25</v>
      </c>
      <c r="AB45" s="28">
        <v>2.2400000000000002</v>
      </c>
      <c r="AC45" s="28">
        <v>2.23</v>
      </c>
      <c r="AD45" s="28">
        <v>2.2200000000000002</v>
      </c>
      <c r="AE45" s="28">
        <v>2.15</v>
      </c>
      <c r="AF45" s="28">
        <v>2.12</v>
      </c>
      <c r="AG45" s="28">
        <v>2.1</v>
      </c>
      <c r="AH45" s="28">
        <v>2.04</v>
      </c>
      <c r="AI45" s="28">
        <v>2.0299999999999998</v>
      </c>
      <c r="AJ45" s="28">
        <v>2.0299999999999998</v>
      </c>
      <c r="AK45" s="28">
        <v>2.04</v>
      </c>
    </row>
    <row r="46" spans="1:37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</row>
    <row r="47" spans="1:37">
      <c r="A47" t="s">
        <v>1143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</row>
    <row r="48" spans="1:37">
      <c r="A48" t="s">
        <v>1144</v>
      </c>
      <c r="B48" s="28">
        <v>91.75</v>
      </c>
      <c r="C48" s="28">
        <v>90.65</v>
      </c>
      <c r="D48" s="28">
        <v>89.06</v>
      </c>
      <c r="E48" s="28">
        <v>88.75</v>
      </c>
      <c r="F48" s="28">
        <v>88.58</v>
      </c>
      <c r="G48" s="28">
        <v>88.23</v>
      </c>
      <c r="H48" s="28">
        <v>88.49</v>
      </c>
      <c r="I48" s="28">
        <v>88.56</v>
      </c>
      <c r="J48" s="28">
        <v>88.56</v>
      </c>
      <c r="K48" s="28">
        <v>88.61</v>
      </c>
      <c r="L48" s="28">
        <v>88.5</v>
      </c>
      <c r="M48" s="28">
        <v>88.48</v>
      </c>
      <c r="N48" s="28">
        <v>88.09</v>
      </c>
      <c r="O48" s="28">
        <v>87.74</v>
      </c>
      <c r="P48" s="28">
        <v>87.98</v>
      </c>
      <c r="Q48" s="28">
        <v>88.84</v>
      </c>
      <c r="R48" s="28">
        <v>89.5</v>
      </c>
      <c r="S48" s="28">
        <v>89.48</v>
      </c>
      <c r="T48" s="28">
        <v>88.29</v>
      </c>
      <c r="U48" s="28">
        <v>86.98</v>
      </c>
      <c r="V48" s="28">
        <v>86.08</v>
      </c>
      <c r="W48" s="28">
        <v>86.67</v>
      </c>
      <c r="X48" s="28">
        <v>87.45</v>
      </c>
      <c r="Y48" s="28">
        <v>87.75</v>
      </c>
      <c r="Z48" s="28">
        <v>88.58</v>
      </c>
      <c r="AA48" s="28">
        <v>88.81</v>
      </c>
      <c r="AB48" s="28">
        <v>89.09</v>
      </c>
      <c r="AC48" s="28">
        <v>89.48</v>
      </c>
      <c r="AD48" s="28">
        <v>89.96</v>
      </c>
      <c r="AE48" s="28">
        <v>90.39</v>
      </c>
      <c r="AF48" s="28">
        <v>90.82</v>
      </c>
      <c r="AG48" s="28">
        <v>91.15</v>
      </c>
      <c r="AH48" s="28">
        <v>91.27</v>
      </c>
      <c r="AI48" s="28">
        <v>91.27</v>
      </c>
      <c r="AJ48" s="28">
        <v>91.23</v>
      </c>
      <c r="AK48" s="28">
        <v>91.16</v>
      </c>
    </row>
    <row r="49" spans="1:37">
      <c r="A49" t="s">
        <v>1145</v>
      </c>
      <c r="B49" s="28">
        <v>77.98</v>
      </c>
      <c r="C49" s="28">
        <v>77.91</v>
      </c>
      <c r="D49" s="28">
        <v>77.099999999999994</v>
      </c>
      <c r="E49" s="28">
        <v>77.53</v>
      </c>
      <c r="F49" s="28">
        <v>78.11</v>
      </c>
      <c r="G49" s="28">
        <v>78.05</v>
      </c>
      <c r="H49" s="28">
        <v>78.19</v>
      </c>
      <c r="I49" s="28">
        <v>77.78</v>
      </c>
      <c r="J49" s="28">
        <v>77.52</v>
      </c>
      <c r="K49" s="28">
        <v>77.900000000000006</v>
      </c>
      <c r="L49" s="28">
        <v>77.89</v>
      </c>
      <c r="M49" s="28">
        <v>78.03</v>
      </c>
      <c r="N49" s="28">
        <v>77.900000000000006</v>
      </c>
      <c r="O49" s="28">
        <v>77.59</v>
      </c>
      <c r="P49" s="28">
        <v>78.03</v>
      </c>
      <c r="Q49" s="28">
        <v>78.5</v>
      </c>
      <c r="R49" s="28">
        <v>78.59</v>
      </c>
      <c r="S49" s="28">
        <v>78.66</v>
      </c>
      <c r="T49" s="28">
        <v>78.25</v>
      </c>
      <c r="U49" s="28">
        <v>77.239999999999995</v>
      </c>
      <c r="V49" s="28">
        <v>76.67</v>
      </c>
      <c r="W49" s="28">
        <v>76.819999999999993</v>
      </c>
      <c r="X49" s="28">
        <v>77.900000000000006</v>
      </c>
      <c r="Y49" s="28">
        <v>78.040000000000006</v>
      </c>
      <c r="Z49" s="28">
        <v>78.239999999999995</v>
      </c>
      <c r="AA49" s="28">
        <v>78.42</v>
      </c>
      <c r="AB49" s="28">
        <v>78.64</v>
      </c>
      <c r="AC49" s="28">
        <v>78.959999999999994</v>
      </c>
      <c r="AD49" s="28">
        <v>79.36</v>
      </c>
      <c r="AE49" s="28">
        <v>79.73</v>
      </c>
      <c r="AF49" s="28">
        <v>80.099999999999994</v>
      </c>
      <c r="AG49" s="28">
        <v>80.400000000000006</v>
      </c>
      <c r="AH49" s="28">
        <v>80.52</v>
      </c>
      <c r="AI49" s="28">
        <v>80.53</v>
      </c>
      <c r="AJ49" s="28">
        <v>80.5</v>
      </c>
      <c r="AK49" s="28">
        <v>80.44</v>
      </c>
    </row>
    <row r="50" spans="1:37">
      <c r="A50" t="s">
        <v>1146</v>
      </c>
      <c r="B50" s="28">
        <v>85</v>
      </c>
      <c r="C50" s="28">
        <v>85.94</v>
      </c>
      <c r="D50" s="28">
        <v>86.56</v>
      </c>
      <c r="E50" s="28">
        <v>87.35</v>
      </c>
      <c r="F50" s="28">
        <v>88.18</v>
      </c>
      <c r="G50" s="28">
        <v>88.47</v>
      </c>
      <c r="H50" s="28">
        <v>88.37</v>
      </c>
      <c r="I50" s="28">
        <v>87.83</v>
      </c>
      <c r="J50" s="28">
        <v>87.54</v>
      </c>
      <c r="K50" s="28">
        <v>87.92</v>
      </c>
      <c r="L50" s="28">
        <v>88.01</v>
      </c>
      <c r="M50" s="28">
        <v>88.2</v>
      </c>
      <c r="N50" s="28">
        <v>88.43</v>
      </c>
      <c r="O50" s="28">
        <v>88.44</v>
      </c>
      <c r="P50" s="28">
        <v>88.69</v>
      </c>
      <c r="Q50" s="28">
        <v>88.36</v>
      </c>
      <c r="R50" s="28">
        <v>87.81</v>
      </c>
      <c r="S50" s="28">
        <v>87.91</v>
      </c>
      <c r="T50" s="28">
        <v>88.63</v>
      </c>
      <c r="U50" s="28">
        <v>88.8</v>
      </c>
      <c r="V50" s="28">
        <v>89.07</v>
      </c>
      <c r="W50" s="28">
        <v>88.63</v>
      </c>
      <c r="X50" s="28">
        <v>89.08</v>
      </c>
      <c r="Y50" s="28">
        <v>88.94</v>
      </c>
      <c r="Z50" s="28">
        <v>88.33</v>
      </c>
      <c r="AA50" s="28">
        <v>88.3</v>
      </c>
      <c r="AB50" s="28">
        <v>88.27</v>
      </c>
      <c r="AC50" s="28">
        <v>88.24</v>
      </c>
      <c r="AD50" s="28">
        <v>88.22</v>
      </c>
      <c r="AE50" s="28">
        <v>88.2</v>
      </c>
      <c r="AF50" s="28">
        <v>88.2</v>
      </c>
      <c r="AG50" s="28">
        <v>88.21</v>
      </c>
      <c r="AH50" s="28">
        <v>88.22</v>
      </c>
      <c r="AI50" s="28">
        <v>88.23</v>
      </c>
      <c r="AJ50" s="28">
        <v>88.24</v>
      </c>
      <c r="AK50" s="28">
        <v>88.24</v>
      </c>
    </row>
    <row r="51" spans="1:37">
      <c r="A51" t="s">
        <v>1147</v>
      </c>
      <c r="B51" s="28">
        <v>95.64</v>
      </c>
      <c r="C51" s="28">
        <v>97.74</v>
      </c>
      <c r="D51" s="28">
        <v>96.67</v>
      </c>
      <c r="E51" s="28">
        <v>95.89</v>
      </c>
      <c r="F51" s="28">
        <v>96.26</v>
      </c>
      <c r="G51" s="28">
        <v>96.08</v>
      </c>
      <c r="H51" s="28">
        <v>95.9</v>
      </c>
      <c r="I51" s="28">
        <v>96.57</v>
      </c>
      <c r="J51" s="28">
        <v>95.49</v>
      </c>
      <c r="K51" s="28">
        <v>96.5</v>
      </c>
      <c r="L51" s="28">
        <v>96.04</v>
      </c>
      <c r="M51" s="28">
        <v>95.6</v>
      </c>
      <c r="N51" s="28">
        <v>96.46</v>
      </c>
      <c r="O51" s="28">
        <v>95.71</v>
      </c>
      <c r="P51" s="28">
        <v>95.74</v>
      </c>
      <c r="Q51" s="28">
        <v>96.34</v>
      </c>
      <c r="R51" s="28">
        <v>95.94</v>
      </c>
      <c r="S51" s="28">
        <v>95.6</v>
      </c>
      <c r="T51" s="28">
        <v>97.33</v>
      </c>
      <c r="U51" s="28">
        <v>96.35</v>
      </c>
      <c r="V51" s="28">
        <v>96.19</v>
      </c>
      <c r="W51" s="28">
        <v>95.47</v>
      </c>
      <c r="X51" s="28">
        <v>95.3</v>
      </c>
      <c r="Y51" s="28">
        <v>94.94</v>
      </c>
      <c r="Z51" s="28">
        <v>94.99</v>
      </c>
      <c r="AA51" s="28">
        <v>94.96</v>
      </c>
      <c r="AB51" s="28">
        <v>94.86</v>
      </c>
      <c r="AC51" s="28">
        <v>94.78</v>
      </c>
      <c r="AD51" s="28">
        <v>94.69</v>
      </c>
      <c r="AE51" s="28">
        <v>94.65</v>
      </c>
      <c r="AF51" s="28">
        <v>94.63</v>
      </c>
      <c r="AG51" s="28">
        <v>94.57</v>
      </c>
      <c r="AH51" s="28">
        <v>94.6</v>
      </c>
      <c r="AI51" s="28">
        <v>94.63</v>
      </c>
      <c r="AJ51" s="28">
        <v>94.62</v>
      </c>
      <c r="AK51" s="28">
        <v>94.55</v>
      </c>
    </row>
    <row r="52" spans="1:37">
      <c r="A52" t="s">
        <v>1148</v>
      </c>
      <c r="B52" s="28">
        <v>8.64</v>
      </c>
      <c r="C52" s="28">
        <v>8.02</v>
      </c>
      <c r="D52" s="28">
        <v>7.09</v>
      </c>
      <c r="E52" s="28">
        <v>6.45</v>
      </c>
      <c r="F52" s="28">
        <v>5.61</v>
      </c>
      <c r="G52" s="28">
        <v>5.3</v>
      </c>
      <c r="H52" s="28">
        <v>5.42</v>
      </c>
      <c r="I52" s="28">
        <v>6.02</v>
      </c>
      <c r="J52" s="28">
        <v>5.64</v>
      </c>
      <c r="K52" s="28">
        <v>5.49</v>
      </c>
      <c r="L52" s="28">
        <v>5.54</v>
      </c>
      <c r="M52" s="28">
        <v>5.08</v>
      </c>
      <c r="N52" s="28">
        <v>5.48</v>
      </c>
      <c r="O52" s="28">
        <v>4.8499999999999996</v>
      </c>
      <c r="P52" s="28">
        <v>4.5999999999999996</v>
      </c>
      <c r="Q52" s="28">
        <v>5.57</v>
      </c>
      <c r="R52" s="28">
        <v>5.73</v>
      </c>
      <c r="S52" s="28">
        <v>5.04</v>
      </c>
      <c r="T52" s="28">
        <v>4.28</v>
      </c>
      <c r="U52" s="28">
        <v>4.25</v>
      </c>
      <c r="V52" s="28">
        <v>4.2</v>
      </c>
      <c r="W52" s="28">
        <v>4.17</v>
      </c>
      <c r="X52" s="28">
        <v>3.07</v>
      </c>
      <c r="Y52" s="28">
        <v>4.1500000000000004</v>
      </c>
      <c r="Z52" s="28">
        <v>4.13</v>
      </c>
      <c r="AA52" s="28">
        <v>4.1100000000000003</v>
      </c>
      <c r="AB52" s="28">
        <v>4.09</v>
      </c>
      <c r="AC52" s="28">
        <v>4.07</v>
      </c>
      <c r="AD52" s="28">
        <v>4.04</v>
      </c>
      <c r="AE52" s="28">
        <v>4.0199999999999996</v>
      </c>
      <c r="AF52" s="28">
        <v>3.99</v>
      </c>
      <c r="AG52" s="28">
        <v>3.95</v>
      </c>
      <c r="AH52" s="28">
        <v>3.92</v>
      </c>
      <c r="AI52" s="28">
        <v>3.89</v>
      </c>
      <c r="AJ52" s="28">
        <v>3.87</v>
      </c>
      <c r="AK52" s="28">
        <v>3.84</v>
      </c>
    </row>
    <row r="53" spans="1:37">
      <c r="A53" t="s">
        <v>1149</v>
      </c>
      <c r="B53" s="28">
        <v>7.84</v>
      </c>
      <c r="C53" s="28">
        <v>8.68</v>
      </c>
      <c r="D53" s="28">
        <v>8.81</v>
      </c>
      <c r="E53" s="28">
        <v>8.3699999999999992</v>
      </c>
      <c r="F53" s="28">
        <v>8.76</v>
      </c>
      <c r="G53" s="28">
        <v>8.76</v>
      </c>
      <c r="H53" s="28">
        <v>7.96</v>
      </c>
      <c r="I53" s="28">
        <v>8.14</v>
      </c>
      <c r="J53" s="28">
        <v>8.24</v>
      </c>
      <c r="K53" s="28">
        <v>7.47</v>
      </c>
      <c r="L53" s="28">
        <v>7.67</v>
      </c>
      <c r="M53" s="28">
        <v>8.16</v>
      </c>
      <c r="N53" s="28">
        <v>7.72</v>
      </c>
      <c r="O53" s="28">
        <v>8.1199999999999992</v>
      </c>
      <c r="P53" s="28">
        <v>8.09</v>
      </c>
      <c r="Q53" s="28">
        <v>7.29</v>
      </c>
      <c r="R53" s="28">
        <v>10.89</v>
      </c>
      <c r="S53" s="28">
        <v>15.05</v>
      </c>
      <c r="T53" s="28">
        <v>14.92</v>
      </c>
      <c r="U53" s="28">
        <v>13.47</v>
      </c>
      <c r="V53" s="28">
        <v>12.95</v>
      </c>
      <c r="W53" s="28">
        <v>15.71</v>
      </c>
      <c r="X53" s="28">
        <v>8.43</v>
      </c>
      <c r="Y53" s="28">
        <v>8.08</v>
      </c>
      <c r="Z53" s="28">
        <v>8.2200000000000006</v>
      </c>
      <c r="AA53" s="28">
        <v>8.44</v>
      </c>
      <c r="AB53" s="28">
        <v>7.82</v>
      </c>
      <c r="AC53" s="28">
        <v>7.77</v>
      </c>
      <c r="AD53" s="28">
        <v>7.47</v>
      </c>
      <c r="AE53" s="28">
        <v>7.22</v>
      </c>
      <c r="AF53" s="28">
        <v>6.94</v>
      </c>
      <c r="AG53" s="28">
        <v>6.81</v>
      </c>
      <c r="AH53" s="28">
        <v>6.69</v>
      </c>
      <c r="AI53" s="28">
        <v>6.57</v>
      </c>
      <c r="AJ53" s="28">
        <v>6.71</v>
      </c>
      <c r="AK53" s="28">
        <v>6.49</v>
      </c>
    </row>
    <row r="54" spans="1:37">
      <c r="A54" t="s">
        <v>1150</v>
      </c>
      <c r="B54" s="28">
        <v>92.16</v>
      </c>
      <c r="C54" s="28">
        <v>91.32</v>
      </c>
      <c r="D54" s="28">
        <v>91.19</v>
      </c>
      <c r="E54" s="28">
        <v>91.63</v>
      </c>
      <c r="F54" s="28">
        <v>91.24</v>
      </c>
      <c r="G54" s="28">
        <v>91.24</v>
      </c>
      <c r="H54" s="28">
        <v>92.03</v>
      </c>
      <c r="I54" s="28">
        <v>91.86</v>
      </c>
      <c r="J54" s="28">
        <v>91.76</v>
      </c>
      <c r="K54" s="28">
        <v>92.53</v>
      </c>
      <c r="L54" s="28">
        <v>92.33</v>
      </c>
      <c r="M54" s="28">
        <v>91.84</v>
      </c>
      <c r="N54" s="28">
        <v>92.28</v>
      </c>
      <c r="O54" s="28">
        <v>91.88</v>
      </c>
      <c r="P54" s="28">
        <v>91.91</v>
      </c>
      <c r="Q54" s="28">
        <v>92.7</v>
      </c>
      <c r="R54" s="28">
        <v>89.11</v>
      </c>
      <c r="S54" s="28">
        <v>84.94</v>
      </c>
      <c r="T54" s="28">
        <v>85.07</v>
      </c>
      <c r="U54" s="28">
        <v>86.54</v>
      </c>
      <c r="V54" s="28">
        <v>87.05</v>
      </c>
      <c r="W54" s="28">
        <v>84.29</v>
      </c>
      <c r="X54" s="28">
        <v>91.57</v>
      </c>
      <c r="Y54" s="28">
        <v>91.92</v>
      </c>
      <c r="Z54" s="28">
        <v>91.78</v>
      </c>
      <c r="AA54" s="28">
        <v>91.56</v>
      </c>
      <c r="AB54" s="28">
        <v>92.18</v>
      </c>
      <c r="AC54" s="28">
        <v>92.23</v>
      </c>
      <c r="AD54" s="28">
        <v>92.53</v>
      </c>
      <c r="AE54" s="28">
        <v>92.78</v>
      </c>
      <c r="AF54" s="28">
        <v>93.06</v>
      </c>
      <c r="AG54" s="28">
        <v>93.19</v>
      </c>
      <c r="AH54" s="28">
        <v>93.31</v>
      </c>
      <c r="AI54" s="28">
        <v>93.43</v>
      </c>
      <c r="AJ54" s="28">
        <v>93.29</v>
      </c>
      <c r="AK54" s="28">
        <v>93.51</v>
      </c>
    </row>
    <row r="55" spans="1:37">
      <c r="A55" t="s">
        <v>1151</v>
      </c>
      <c r="B55" s="28">
        <v>11.23</v>
      </c>
      <c r="C55" s="28">
        <v>9.4600000000000009</v>
      </c>
      <c r="D55" s="28">
        <v>8.5299999999999994</v>
      </c>
      <c r="E55" s="28">
        <v>8.77</v>
      </c>
      <c r="F55" s="28">
        <v>8.67</v>
      </c>
      <c r="G55" s="28">
        <v>8.2799999999999994</v>
      </c>
      <c r="H55" s="28">
        <v>8.2100000000000009</v>
      </c>
      <c r="I55" s="28">
        <v>8.36</v>
      </c>
      <c r="J55" s="28">
        <v>8.4</v>
      </c>
      <c r="K55" s="28">
        <v>7.98</v>
      </c>
      <c r="L55" s="28">
        <v>8.32</v>
      </c>
      <c r="M55" s="28">
        <v>8.68</v>
      </c>
      <c r="N55" s="28">
        <v>8.5500000000000007</v>
      </c>
      <c r="O55" s="28">
        <v>8.6999999999999993</v>
      </c>
      <c r="P55" s="28">
        <v>8.5399999999999991</v>
      </c>
      <c r="Q55" s="28">
        <v>8.35</v>
      </c>
      <c r="R55" s="28">
        <v>9.0299999999999994</v>
      </c>
      <c r="S55" s="28">
        <v>8.4600000000000009</v>
      </c>
      <c r="T55" s="28">
        <v>6.71</v>
      </c>
      <c r="U55" s="28">
        <v>7.11</v>
      </c>
      <c r="V55" s="28">
        <v>8.6</v>
      </c>
      <c r="W55" s="28">
        <v>9.02</v>
      </c>
      <c r="X55" s="28">
        <v>8.5</v>
      </c>
      <c r="Y55" s="28">
        <v>8.66</v>
      </c>
      <c r="Z55" s="28">
        <v>9.31</v>
      </c>
      <c r="AA55" s="28">
        <v>9.34</v>
      </c>
      <c r="AB55" s="28">
        <v>9.41</v>
      </c>
      <c r="AC55" s="28">
        <v>9.51</v>
      </c>
      <c r="AD55" s="28">
        <v>9.59</v>
      </c>
      <c r="AE55" s="28">
        <v>9.6199999999999992</v>
      </c>
      <c r="AF55" s="28">
        <v>9.68</v>
      </c>
      <c r="AG55" s="28">
        <v>9.7100000000000009</v>
      </c>
      <c r="AH55" s="28">
        <v>9.66</v>
      </c>
      <c r="AI55" s="28">
        <v>9.57</v>
      </c>
      <c r="AJ55" s="28">
        <v>9.5399999999999991</v>
      </c>
      <c r="AK55" s="28">
        <v>9.52</v>
      </c>
    </row>
    <row r="56" spans="1:37">
      <c r="A56" t="s">
        <v>1152</v>
      </c>
      <c r="B56" s="28">
        <v>35.47</v>
      </c>
      <c r="C56" s="28">
        <v>47.13</v>
      </c>
      <c r="D56" s="28">
        <v>73.14</v>
      </c>
      <c r="E56" s="28">
        <v>31.04</v>
      </c>
      <c r="F56" s="28">
        <v>31.28</v>
      </c>
      <c r="G56" s="28">
        <v>0</v>
      </c>
      <c r="H56" s="28">
        <v>31.38</v>
      </c>
      <c r="I56" s="28">
        <v>47.91</v>
      </c>
      <c r="J56" s="28">
        <v>39.549999999999997</v>
      </c>
      <c r="K56" s="28">
        <v>28.76</v>
      </c>
      <c r="L56" s="28">
        <v>28.19</v>
      </c>
      <c r="M56" s="28">
        <v>23.4</v>
      </c>
      <c r="N56" s="28">
        <v>26.42</v>
      </c>
      <c r="O56" s="28">
        <v>41.21</v>
      </c>
      <c r="P56" s="28">
        <v>47.69</v>
      </c>
      <c r="Q56" s="28">
        <v>36.35</v>
      </c>
      <c r="R56" s="28">
        <v>28.67</v>
      </c>
      <c r="S56" s="28">
        <v>27.53</v>
      </c>
      <c r="T56" s="28">
        <v>29.72</v>
      </c>
      <c r="U56" s="28">
        <v>88.84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0</v>
      </c>
      <c r="AK56" s="28">
        <v>0</v>
      </c>
    </row>
    <row r="57" spans="1:37">
      <c r="A57" t="s">
        <v>1153</v>
      </c>
      <c r="B57" s="28">
        <v>22.01</v>
      </c>
      <c r="C57" s="28">
        <v>23.14</v>
      </c>
      <c r="D57" s="28">
        <v>26.81</v>
      </c>
      <c r="E57" s="28">
        <v>20.84</v>
      </c>
      <c r="F57" s="28">
        <v>21.16</v>
      </c>
      <c r="G57" s="28">
        <v>0</v>
      </c>
      <c r="H57" s="28">
        <v>21.2</v>
      </c>
      <c r="I57" s="28">
        <v>24.63</v>
      </c>
      <c r="J57" s="28">
        <v>22.53</v>
      </c>
      <c r="K57" s="28">
        <v>20.63</v>
      </c>
      <c r="L57" s="28">
        <v>20.82</v>
      </c>
      <c r="M57" s="28">
        <v>19.399999999999999</v>
      </c>
      <c r="N57" s="28">
        <v>20.28</v>
      </c>
      <c r="O57" s="28">
        <v>22.81</v>
      </c>
      <c r="P57" s="28">
        <v>22.73</v>
      </c>
      <c r="Q57" s="28">
        <v>21.8</v>
      </c>
      <c r="R57" s="28">
        <v>20.53</v>
      </c>
      <c r="S57" s="28">
        <v>20.11</v>
      </c>
      <c r="T57" s="28">
        <v>20.13</v>
      </c>
      <c r="U57" s="28">
        <v>33.299999999999997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8">
        <v>0</v>
      </c>
      <c r="AG57" s="28">
        <v>0</v>
      </c>
      <c r="AH57" s="28">
        <v>0</v>
      </c>
      <c r="AI57" s="28">
        <v>0</v>
      </c>
      <c r="AJ57" s="28">
        <v>0</v>
      </c>
      <c r="AK57" s="28">
        <v>0</v>
      </c>
    </row>
    <row r="58" spans="1:37">
      <c r="A58" t="s">
        <v>1154</v>
      </c>
      <c r="B58" s="28">
        <v>33.42</v>
      </c>
      <c r="C58" s="28">
        <v>33.46</v>
      </c>
      <c r="D58" s="28">
        <v>36.28</v>
      </c>
      <c r="E58" s="28">
        <v>27.7</v>
      </c>
      <c r="F58" s="28">
        <v>33.119999999999997</v>
      </c>
      <c r="G58" s="28">
        <v>0</v>
      </c>
      <c r="H58" s="28">
        <v>32.14</v>
      </c>
      <c r="I58" s="28">
        <v>35.53</v>
      </c>
      <c r="J58" s="28">
        <v>34.369999999999997</v>
      </c>
      <c r="K58" s="28">
        <v>33.200000000000003</v>
      </c>
      <c r="L58" s="28">
        <v>35.659999999999997</v>
      </c>
      <c r="M58" s="28">
        <v>34.619999999999997</v>
      </c>
      <c r="N58" s="28">
        <v>31.65</v>
      </c>
      <c r="O58" s="28">
        <v>36.94</v>
      </c>
      <c r="P58" s="28">
        <v>35.6</v>
      </c>
      <c r="Q58" s="28">
        <v>35.229999999999997</v>
      </c>
      <c r="R58" s="28">
        <v>31.58</v>
      </c>
      <c r="S58" s="28">
        <v>35.39</v>
      </c>
      <c r="T58" s="28">
        <v>31.02</v>
      </c>
      <c r="U58" s="28">
        <v>46.26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8">
        <v>0</v>
      </c>
      <c r="AG58" s="28">
        <v>0</v>
      </c>
      <c r="AH58" s="28">
        <v>0</v>
      </c>
      <c r="AI58" s="28">
        <v>0</v>
      </c>
      <c r="AJ58" s="28">
        <v>0</v>
      </c>
      <c r="AK58" s="28">
        <v>0</v>
      </c>
    </row>
    <row r="59" spans="1:37">
      <c r="A59" t="s">
        <v>1155</v>
      </c>
      <c r="B59" s="28">
        <v>28.03</v>
      </c>
      <c r="C59" s="28">
        <v>27.7</v>
      </c>
      <c r="D59" s="28">
        <v>30</v>
      </c>
      <c r="E59" s="28">
        <v>25.22</v>
      </c>
      <c r="F59" s="28">
        <v>27.76</v>
      </c>
      <c r="G59" s="28">
        <v>0</v>
      </c>
      <c r="H59" s="28">
        <v>27.36</v>
      </c>
      <c r="I59" s="28">
        <v>29.13</v>
      </c>
      <c r="J59" s="28">
        <v>28.24</v>
      </c>
      <c r="K59" s="28">
        <v>27.6</v>
      </c>
      <c r="L59" s="28">
        <v>28.85</v>
      </c>
      <c r="M59" s="28">
        <v>28.15</v>
      </c>
      <c r="N59" s="28">
        <v>26.91</v>
      </c>
      <c r="O59" s="28">
        <v>28.92</v>
      </c>
      <c r="P59" s="28">
        <v>28.16</v>
      </c>
      <c r="Q59" s="28">
        <v>28.21</v>
      </c>
      <c r="R59" s="28">
        <v>26.7</v>
      </c>
      <c r="S59" s="28">
        <v>28.26</v>
      </c>
      <c r="T59" s="28">
        <v>26.09</v>
      </c>
      <c r="U59" s="28">
        <v>37.049999999999997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</row>
    <row r="60" spans="1:37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</row>
    <row r="61" spans="1:37">
      <c r="A61" t="s">
        <v>1156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</row>
    <row r="62" spans="1:37">
      <c r="A62" t="s">
        <v>1157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</row>
    <row r="63" spans="1:37">
      <c r="A63" t="s">
        <v>1158</v>
      </c>
      <c r="B63" s="28">
        <v>6.31</v>
      </c>
      <c r="C63" s="28">
        <v>6.39</v>
      </c>
      <c r="D63" s="28">
        <v>6.34</v>
      </c>
      <c r="E63" s="28">
        <v>6.38</v>
      </c>
      <c r="F63" s="28">
        <v>6.49</v>
      </c>
      <c r="G63" s="28">
        <v>6.46</v>
      </c>
      <c r="H63" s="28">
        <v>6.5</v>
      </c>
      <c r="I63" s="28">
        <v>6.65</v>
      </c>
      <c r="J63" s="28">
        <v>6.65</v>
      </c>
      <c r="K63" s="28">
        <v>6.6</v>
      </c>
      <c r="L63" s="28">
        <v>6.68</v>
      </c>
      <c r="M63" s="28">
        <v>6.7</v>
      </c>
      <c r="N63" s="28">
        <v>6.59</v>
      </c>
      <c r="O63" s="28">
        <v>6.7</v>
      </c>
      <c r="P63" s="28">
        <v>6.72</v>
      </c>
      <c r="Q63" s="28">
        <v>6.76</v>
      </c>
      <c r="R63" s="28">
        <v>6.74</v>
      </c>
      <c r="S63" s="28">
        <v>6.8</v>
      </c>
      <c r="T63" s="28">
        <v>6.83</v>
      </c>
      <c r="U63" s="28">
        <v>6.85</v>
      </c>
      <c r="V63" s="28">
        <v>6.98</v>
      </c>
      <c r="W63" s="28">
        <v>6.92</v>
      </c>
      <c r="X63" s="28">
        <v>6.99</v>
      </c>
      <c r="Y63" s="28">
        <v>6.93</v>
      </c>
      <c r="Z63" s="28">
        <v>6.91</v>
      </c>
      <c r="AA63" s="28">
        <v>7.02</v>
      </c>
      <c r="AB63" s="28">
        <v>6.88</v>
      </c>
      <c r="AC63" s="28">
        <v>6.9</v>
      </c>
      <c r="AD63" s="28">
        <v>6.86</v>
      </c>
      <c r="AE63" s="28">
        <v>6.88</v>
      </c>
      <c r="AF63" s="28">
        <v>6.83</v>
      </c>
      <c r="AG63" s="28">
        <v>6.82</v>
      </c>
      <c r="AH63" s="28">
        <v>6.85</v>
      </c>
      <c r="AI63" s="28">
        <v>6.8</v>
      </c>
      <c r="AJ63" s="28">
        <v>6.83</v>
      </c>
      <c r="AK63" s="28">
        <v>6.79</v>
      </c>
    </row>
    <row r="64" spans="1:37">
      <c r="A64" t="s">
        <v>1159</v>
      </c>
      <c r="B64" s="55">
        <v>5.51</v>
      </c>
      <c r="C64" s="55">
        <v>5.58</v>
      </c>
      <c r="D64" s="55">
        <v>5.56</v>
      </c>
      <c r="E64" s="55">
        <v>5.53</v>
      </c>
      <c r="F64" s="55">
        <v>5.72</v>
      </c>
      <c r="G64" s="55">
        <v>5.65</v>
      </c>
      <c r="H64" s="55">
        <v>5.7</v>
      </c>
      <c r="I64" s="55">
        <v>5.81</v>
      </c>
      <c r="J64" s="55">
        <v>5.77</v>
      </c>
      <c r="K64" s="55">
        <v>5.76</v>
      </c>
      <c r="L64" s="55">
        <v>5.78</v>
      </c>
      <c r="M64" s="55">
        <v>5.85</v>
      </c>
      <c r="N64" s="55">
        <v>5.73</v>
      </c>
      <c r="O64" s="55">
        <v>5.71</v>
      </c>
      <c r="P64" s="55">
        <v>5.9</v>
      </c>
      <c r="Q64" s="55">
        <v>5.89</v>
      </c>
      <c r="R64" s="55">
        <v>6.12</v>
      </c>
      <c r="S64" s="55">
        <v>6.46</v>
      </c>
      <c r="T64" s="55">
        <v>6.53</v>
      </c>
      <c r="U64" s="55">
        <v>6.34</v>
      </c>
      <c r="V64" s="55">
        <v>6.29</v>
      </c>
      <c r="W64" s="55">
        <v>6.5</v>
      </c>
      <c r="X64" s="55">
        <v>6.09</v>
      </c>
      <c r="Y64" s="55">
        <v>6.07</v>
      </c>
      <c r="Z64" s="55">
        <v>6.07</v>
      </c>
      <c r="AA64" s="55">
        <v>6.06</v>
      </c>
      <c r="AB64" s="55">
        <v>6.05</v>
      </c>
      <c r="AC64" s="55">
        <v>6.04</v>
      </c>
      <c r="AD64" s="55">
        <v>6.05</v>
      </c>
      <c r="AE64" s="55">
        <v>6.04</v>
      </c>
      <c r="AF64" s="55">
        <v>6.04</v>
      </c>
      <c r="AG64" s="55">
        <v>6.05</v>
      </c>
      <c r="AH64" s="55">
        <v>6.04</v>
      </c>
      <c r="AI64" s="55">
        <v>6.03</v>
      </c>
      <c r="AJ64" s="55">
        <v>6.03</v>
      </c>
      <c r="AK64" s="55">
        <v>6.01</v>
      </c>
    </row>
    <row r="65" spans="1:37">
      <c r="A65" t="s">
        <v>1160</v>
      </c>
      <c r="B65" s="55">
        <v>2.0099999999999998</v>
      </c>
      <c r="C65" s="55">
        <v>2.04</v>
      </c>
      <c r="D65" s="55">
        <v>2.08</v>
      </c>
      <c r="E65" s="55">
        <v>2.13</v>
      </c>
      <c r="F65" s="55">
        <v>2.2000000000000002</v>
      </c>
      <c r="G65" s="55">
        <v>2.2400000000000002</v>
      </c>
      <c r="H65" s="55">
        <v>2.25</v>
      </c>
      <c r="I65" s="55">
        <v>2.16</v>
      </c>
      <c r="J65" s="55">
        <v>2.1</v>
      </c>
      <c r="K65" s="55">
        <v>2.0699999999999998</v>
      </c>
      <c r="L65" s="55">
        <v>2.0699999999999998</v>
      </c>
      <c r="M65" s="55">
        <v>2.0699999999999998</v>
      </c>
      <c r="N65" s="55">
        <v>1.97</v>
      </c>
      <c r="O65" s="55">
        <v>1.89</v>
      </c>
      <c r="P65" s="55">
        <v>1.82</v>
      </c>
      <c r="Q65" s="55">
        <v>1.81</v>
      </c>
      <c r="R65" s="55">
        <v>1.81</v>
      </c>
      <c r="S65" s="55">
        <v>1.82</v>
      </c>
      <c r="T65" s="55">
        <v>1.87</v>
      </c>
      <c r="U65" s="55">
        <v>1.9</v>
      </c>
      <c r="V65" s="55">
        <v>2.1</v>
      </c>
      <c r="W65" s="55">
        <v>2.08</v>
      </c>
      <c r="X65" s="55">
        <v>2.0699999999999998</v>
      </c>
      <c r="Y65" s="55">
        <v>2.11</v>
      </c>
      <c r="Z65" s="55">
        <v>2.12</v>
      </c>
      <c r="AA65" s="55">
        <v>2.0699999999999998</v>
      </c>
      <c r="AB65" s="55">
        <v>2.06</v>
      </c>
      <c r="AC65" s="55">
        <v>2.0499999999999998</v>
      </c>
      <c r="AD65" s="55">
        <v>2.04</v>
      </c>
      <c r="AE65" s="55">
        <v>1.97</v>
      </c>
      <c r="AF65" s="55">
        <v>1.96</v>
      </c>
      <c r="AG65" s="55">
        <v>1.96</v>
      </c>
      <c r="AH65" s="55">
        <v>1.9</v>
      </c>
      <c r="AI65" s="55">
        <v>1.9</v>
      </c>
      <c r="AJ65" s="55">
        <v>1.9</v>
      </c>
      <c r="AK65" s="55">
        <v>1.91</v>
      </c>
    </row>
    <row r="66" spans="1:37">
      <c r="A66" t="s">
        <v>1161</v>
      </c>
      <c r="B66" s="28">
        <v>12483</v>
      </c>
      <c r="C66" s="28">
        <v>12611</v>
      </c>
      <c r="D66" s="28">
        <v>12760</v>
      </c>
      <c r="E66" s="28">
        <v>12773</v>
      </c>
      <c r="F66" s="28">
        <v>12775</v>
      </c>
      <c r="G66" s="28">
        <v>12838</v>
      </c>
      <c r="H66" s="28">
        <v>12763</v>
      </c>
      <c r="I66" s="28">
        <v>12742</v>
      </c>
      <c r="J66" s="28">
        <v>12721</v>
      </c>
      <c r="K66" s="28">
        <v>12700</v>
      </c>
      <c r="L66" s="28">
        <v>12704</v>
      </c>
      <c r="M66" s="28">
        <v>13148</v>
      </c>
      <c r="N66" s="28">
        <v>13117</v>
      </c>
      <c r="O66" s="28">
        <v>13088</v>
      </c>
      <c r="P66" s="28">
        <v>13079</v>
      </c>
      <c r="Q66" s="28">
        <v>12967</v>
      </c>
      <c r="R66" s="28">
        <v>12854</v>
      </c>
      <c r="S66" s="28">
        <v>12847</v>
      </c>
      <c r="T66" s="28">
        <v>13002</v>
      </c>
      <c r="U66" s="28">
        <v>13158</v>
      </c>
      <c r="V66" s="28">
        <v>13278</v>
      </c>
      <c r="W66" s="28">
        <v>13410</v>
      </c>
      <c r="X66" s="28">
        <v>13566</v>
      </c>
      <c r="Y66" s="28">
        <v>13595</v>
      </c>
      <c r="Z66" s="28">
        <v>13549</v>
      </c>
      <c r="AA66" s="28">
        <v>13612</v>
      </c>
      <c r="AB66" s="28">
        <v>13676</v>
      </c>
      <c r="AC66" s="28">
        <v>13748</v>
      </c>
      <c r="AD66" s="28">
        <v>13829</v>
      </c>
      <c r="AE66" s="28">
        <v>13917</v>
      </c>
      <c r="AF66" s="28">
        <v>14020</v>
      </c>
      <c r="AG66" s="28">
        <v>14132</v>
      </c>
      <c r="AH66" s="28">
        <v>14247</v>
      </c>
      <c r="AI66" s="28">
        <v>14359</v>
      </c>
      <c r="AJ66" s="28">
        <v>14464</v>
      </c>
      <c r="AK66" s="28">
        <v>14558</v>
      </c>
    </row>
    <row r="67" spans="1:37">
      <c r="A67" t="s">
        <v>1162</v>
      </c>
      <c r="B67" s="28">
        <v>2.0499999999999998</v>
      </c>
      <c r="C67" s="28">
        <v>2.0499999999999998</v>
      </c>
      <c r="D67" s="28">
        <v>2.0499999999999998</v>
      </c>
      <c r="E67" s="28">
        <v>2.0499999999999998</v>
      </c>
      <c r="F67" s="28">
        <v>2.0499999999999998</v>
      </c>
      <c r="G67" s="28">
        <v>2.0499999999999998</v>
      </c>
      <c r="H67" s="28">
        <v>2.06</v>
      </c>
      <c r="I67" s="28">
        <v>2.06</v>
      </c>
      <c r="J67" s="28">
        <v>2.06</v>
      </c>
      <c r="K67" s="28">
        <v>2.06</v>
      </c>
      <c r="L67" s="28">
        <v>2.06</v>
      </c>
      <c r="M67" s="28">
        <v>1.96</v>
      </c>
      <c r="N67" s="28">
        <v>1.98</v>
      </c>
      <c r="O67" s="28">
        <v>1.99</v>
      </c>
      <c r="P67" s="28">
        <v>1.99</v>
      </c>
      <c r="Q67" s="28">
        <v>2</v>
      </c>
      <c r="R67" s="28">
        <v>2.0099999999999998</v>
      </c>
      <c r="S67" s="28">
        <v>2.02</v>
      </c>
      <c r="T67" s="28">
        <v>2.02</v>
      </c>
      <c r="U67" s="28">
        <v>2.0099999999999998</v>
      </c>
      <c r="V67" s="28">
        <v>2.0099999999999998</v>
      </c>
      <c r="W67" s="28">
        <v>2.0099999999999998</v>
      </c>
      <c r="X67" s="28">
        <v>2.0099999999999998</v>
      </c>
      <c r="Y67" s="28">
        <v>2.0099999999999998</v>
      </c>
      <c r="Z67" s="28">
        <v>2.0099999999999998</v>
      </c>
      <c r="AA67" s="28">
        <v>2.0099999999999998</v>
      </c>
      <c r="AB67" s="28">
        <v>2.0099999999999998</v>
      </c>
      <c r="AC67" s="28">
        <v>2.0099999999999998</v>
      </c>
      <c r="AD67" s="28">
        <v>2.0099999999999998</v>
      </c>
      <c r="AE67" s="28">
        <v>2.0099999999999998</v>
      </c>
      <c r="AF67" s="28">
        <v>2.0099999999999998</v>
      </c>
      <c r="AG67" s="28">
        <v>2.0099999999999998</v>
      </c>
      <c r="AH67" s="28">
        <v>2.0099999999999998</v>
      </c>
      <c r="AI67" s="28">
        <v>2.0099999999999998</v>
      </c>
      <c r="AJ67" s="28">
        <v>2.0099999999999998</v>
      </c>
      <c r="AK67" s="28">
        <v>2.0099999999999998</v>
      </c>
    </row>
    <row r="68" spans="1:37">
      <c r="A68" t="s">
        <v>1163</v>
      </c>
      <c r="B68" s="28">
        <v>503</v>
      </c>
      <c r="C68" s="28">
        <v>497</v>
      </c>
      <c r="D68" s="28">
        <v>490</v>
      </c>
      <c r="E68" s="28">
        <v>496</v>
      </c>
      <c r="F68" s="28">
        <v>503</v>
      </c>
      <c r="G68" s="28">
        <v>505</v>
      </c>
      <c r="H68" s="28">
        <v>505</v>
      </c>
      <c r="I68" s="28">
        <v>506</v>
      </c>
      <c r="J68" s="28">
        <v>504</v>
      </c>
      <c r="K68" s="28">
        <v>491</v>
      </c>
      <c r="L68" s="28">
        <v>498</v>
      </c>
      <c r="M68" s="28">
        <v>487</v>
      </c>
      <c r="N68" s="28">
        <v>494</v>
      </c>
      <c r="O68" s="28">
        <v>483</v>
      </c>
      <c r="P68" s="28">
        <v>483</v>
      </c>
      <c r="Q68" s="28">
        <v>474</v>
      </c>
      <c r="R68" s="28">
        <v>477</v>
      </c>
      <c r="S68" s="28">
        <v>484</v>
      </c>
      <c r="T68" s="28">
        <v>492</v>
      </c>
      <c r="U68" s="28">
        <v>482</v>
      </c>
      <c r="V68" s="28">
        <v>482</v>
      </c>
      <c r="W68" s="28">
        <v>482</v>
      </c>
      <c r="X68" s="28">
        <v>482</v>
      </c>
      <c r="Y68" s="28">
        <v>482</v>
      </c>
      <c r="Z68" s="28">
        <v>482</v>
      </c>
      <c r="AA68" s="28">
        <v>477</v>
      </c>
      <c r="AB68" s="28">
        <v>473</v>
      </c>
      <c r="AC68" s="28">
        <v>469</v>
      </c>
      <c r="AD68" s="28">
        <v>465</v>
      </c>
      <c r="AE68" s="28">
        <v>461</v>
      </c>
      <c r="AF68" s="28">
        <v>457</v>
      </c>
      <c r="AG68" s="28">
        <v>453</v>
      </c>
      <c r="AH68" s="28">
        <v>450</v>
      </c>
      <c r="AI68" s="28">
        <v>446</v>
      </c>
      <c r="AJ68" s="28">
        <v>442</v>
      </c>
      <c r="AK68" s="28">
        <v>439</v>
      </c>
    </row>
    <row r="69" spans="1:37">
      <c r="A69" t="s">
        <v>1164</v>
      </c>
      <c r="B69" s="28">
        <v>12471</v>
      </c>
      <c r="C69" s="28">
        <v>12748</v>
      </c>
      <c r="D69" s="28">
        <v>12790</v>
      </c>
      <c r="E69" s="28">
        <v>12739</v>
      </c>
      <c r="F69" s="28">
        <v>12815</v>
      </c>
      <c r="G69" s="28">
        <v>12860</v>
      </c>
      <c r="H69" s="28">
        <v>12718</v>
      </c>
      <c r="I69" s="28">
        <v>12779</v>
      </c>
      <c r="J69" s="28">
        <v>12682</v>
      </c>
      <c r="K69" s="28">
        <v>12721</v>
      </c>
      <c r="L69" s="28">
        <v>12698</v>
      </c>
      <c r="M69" s="28">
        <v>13166</v>
      </c>
      <c r="N69" s="28">
        <v>13165</v>
      </c>
      <c r="O69" s="28">
        <v>13113</v>
      </c>
      <c r="P69" s="28">
        <v>13055</v>
      </c>
      <c r="Q69" s="28">
        <v>12914</v>
      </c>
      <c r="R69" s="28">
        <v>12868</v>
      </c>
      <c r="S69" s="28">
        <v>12887</v>
      </c>
      <c r="T69" s="28">
        <v>13161</v>
      </c>
      <c r="U69" s="28">
        <v>13195</v>
      </c>
      <c r="V69" s="28">
        <v>13361</v>
      </c>
      <c r="W69" s="28">
        <v>13459</v>
      </c>
      <c r="X69" s="28">
        <v>13672</v>
      </c>
      <c r="Y69" s="28">
        <v>13519</v>
      </c>
      <c r="Z69" s="28">
        <v>13579</v>
      </c>
      <c r="AA69" s="28">
        <v>13644</v>
      </c>
      <c r="AB69" s="28">
        <v>13708</v>
      </c>
      <c r="AC69" s="28">
        <v>13787</v>
      </c>
      <c r="AD69" s="28">
        <v>13871</v>
      </c>
      <c r="AE69" s="28">
        <v>13963</v>
      </c>
      <c r="AF69" s="28">
        <v>14076</v>
      </c>
      <c r="AG69" s="28">
        <v>14189</v>
      </c>
      <c r="AH69" s="28">
        <v>14305</v>
      </c>
      <c r="AI69" s="28">
        <v>14413</v>
      </c>
      <c r="AJ69" s="28">
        <v>14516</v>
      </c>
      <c r="AK69" s="28">
        <v>14601</v>
      </c>
    </row>
    <row r="70" spans="1:37">
      <c r="A70" t="s">
        <v>1165</v>
      </c>
      <c r="B70" s="28">
        <v>2</v>
      </c>
      <c r="C70" s="28">
        <v>13</v>
      </c>
      <c r="D70" s="28">
        <v>17</v>
      </c>
      <c r="E70" s="28">
        <v>16</v>
      </c>
      <c r="F70" s="28">
        <v>8</v>
      </c>
      <c r="G70" s="28">
        <v>56</v>
      </c>
      <c r="H70" s="28">
        <v>30</v>
      </c>
      <c r="I70" s="28">
        <v>56</v>
      </c>
      <c r="J70" s="28">
        <v>68</v>
      </c>
      <c r="K70" s="28">
        <v>30</v>
      </c>
      <c r="L70" s="28">
        <v>71</v>
      </c>
      <c r="M70" s="28">
        <v>84</v>
      </c>
      <c r="N70" s="28">
        <v>38</v>
      </c>
      <c r="O70" s="28">
        <v>33</v>
      </c>
      <c r="P70" s="28">
        <v>57</v>
      </c>
      <c r="Q70" s="28">
        <v>28</v>
      </c>
      <c r="R70" s="28">
        <v>22</v>
      </c>
      <c r="S70" s="28">
        <v>5</v>
      </c>
      <c r="T70" s="28">
        <v>35</v>
      </c>
      <c r="U70" s="28">
        <v>155</v>
      </c>
      <c r="V70" s="28">
        <v>73</v>
      </c>
      <c r="W70" s="28">
        <v>33</v>
      </c>
      <c r="X70" s="28">
        <v>91</v>
      </c>
      <c r="Y70" s="28">
        <v>66</v>
      </c>
      <c r="Z70" s="28">
        <v>72</v>
      </c>
      <c r="AA70" s="28">
        <v>91</v>
      </c>
      <c r="AB70" s="28">
        <v>96</v>
      </c>
      <c r="AC70" s="28">
        <v>77</v>
      </c>
      <c r="AD70" s="28">
        <v>97</v>
      </c>
      <c r="AE70" s="28">
        <v>99</v>
      </c>
      <c r="AF70" s="28">
        <v>107</v>
      </c>
      <c r="AG70" s="28">
        <v>117</v>
      </c>
      <c r="AH70" s="28">
        <v>107</v>
      </c>
      <c r="AI70" s="28">
        <v>121</v>
      </c>
      <c r="AJ70" s="28">
        <v>122</v>
      </c>
      <c r="AK70" s="28">
        <v>131</v>
      </c>
    </row>
    <row r="71" spans="1:37">
      <c r="A71" t="s">
        <v>1166</v>
      </c>
      <c r="B71" s="28">
        <v>1.1399999999999999</v>
      </c>
      <c r="C71" s="28">
        <v>1.1299999999999999</v>
      </c>
      <c r="D71" s="28">
        <v>1.1299999999999999</v>
      </c>
      <c r="E71" s="28">
        <v>1.17</v>
      </c>
      <c r="F71" s="28">
        <v>1.1599999999999999</v>
      </c>
      <c r="G71" s="28">
        <v>1.1599999999999999</v>
      </c>
      <c r="H71" s="28">
        <v>1.17</v>
      </c>
      <c r="I71" s="28">
        <v>1.1599999999999999</v>
      </c>
      <c r="J71" s="28">
        <v>1.1599999999999999</v>
      </c>
      <c r="K71" s="28">
        <v>1.17</v>
      </c>
      <c r="L71" s="28">
        <v>1.1599999999999999</v>
      </c>
      <c r="M71" s="28">
        <v>1.1599999999999999</v>
      </c>
      <c r="N71" s="28">
        <v>1.1399999999999999</v>
      </c>
      <c r="O71" s="28">
        <v>1.1399999999999999</v>
      </c>
      <c r="P71" s="28">
        <v>1.1399999999999999</v>
      </c>
      <c r="Q71" s="28">
        <v>1.1399999999999999</v>
      </c>
      <c r="R71" s="28">
        <v>1.1399999999999999</v>
      </c>
      <c r="S71" s="28">
        <v>1.1399999999999999</v>
      </c>
      <c r="T71" s="28">
        <v>1.1299999999999999</v>
      </c>
      <c r="U71" s="28">
        <v>1.1100000000000001</v>
      </c>
      <c r="V71" s="28">
        <v>1.1000000000000001</v>
      </c>
      <c r="W71" s="28">
        <v>1.08</v>
      </c>
      <c r="X71" s="28">
        <v>1.07</v>
      </c>
      <c r="Y71" s="28">
        <v>1.07</v>
      </c>
      <c r="Z71" s="28">
        <v>1.1599999999999999</v>
      </c>
      <c r="AA71" s="28">
        <v>1.17</v>
      </c>
      <c r="AB71" s="28">
        <v>1.19</v>
      </c>
      <c r="AC71" s="28">
        <v>1.18</v>
      </c>
      <c r="AD71" s="28">
        <v>1.22</v>
      </c>
      <c r="AE71" s="28">
        <v>1.22</v>
      </c>
      <c r="AF71" s="28">
        <v>1.2</v>
      </c>
      <c r="AG71" s="28">
        <v>1.2</v>
      </c>
      <c r="AH71" s="28">
        <v>1.3</v>
      </c>
      <c r="AI71" s="28">
        <v>1.34</v>
      </c>
      <c r="AJ71" s="28">
        <v>1.33</v>
      </c>
      <c r="AK71" s="28">
        <v>1.31</v>
      </c>
    </row>
    <row r="72" spans="1:37">
      <c r="A72" t="s">
        <v>1167</v>
      </c>
      <c r="B72" s="28">
        <v>2.12</v>
      </c>
      <c r="C72" s="28">
        <v>2.19</v>
      </c>
      <c r="D72" s="28">
        <v>1.73</v>
      </c>
      <c r="E72" s="28">
        <v>2.21</v>
      </c>
      <c r="F72" s="28">
        <v>2.3199999999999998</v>
      </c>
      <c r="G72" s="28">
        <v>2.0499999999999998</v>
      </c>
      <c r="H72" s="28">
        <v>2.06</v>
      </c>
      <c r="I72" s="28">
        <v>2.29</v>
      </c>
      <c r="J72" s="28">
        <v>2</v>
      </c>
      <c r="K72" s="28">
        <v>2.2000000000000002</v>
      </c>
      <c r="L72" s="28">
        <v>2.14</v>
      </c>
      <c r="M72" s="28">
        <v>1.79</v>
      </c>
      <c r="N72" s="28">
        <v>2.11</v>
      </c>
      <c r="O72" s="28">
        <v>2.0299999999999998</v>
      </c>
      <c r="P72" s="28">
        <v>2.08</v>
      </c>
      <c r="Q72" s="28">
        <v>1.74</v>
      </c>
      <c r="R72" s="28">
        <v>2.4500000000000002</v>
      </c>
      <c r="S72" s="28">
        <v>2.5</v>
      </c>
      <c r="T72" s="28">
        <v>2.74</v>
      </c>
      <c r="U72" s="28">
        <v>1.73</v>
      </c>
      <c r="V72" s="28">
        <v>2.09</v>
      </c>
      <c r="W72" s="28">
        <v>2.46</v>
      </c>
      <c r="X72" s="28">
        <v>2</v>
      </c>
      <c r="Y72" s="28">
        <v>2.2599999999999998</v>
      </c>
      <c r="Z72" s="28">
        <v>2.25</v>
      </c>
      <c r="AA72" s="28">
        <v>2.0499999999999998</v>
      </c>
      <c r="AB72" s="28">
        <v>2.23</v>
      </c>
      <c r="AC72" s="28">
        <v>2.2599999999999998</v>
      </c>
      <c r="AD72" s="28">
        <v>2.3199999999999998</v>
      </c>
      <c r="AE72" s="28">
        <v>2.25</v>
      </c>
      <c r="AF72" s="28">
        <v>2.33</v>
      </c>
      <c r="AG72" s="28">
        <v>2.2799999999999998</v>
      </c>
      <c r="AH72" s="28">
        <v>2.33</v>
      </c>
      <c r="AI72" s="28">
        <v>2.4</v>
      </c>
      <c r="AJ72" s="28">
        <v>2.3199999999999998</v>
      </c>
      <c r="AK72" s="28">
        <v>2.39</v>
      </c>
    </row>
    <row r="73" spans="1:37">
      <c r="A73" t="s">
        <v>1168</v>
      </c>
      <c r="B73" s="28">
        <v>58.52</v>
      </c>
      <c r="C73" s="28">
        <v>58.39</v>
      </c>
      <c r="D73" s="28">
        <v>49.56</v>
      </c>
      <c r="E73" s="28">
        <v>60.87</v>
      </c>
      <c r="F73" s="28">
        <v>60.38</v>
      </c>
      <c r="G73" s="28">
        <v>55.39</v>
      </c>
      <c r="H73" s="28">
        <v>60.03</v>
      </c>
      <c r="I73" s="28">
        <v>59.33</v>
      </c>
      <c r="J73" s="28">
        <v>53.34</v>
      </c>
      <c r="K73" s="28">
        <v>58.17</v>
      </c>
      <c r="L73" s="28">
        <v>56.95</v>
      </c>
      <c r="M73" s="28">
        <v>58.37</v>
      </c>
      <c r="N73" s="28">
        <v>56.71</v>
      </c>
      <c r="O73" s="28">
        <v>56.96</v>
      </c>
      <c r="P73" s="28">
        <v>55.17</v>
      </c>
      <c r="Q73" s="28">
        <v>50.06</v>
      </c>
      <c r="R73" s="28">
        <v>59.64</v>
      </c>
      <c r="S73" s="28">
        <v>57.62</v>
      </c>
      <c r="T73" s="28">
        <v>61.26</v>
      </c>
      <c r="U73" s="28">
        <v>51.78</v>
      </c>
      <c r="V73" s="28">
        <v>51.28</v>
      </c>
      <c r="W73" s="28">
        <v>55.64</v>
      </c>
      <c r="X73" s="28">
        <v>51.56</v>
      </c>
      <c r="Y73" s="28">
        <v>55.84</v>
      </c>
      <c r="Z73" s="28">
        <v>55.79</v>
      </c>
      <c r="AA73" s="28">
        <v>54.6</v>
      </c>
      <c r="AB73" s="28">
        <v>56.37</v>
      </c>
      <c r="AC73" s="28">
        <v>57.36</v>
      </c>
      <c r="AD73" s="28">
        <v>58.08</v>
      </c>
      <c r="AE73" s="28">
        <v>58.56</v>
      </c>
      <c r="AF73" s="28">
        <v>61.45</v>
      </c>
      <c r="AG73" s="28">
        <v>58.84</v>
      </c>
      <c r="AH73" s="28">
        <v>60.14</v>
      </c>
      <c r="AI73" s="28">
        <v>61.19</v>
      </c>
      <c r="AJ73" s="28">
        <v>60.16</v>
      </c>
      <c r="AK73" s="28">
        <v>61.22</v>
      </c>
    </row>
    <row r="74" spans="1:37">
      <c r="A74" t="s">
        <v>1169</v>
      </c>
      <c r="B74" s="28">
        <v>-2.39</v>
      </c>
      <c r="C74" s="28">
        <v>12.18</v>
      </c>
      <c r="D74" s="28">
        <v>9.9700000000000006</v>
      </c>
      <c r="E74" s="28">
        <v>5.86</v>
      </c>
      <c r="F74" s="28">
        <v>6.21</v>
      </c>
      <c r="G74" s="28">
        <v>5.87</v>
      </c>
      <c r="H74" s="28">
        <v>3.77</v>
      </c>
      <c r="I74" s="28">
        <v>4.17</v>
      </c>
      <c r="J74" s="28">
        <v>2.87</v>
      </c>
      <c r="K74" s="28">
        <v>2.98</v>
      </c>
      <c r="L74" s="28">
        <v>2.61</v>
      </c>
      <c r="M74" s="28">
        <v>2.68</v>
      </c>
      <c r="N74" s="28">
        <v>8.67</v>
      </c>
      <c r="O74" s="28">
        <v>6.89</v>
      </c>
      <c r="P74" s="28">
        <v>2.98</v>
      </c>
      <c r="Q74" s="28">
        <v>-0.27</v>
      </c>
      <c r="R74" s="28">
        <v>0.31</v>
      </c>
      <c r="S74" s="28">
        <v>1.5</v>
      </c>
      <c r="T74" s="28">
        <v>5.58</v>
      </c>
      <c r="U74" s="28">
        <v>5.74</v>
      </c>
      <c r="V74" s="28">
        <v>6.85</v>
      </c>
      <c r="W74" s="28">
        <v>7.08</v>
      </c>
      <c r="X74" s="28">
        <v>8.27</v>
      </c>
      <c r="Y74" s="28">
        <v>6.37</v>
      </c>
      <c r="Z74" s="28">
        <v>5.25</v>
      </c>
      <c r="AA74" s="28">
        <v>5.7</v>
      </c>
      <c r="AB74" s="28">
        <v>5.67</v>
      </c>
      <c r="AC74" s="28">
        <v>6.03</v>
      </c>
      <c r="AD74" s="28">
        <v>6.29</v>
      </c>
      <c r="AE74" s="28">
        <v>6.63</v>
      </c>
      <c r="AF74" s="28">
        <v>7.09</v>
      </c>
      <c r="AG74" s="28">
        <v>7.44</v>
      </c>
      <c r="AH74" s="28">
        <v>7.77</v>
      </c>
      <c r="AI74" s="28">
        <v>7.94</v>
      </c>
      <c r="AJ74" s="28">
        <v>8.06</v>
      </c>
      <c r="AK74" s="28">
        <v>8</v>
      </c>
    </row>
    <row r="75" spans="1:37">
      <c r="A75" t="s">
        <v>1170</v>
      </c>
      <c r="B75" s="28">
        <v>0.13</v>
      </c>
      <c r="C75" s="28">
        <v>0.57999999999999996</v>
      </c>
      <c r="D75" s="28">
        <v>0.87</v>
      </c>
      <c r="E75" s="28">
        <v>0.99</v>
      </c>
      <c r="F75" s="28">
        <v>0.92</v>
      </c>
      <c r="G75" s="28">
        <v>-4.74</v>
      </c>
      <c r="H75" s="28">
        <v>-3.68</v>
      </c>
      <c r="I75" s="28">
        <v>-2.61</v>
      </c>
      <c r="J75" s="28">
        <v>-1.7</v>
      </c>
      <c r="K75" s="28">
        <v>-1.27</v>
      </c>
      <c r="L75" s="28">
        <v>-0.62</v>
      </c>
      <c r="M75" s="28">
        <v>0.02</v>
      </c>
      <c r="N75" s="28">
        <v>3.13</v>
      </c>
      <c r="O75" s="28">
        <v>2.95</v>
      </c>
      <c r="P75" s="28">
        <v>3.56</v>
      </c>
      <c r="Q75" s="28">
        <v>3.26</v>
      </c>
      <c r="R75" s="28">
        <v>2.97</v>
      </c>
      <c r="S75" s="28">
        <v>2.54</v>
      </c>
      <c r="T75" s="28">
        <v>2.61</v>
      </c>
      <c r="U75" s="28">
        <v>3.95</v>
      </c>
      <c r="V75" s="28">
        <v>4.1900000000000004</v>
      </c>
      <c r="W75" s="28">
        <v>4.05</v>
      </c>
      <c r="X75" s="28">
        <v>4.38</v>
      </c>
      <c r="Y75" s="28">
        <v>4.4800000000000004</v>
      </c>
      <c r="Z75" s="28">
        <v>5.82</v>
      </c>
      <c r="AA75" s="28">
        <v>6.55</v>
      </c>
      <c r="AB75" s="28">
        <v>6.95</v>
      </c>
      <c r="AC75" s="28">
        <v>6.78</v>
      </c>
      <c r="AD75" s="28">
        <v>6.99</v>
      </c>
      <c r="AE75" s="28">
        <v>7.15</v>
      </c>
      <c r="AF75" s="28">
        <v>7.37</v>
      </c>
      <c r="AG75" s="28">
        <v>7.63</v>
      </c>
      <c r="AH75" s="28">
        <v>7.75</v>
      </c>
      <c r="AI75" s="28">
        <v>7.95</v>
      </c>
      <c r="AJ75" s="28">
        <v>8.1199999999999992</v>
      </c>
      <c r="AK75" s="28">
        <v>8.33</v>
      </c>
    </row>
    <row r="76" spans="1:37">
      <c r="A76" t="s">
        <v>1171</v>
      </c>
      <c r="B76" s="28">
        <v>0.13</v>
      </c>
      <c r="C76" s="28">
        <v>0.57999999999999996</v>
      </c>
      <c r="D76" s="28">
        <v>0.87</v>
      </c>
      <c r="E76" s="28">
        <v>0.99</v>
      </c>
      <c r="F76" s="28">
        <v>0.92</v>
      </c>
      <c r="G76" s="28">
        <v>-4.74</v>
      </c>
      <c r="H76" s="28">
        <v>-3.68</v>
      </c>
      <c r="I76" s="28">
        <v>-2.61</v>
      </c>
      <c r="J76" s="28">
        <v>-1.7</v>
      </c>
      <c r="K76" s="28">
        <v>-1.27</v>
      </c>
      <c r="L76" s="28">
        <v>-0.62</v>
      </c>
      <c r="M76" s="28">
        <v>0.02</v>
      </c>
      <c r="N76" s="28">
        <v>3.13</v>
      </c>
      <c r="O76" s="28">
        <v>2.95</v>
      </c>
      <c r="P76" s="28">
        <v>3.56</v>
      </c>
      <c r="Q76" s="28">
        <v>3.26</v>
      </c>
      <c r="R76" s="28">
        <v>2.97</v>
      </c>
      <c r="S76" s="28">
        <v>2.54</v>
      </c>
      <c r="T76" s="28">
        <v>2.61</v>
      </c>
      <c r="U76" s="28">
        <v>3.95</v>
      </c>
      <c r="V76" s="28">
        <v>4.1900000000000004</v>
      </c>
      <c r="W76" s="28">
        <v>4.05</v>
      </c>
      <c r="X76" s="28">
        <v>4.38</v>
      </c>
      <c r="Y76" s="28">
        <v>4.4800000000000004</v>
      </c>
      <c r="Z76" s="28">
        <v>5.82</v>
      </c>
      <c r="AA76" s="28">
        <v>6.55</v>
      </c>
      <c r="AB76" s="28">
        <v>6.95</v>
      </c>
      <c r="AC76" s="28">
        <v>6.78</v>
      </c>
      <c r="AD76" s="28">
        <v>6.99</v>
      </c>
      <c r="AE76" s="28">
        <v>7.15</v>
      </c>
      <c r="AF76" s="28">
        <v>7.37</v>
      </c>
      <c r="AG76" s="28">
        <v>7.63</v>
      </c>
      <c r="AH76" s="28">
        <v>7.75</v>
      </c>
      <c r="AI76" s="28">
        <v>7.95</v>
      </c>
      <c r="AJ76" s="28">
        <v>8.1199999999999992</v>
      </c>
      <c r="AK76" s="28">
        <v>8.33</v>
      </c>
    </row>
    <row r="77" spans="1:37">
      <c r="A77" t="s">
        <v>1172</v>
      </c>
      <c r="B77" s="28">
        <v>-1.25</v>
      </c>
      <c r="C77" s="28">
        <v>-2.5499999999999998</v>
      </c>
      <c r="D77" s="28">
        <v>-4.0199999999999996</v>
      </c>
      <c r="E77" s="28">
        <v>-3.54</v>
      </c>
      <c r="F77" s="28">
        <v>-3.09</v>
      </c>
      <c r="G77" s="28">
        <v>-2.04</v>
      </c>
      <c r="H77" s="28">
        <v>-1.84</v>
      </c>
      <c r="I77" s="28">
        <v>-1.48</v>
      </c>
      <c r="J77" s="28">
        <v>-1.5</v>
      </c>
      <c r="K77" s="28">
        <v>-1.38</v>
      </c>
      <c r="L77" s="28">
        <v>-1.23</v>
      </c>
      <c r="M77" s="28">
        <v>-1.02</v>
      </c>
      <c r="N77" s="28">
        <v>0.6</v>
      </c>
      <c r="O77" s="28">
        <v>1.89</v>
      </c>
      <c r="P77" s="28">
        <v>2.44</v>
      </c>
      <c r="Q77" s="28">
        <v>3.25</v>
      </c>
      <c r="R77" s="28">
        <v>3.57</v>
      </c>
      <c r="S77" s="28">
        <v>3.75</v>
      </c>
      <c r="T77" s="28">
        <v>3.23</v>
      </c>
      <c r="U77" s="28">
        <v>2.8</v>
      </c>
      <c r="V77" s="28">
        <v>2.15</v>
      </c>
      <c r="W77" s="28">
        <v>6.37</v>
      </c>
      <c r="X77" s="28">
        <v>6.42</v>
      </c>
      <c r="Y77" s="28">
        <v>6.5</v>
      </c>
      <c r="Z77" s="28">
        <v>7.26</v>
      </c>
      <c r="AA77" s="28">
        <v>8.99</v>
      </c>
      <c r="AB77" s="28">
        <v>8.94</v>
      </c>
      <c r="AC77" s="28">
        <v>10.42</v>
      </c>
      <c r="AD77" s="28">
        <v>10.97</v>
      </c>
      <c r="AE77" s="28">
        <v>11.57</v>
      </c>
      <c r="AF77" s="28">
        <v>12.23</v>
      </c>
      <c r="AG77" s="28">
        <v>12.37</v>
      </c>
      <c r="AH77" s="28">
        <v>12.21</v>
      </c>
      <c r="AI77" s="28">
        <v>11.93</v>
      </c>
      <c r="AJ77" s="28">
        <v>11.63</v>
      </c>
      <c r="AK77" s="28">
        <v>11.2</v>
      </c>
    </row>
    <row r="78" spans="1:37">
      <c r="A78" t="s">
        <v>1173</v>
      </c>
      <c r="B78" s="28">
        <v>-17.32</v>
      </c>
      <c r="C78" s="28">
        <v>-1.29</v>
      </c>
      <c r="D78" s="28">
        <v>-1.1599999999999999</v>
      </c>
      <c r="E78" s="28">
        <v>-6.25</v>
      </c>
      <c r="F78" s="28">
        <v>-4.95</v>
      </c>
      <c r="G78" s="28">
        <v>-3.54</v>
      </c>
      <c r="H78" s="28">
        <v>-3.78</v>
      </c>
      <c r="I78" s="28">
        <v>-1.04</v>
      </c>
      <c r="J78" s="28">
        <v>-2.12</v>
      </c>
      <c r="K78" s="28">
        <v>-2.19</v>
      </c>
      <c r="L78" s="28">
        <v>-1.71</v>
      </c>
      <c r="M78" s="28">
        <v>-2.0499999999999998</v>
      </c>
      <c r="N78" s="28">
        <v>11.72</v>
      </c>
      <c r="O78" s="28">
        <v>6.8</v>
      </c>
      <c r="P78" s="28">
        <v>1.73</v>
      </c>
      <c r="Q78" s="28">
        <v>1.93</v>
      </c>
      <c r="R78" s="28">
        <v>2.61</v>
      </c>
      <c r="S78" s="28">
        <v>2.19</v>
      </c>
      <c r="T78" s="28">
        <v>4.6399999999999997</v>
      </c>
      <c r="U78" s="28">
        <v>5.65</v>
      </c>
      <c r="V78" s="28">
        <v>6.71</v>
      </c>
      <c r="W78" s="28">
        <v>6.96</v>
      </c>
      <c r="X78" s="28">
        <v>6.98</v>
      </c>
      <c r="Y78" s="28">
        <v>6.59</v>
      </c>
      <c r="Z78" s="28">
        <v>5.89</v>
      </c>
      <c r="AA78" s="28">
        <v>6.17</v>
      </c>
      <c r="AB78" s="28">
        <v>6.13</v>
      </c>
      <c r="AC78" s="28">
        <v>6.51</v>
      </c>
      <c r="AD78" s="28">
        <v>6.71</v>
      </c>
      <c r="AE78" s="28">
        <v>7</v>
      </c>
      <c r="AF78" s="28">
        <v>7.41</v>
      </c>
      <c r="AG78" s="28">
        <v>7.71</v>
      </c>
      <c r="AH78" s="28">
        <v>7.99</v>
      </c>
      <c r="AI78" s="28">
        <v>8.1199999999999992</v>
      </c>
      <c r="AJ78" s="28">
        <v>8.2100000000000009</v>
      </c>
      <c r="AK78" s="28">
        <v>8.14</v>
      </c>
    </row>
    <row r="79" spans="1:37">
      <c r="A79" t="s">
        <v>1174</v>
      </c>
      <c r="B79" s="28">
        <v>-100.88</v>
      </c>
      <c r="C79" s="28">
        <v>-38.14</v>
      </c>
      <c r="D79" s="28">
        <v>3.83</v>
      </c>
      <c r="E79" s="28">
        <v>-24.25</v>
      </c>
      <c r="F79" s="28">
        <v>-11.76</v>
      </c>
      <c r="G79" s="28">
        <v>-9.8699999999999992</v>
      </c>
      <c r="H79" s="28">
        <v>-12.96</v>
      </c>
      <c r="I79" s="28">
        <v>3.47</v>
      </c>
      <c r="J79" s="28">
        <v>-5.57</v>
      </c>
      <c r="K79" s="28">
        <v>-8.76</v>
      </c>
      <c r="L79" s="28">
        <v>-1.02</v>
      </c>
      <c r="M79" s="28">
        <v>-5.72</v>
      </c>
      <c r="N79" s="28">
        <v>72.180000000000007</v>
      </c>
      <c r="O79" s="28">
        <v>37.21</v>
      </c>
      <c r="P79" s="28">
        <v>-8.06</v>
      </c>
      <c r="Q79" s="28">
        <v>-5.03</v>
      </c>
      <c r="R79" s="28">
        <v>6.66</v>
      </c>
      <c r="S79" s="28">
        <v>-4.34</v>
      </c>
      <c r="T79" s="28">
        <v>-0.21</v>
      </c>
      <c r="U79" s="28">
        <v>23.73</v>
      </c>
      <c r="V79" s="28">
        <v>32.49</v>
      </c>
      <c r="W79" s="28">
        <v>15.13</v>
      </c>
      <c r="X79" s="28">
        <v>14.76</v>
      </c>
      <c r="Y79" s="28">
        <v>12.02</v>
      </c>
      <c r="Z79" s="28">
        <v>-4.47</v>
      </c>
      <c r="AA79" s="28">
        <v>-7.62</v>
      </c>
      <c r="AB79" s="28">
        <v>-6.75</v>
      </c>
      <c r="AC79" s="28">
        <v>-9.99</v>
      </c>
      <c r="AD79" s="28">
        <v>-11.36</v>
      </c>
      <c r="AE79" s="28">
        <v>-11.93</v>
      </c>
      <c r="AF79" s="28">
        <v>-12.19</v>
      </c>
      <c r="AG79" s="28">
        <v>-10.99</v>
      </c>
      <c r="AH79" s="28">
        <v>-9.5299999999999994</v>
      </c>
      <c r="AI79" s="28">
        <v>-7.83</v>
      </c>
      <c r="AJ79" s="28">
        <v>-5.9</v>
      </c>
      <c r="AK79" s="28">
        <v>-4.33</v>
      </c>
    </row>
    <row r="80" spans="1:37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</row>
    <row r="81" spans="1:37">
      <c r="A81" t="s">
        <v>1175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</row>
    <row r="82" spans="1:37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</row>
    <row r="83" spans="1:37">
      <c r="A83" t="s">
        <v>1176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</row>
    <row r="84" spans="1:37">
      <c r="A84" t="s">
        <v>1177</v>
      </c>
      <c r="B84" s="28">
        <v>9.24</v>
      </c>
      <c r="C84" s="28">
        <v>9.15</v>
      </c>
      <c r="D84" s="28">
        <v>9.2200000000000006</v>
      </c>
      <c r="E84" s="28">
        <v>9.4</v>
      </c>
      <c r="F84" s="28">
        <v>9.41</v>
      </c>
      <c r="G84" s="28">
        <v>9.41</v>
      </c>
      <c r="H84" s="28">
        <v>9.48</v>
      </c>
      <c r="I84" s="28">
        <v>9.35</v>
      </c>
      <c r="J84" s="28">
        <v>9.48</v>
      </c>
      <c r="K84" s="28">
        <v>9.51</v>
      </c>
      <c r="L84" s="28">
        <v>9.52</v>
      </c>
      <c r="M84" s="28">
        <v>9.64</v>
      </c>
      <c r="N84" s="28">
        <v>9.58</v>
      </c>
      <c r="O84" s="28">
        <v>9.6199999999999992</v>
      </c>
      <c r="P84" s="28">
        <v>9.75</v>
      </c>
      <c r="Q84" s="28">
        <v>9.81</v>
      </c>
      <c r="R84" s="28">
        <v>9.8000000000000007</v>
      </c>
      <c r="S84" s="28">
        <v>9.83</v>
      </c>
      <c r="T84" s="28">
        <v>9.69</v>
      </c>
      <c r="U84" s="28">
        <v>9.69</v>
      </c>
      <c r="V84" s="28">
        <v>9.6300000000000008</v>
      </c>
      <c r="W84" s="28">
        <v>9.6199999999999992</v>
      </c>
      <c r="X84" s="28">
        <v>9.6</v>
      </c>
      <c r="Y84" s="28">
        <v>9.64</v>
      </c>
      <c r="Z84" s="28">
        <v>9.64</v>
      </c>
      <c r="AA84" s="28">
        <v>9.64</v>
      </c>
      <c r="AB84" s="28">
        <v>9.66</v>
      </c>
      <c r="AC84" s="28">
        <v>9.67</v>
      </c>
      <c r="AD84" s="28">
        <v>9.66</v>
      </c>
      <c r="AE84" s="28">
        <v>9.67</v>
      </c>
      <c r="AF84" s="28">
        <v>9.66</v>
      </c>
      <c r="AG84" s="28">
        <v>9.65</v>
      </c>
      <c r="AH84" s="28">
        <v>9.65</v>
      </c>
      <c r="AI84" s="28">
        <v>9.64</v>
      </c>
      <c r="AJ84" s="28">
        <v>9.65</v>
      </c>
      <c r="AK84" s="28">
        <v>9.65</v>
      </c>
    </row>
    <row r="85" spans="1:37">
      <c r="A85" t="s">
        <v>1178</v>
      </c>
      <c r="B85" s="28">
        <v>8.15</v>
      </c>
      <c r="C85" s="28">
        <v>8.06</v>
      </c>
      <c r="D85" s="28">
        <v>8.07</v>
      </c>
      <c r="E85" s="28">
        <v>8.23</v>
      </c>
      <c r="F85" s="28">
        <v>8.23</v>
      </c>
      <c r="G85" s="28">
        <v>7.98</v>
      </c>
      <c r="H85" s="28">
        <v>8.0399999999999991</v>
      </c>
      <c r="I85" s="28">
        <v>7.95</v>
      </c>
      <c r="J85" s="28">
        <v>8.06</v>
      </c>
      <c r="K85" s="28">
        <v>8.1</v>
      </c>
      <c r="L85" s="28">
        <v>8.11</v>
      </c>
      <c r="M85" s="28">
        <v>8.1999999999999993</v>
      </c>
      <c r="N85" s="28">
        <v>8.14</v>
      </c>
      <c r="O85" s="28">
        <v>8.15</v>
      </c>
      <c r="P85" s="28">
        <v>8.24</v>
      </c>
      <c r="Q85" s="28">
        <v>8.24</v>
      </c>
      <c r="R85" s="28">
        <v>8.2200000000000006</v>
      </c>
      <c r="S85" s="28">
        <v>8.2200000000000006</v>
      </c>
      <c r="T85" s="28">
        <v>8.11</v>
      </c>
      <c r="U85" s="28">
        <v>8.11</v>
      </c>
      <c r="V85" s="28">
        <v>8.02</v>
      </c>
      <c r="W85" s="28">
        <v>8</v>
      </c>
      <c r="X85" s="28">
        <v>7.97</v>
      </c>
      <c r="Y85" s="28">
        <v>8.01</v>
      </c>
      <c r="Z85" s="28">
        <v>8</v>
      </c>
      <c r="AA85" s="28">
        <v>8</v>
      </c>
      <c r="AB85" s="28">
        <v>8.01</v>
      </c>
      <c r="AC85" s="28">
        <v>8.01</v>
      </c>
      <c r="AD85" s="28">
        <v>8</v>
      </c>
      <c r="AE85" s="28">
        <v>8</v>
      </c>
      <c r="AF85" s="28">
        <v>7.99</v>
      </c>
      <c r="AG85" s="28">
        <v>7.98</v>
      </c>
      <c r="AH85" s="28">
        <v>7.98</v>
      </c>
      <c r="AI85" s="28">
        <v>7.97</v>
      </c>
      <c r="AJ85" s="28">
        <v>7.98</v>
      </c>
      <c r="AK85" s="28">
        <v>7.99</v>
      </c>
    </row>
    <row r="86" spans="1:37">
      <c r="A86" t="s">
        <v>1179</v>
      </c>
      <c r="B86" s="28">
        <v>107.77</v>
      </c>
      <c r="C86" s="28">
        <v>107.35</v>
      </c>
      <c r="D86" s="28">
        <v>107.52</v>
      </c>
      <c r="E86" s="28">
        <v>107.18</v>
      </c>
      <c r="F86" s="28">
        <v>107.37</v>
      </c>
      <c r="G86" s="28">
        <v>107.58</v>
      </c>
      <c r="H86" s="28">
        <v>107.94</v>
      </c>
      <c r="I86" s="28">
        <v>108.14</v>
      </c>
      <c r="J86" s="28">
        <v>108.39</v>
      </c>
      <c r="K86" s="28">
        <v>107.94</v>
      </c>
      <c r="L86" s="28">
        <v>108.11</v>
      </c>
      <c r="M86" s="28">
        <v>107.91</v>
      </c>
      <c r="N86" s="28">
        <v>107.97</v>
      </c>
      <c r="O86" s="28">
        <v>108.26</v>
      </c>
      <c r="P86" s="28">
        <v>108.38</v>
      </c>
      <c r="Q86" s="28">
        <v>108.64</v>
      </c>
      <c r="R86" s="28">
        <v>108.51</v>
      </c>
      <c r="S86" s="28">
        <v>108.68</v>
      </c>
      <c r="T86" s="28">
        <v>108.4</v>
      </c>
      <c r="U86" s="28">
        <v>108.65</v>
      </c>
      <c r="V86" s="28">
        <v>108.72</v>
      </c>
      <c r="W86" s="28">
        <v>108.78</v>
      </c>
      <c r="X86" s="28">
        <v>108.85</v>
      </c>
      <c r="Y86" s="28">
        <v>109.17</v>
      </c>
      <c r="Z86" s="28">
        <v>109.26</v>
      </c>
      <c r="AA86" s="28">
        <v>109.32</v>
      </c>
      <c r="AB86" s="28">
        <v>109.39</v>
      </c>
      <c r="AC86" s="28">
        <v>109.49</v>
      </c>
      <c r="AD86" s="28">
        <v>109.54</v>
      </c>
      <c r="AE86" s="28">
        <v>109.6</v>
      </c>
      <c r="AF86" s="28">
        <v>109.65</v>
      </c>
      <c r="AG86" s="28">
        <v>109.69</v>
      </c>
      <c r="AH86" s="28">
        <v>109.71</v>
      </c>
      <c r="AI86" s="28">
        <v>109.74</v>
      </c>
      <c r="AJ86" s="28">
        <v>109.75</v>
      </c>
      <c r="AK86" s="28">
        <v>109.78</v>
      </c>
    </row>
    <row r="87" spans="1:37">
      <c r="A87" t="s">
        <v>1180</v>
      </c>
      <c r="B87" s="28">
        <v>9.5399999999999991</v>
      </c>
      <c r="C87" s="28">
        <v>7.26</v>
      </c>
      <c r="D87" s="28">
        <v>7.09</v>
      </c>
      <c r="E87" s="28">
        <v>7.56</v>
      </c>
      <c r="F87" s="28">
        <v>7.71</v>
      </c>
      <c r="G87" s="28">
        <v>8.01</v>
      </c>
      <c r="H87" s="28">
        <v>8.14</v>
      </c>
      <c r="I87" s="28">
        <v>8.2200000000000006</v>
      </c>
      <c r="J87" s="28">
        <v>8.68</v>
      </c>
      <c r="K87" s="28">
        <v>8.56</v>
      </c>
      <c r="L87" s="28">
        <v>8.74</v>
      </c>
      <c r="M87" s="28">
        <v>9.09</v>
      </c>
      <c r="N87" s="28">
        <v>9.01</v>
      </c>
      <c r="O87" s="28">
        <v>9.08</v>
      </c>
      <c r="P87" s="28">
        <v>8.31</v>
      </c>
      <c r="Q87" s="28">
        <v>8.36</v>
      </c>
      <c r="R87" s="28">
        <v>8.6999999999999993</v>
      </c>
      <c r="S87" s="28">
        <v>9.25</v>
      </c>
      <c r="T87" s="28">
        <v>8.4</v>
      </c>
      <c r="U87" s="28">
        <v>8.49</v>
      </c>
      <c r="V87" s="28">
        <v>8.49</v>
      </c>
      <c r="W87" s="28">
        <v>8.4499999999999993</v>
      </c>
      <c r="X87" s="28">
        <v>8.43</v>
      </c>
      <c r="Y87" s="28">
        <v>8.3800000000000008</v>
      </c>
      <c r="Z87" s="28">
        <v>8.34</v>
      </c>
      <c r="AA87" s="28">
        <v>8.3000000000000007</v>
      </c>
      <c r="AB87" s="28">
        <v>8.26</v>
      </c>
      <c r="AC87" s="28">
        <v>8.1999999999999993</v>
      </c>
      <c r="AD87" s="28">
        <v>8.16</v>
      </c>
      <c r="AE87" s="28">
        <v>8.11</v>
      </c>
      <c r="AF87" s="28">
        <v>8.06</v>
      </c>
      <c r="AG87" s="28">
        <v>8</v>
      </c>
      <c r="AH87" s="28">
        <v>7.94</v>
      </c>
      <c r="AI87" s="28">
        <v>7.88</v>
      </c>
      <c r="AJ87" s="28">
        <v>7.82</v>
      </c>
      <c r="AK87" s="28">
        <v>7.76</v>
      </c>
    </row>
    <row r="88" spans="1:37">
      <c r="A88" t="s">
        <v>1181</v>
      </c>
      <c r="B88" s="28">
        <v>6.86</v>
      </c>
      <c r="C88" s="28">
        <v>6.68</v>
      </c>
      <c r="D88" s="28">
        <v>6.86</v>
      </c>
      <c r="E88" s="28">
        <v>6.47</v>
      </c>
      <c r="F88" s="28">
        <v>6.65</v>
      </c>
      <c r="G88" s="28">
        <v>6.86</v>
      </c>
      <c r="H88" s="28">
        <v>7.2</v>
      </c>
      <c r="I88" s="28">
        <v>7.39</v>
      </c>
      <c r="J88" s="28">
        <v>7.59</v>
      </c>
      <c r="K88" s="28">
        <v>7.15</v>
      </c>
      <c r="L88" s="28">
        <v>7.3</v>
      </c>
      <c r="M88" s="28">
        <v>7.07</v>
      </c>
      <c r="N88" s="28">
        <v>7.14</v>
      </c>
      <c r="O88" s="28">
        <v>7.43</v>
      </c>
      <c r="P88" s="28">
        <v>7.6</v>
      </c>
      <c r="Q88" s="28">
        <v>7.86</v>
      </c>
      <c r="R88" s="28">
        <v>7.69</v>
      </c>
      <c r="S88" s="28">
        <v>7.82</v>
      </c>
      <c r="T88" s="28">
        <v>7.64</v>
      </c>
      <c r="U88" s="28">
        <v>7.87</v>
      </c>
      <c r="V88" s="28">
        <v>7.95</v>
      </c>
      <c r="W88" s="28">
        <v>8.01</v>
      </c>
      <c r="X88" s="28">
        <v>8.1</v>
      </c>
      <c r="Y88" s="28">
        <v>8.41</v>
      </c>
      <c r="Z88" s="28">
        <v>8.5</v>
      </c>
      <c r="AA88" s="28">
        <v>8.56</v>
      </c>
      <c r="AB88" s="28">
        <v>8.65</v>
      </c>
      <c r="AC88" s="28">
        <v>8.75</v>
      </c>
      <c r="AD88" s="28">
        <v>8.8000000000000007</v>
      </c>
      <c r="AE88" s="28">
        <v>8.8699999999999992</v>
      </c>
      <c r="AF88" s="28">
        <v>8.92</v>
      </c>
      <c r="AG88" s="28">
        <v>8.9600000000000009</v>
      </c>
      <c r="AH88" s="28">
        <v>9</v>
      </c>
      <c r="AI88" s="28">
        <v>9.0299999999999994</v>
      </c>
      <c r="AJ88" s="28">
        <v>9.0500000000000007</v>
      </c>
      <c r="AK88" s="28">
        <v>9.07</v>
      </c>
    </row>
    <row r="89" spans="1:37">
      <c r="A89" t="s">
        <v>1182</v>
      </c>
      <c r="B89" s="28">
        <v>8.4600000000000009</v>
      </c>
      <c r="C89" s="28">
        <v>8.2100000000000009</v>
      </c>
      <c r="D89" s="28">
        <v>8.49</v>
      </c>
      <c r="E89" s="28">
        <v>8.07</v>
      </c>
      <c r="F89" s="28">
        <v>8.35</v>
      </c>
      <c r="G89" s="28">
        <v>8.59</v>
      </c>
      <c r="H89" s="28">
        <v>8.94</v>
      </c>
      <c r="I89" s="28">
        <v>9.2100000000000009</v>
      </c>
      <c r="J89" s="28">
        <v>9.4499999999999993</v>
      </c>
      <c r="K89" s="28">
        <v>8.98</v>
      </c>
      <c r="L89" s="28">
        <v>9.16</v>
      </c>
      <c r="M89" s="28">
        <v>8.9499999999999993</v>
      </c>
      <c r="N89" s="28">
        <v>9.07</v>
      </c>
      <c r="O89" s="28">
        <v>9.42</v>
      </c>
      <c r="P89" s="28">
        <v>9.49</v>
      </c>
      <c r="Q89" s="28">
        <v>9.67</v>
      </c>
      <c r="R89" s="28">
        <v>9.5</v>
      </c>
      <c r="S89" s="28">
        <v>9.7100000000000009</v>
      </c>
      <c r="T89" s="28">
        <v>9.6300000000000008</v>
      </c>
      <c r="U89" s="28">
        <v>9.98</v>
      </c>
      <c r="V89" s="28">
        <v>10.199999999999999</v>
      </c>
      <c r="W89" s="28">
        <v>9.98</v>
      </c>
      <c r="X89" s="28">
        <v>10.17</v>
      </c>
      <c r="Y89" s="28">
        <v>10.36</v>
      </c>
      <c r="Z89" s="28">
        <v>10.44</v>
      </c>
      <c r="AA89" s="28">
        <v>10.47</v>
      </c>
      <c r="AB89" s="28">
        <v>10.53</v>
      </c>
      <c r="AC89" s="28">
        <v>10.57</v>
      </c>
      <c r="AD89" s="28">
        <v>10.58</v>
      </c>
      <c r="AE89" s="28">
        <v>10.6</v>
      </c>
      <c r="AF89" s="28">
        <v>10.59</v>
      </c>
      <c r="AG89" s="28">
        <v>10.61</v>
      </c>
      <c r="AH89" s="28">
        <v>10.64</v>
      </c>
      <c r="AI89" s="28">
        <v>10.67</v>
      </c>
      <c r="AJ89" s="28">
        <v>10.7</v>
      </c>
      <c r="AK89" s="28">
        <v>10.73</v>
      </c>
    </row>
    <row r="90" spans="1:37">
      <c r="A90" t="s">
        <v>1183</v>
      </c>
      <c r="B90" s="28">
        <v>153.86000000000001</v>
      </c>
      <c r="C90" s="28">
        <v>117.14</v>
      </c>
      <c r="D90" s="28">
        <v>114.6</v>
      </c>
      <c r="E90" s="28">
        <v>122.37</v>
      </c>
      <c r="F90" s="28">
        <v>124.87</v>
      </c>
      <c r="G90" s="28">
        <v>126.17</v>
      </c>
      <c r="H90" s="28">
        <v>128.38999999999999</v>
      </c>
      <c r="I90" s="28">
        <v>130.24</v>
      </c>
      <c r="J90" s="28">
        <v>138.16999999999999</v>
      </c>
      <c r="K90" s="28">
        <v>136.63</v>
      </c>
      <c r="L90" s="28">
        <v>140.13</v>
      </c>
      <c r="M90" s="28">
        <v>146.69999999999999</v>
      </c>
      <c r="N90" s="28">
        <v>145.79</v>
      </c>
      <c r="O90" s="28">
        <v>147.22999999999999</v>
      </c>
      <c r="P90" s="28">
        <v>135.19999999999999</v>
      </c>
      <c r="Q90" s="28">
        <v>136.37</v>
      </c>
      <c r="R90" s="28">
        <v>142.05000000000001</v>
      </c>
      <c r="S90" s="28">
        <v>151.03</v>
      </c>
      <c r="T90" s="28">
        <v>137.53</v>
      </c>
      <c r="U90" s="28">
        <v>140.66</v>
      </c>
      <c r="V90" s="28">
        <v>140.66</v>
      </c>
      <c r="W90" s="28">
        <v>140.66</v>
      </c>
      <c r="X90" s="28">
        <v>140.66</v>
      </c>
      <c r="Y90" s="28">
        <v>140.66</v>
      </c>
      <c r="Z90" s="28">
        <v>140.66</v>
      </c>
      <c r="AA90" s="28">
        <v>140.66</v>
      </c>
      <c r="AB90" s="28">
        <v>140.66</v>
      </c>
      <c r="AC90" s="28">
        <v>140.66</v>
      </c>
      <c r="AD90" s="28">
        <v>140.66</v>
      </c>
      <c r="AE90" s="28">
        <v>140.66</v>
      </c>
      <c r="AF90" s="28">
        <v>140.66</v>
      </c>
      <c r="AG90" s="28">
        <v>140.66</v>
      </c>
      <c r="AH90" s="28">
        <v>140.66</v>
      </c>
      <c r="AI90" s="28">
        <v>140.66</v>
      </c>
      <c r="AJ90" s="28">
        <v>140.66</v>
      </c>
      <c r="AK90" s="28">
        <v>140.66</v>
      </c>
    </row>
    <row r="91" spans="1:37">
      <c r="A91" t="s">
        <v>1184</v>
      </c>
      <c r="B91" s="28">
        <v>71.3</v>
      </c>
      <c r="C91" s="28">
        <v>53.65</v>
      </c>
      <c r="D91" s="28">
        <v>50.07</v>
      </c>
      <c r="E91" s="28">
        <v>52.97</v>
      </c>
      <c r="F91" s="28">
        <v>53.9</v>
      </c>
      <c r="G91" s="28">
        <v>44.75</v>
      </c>
      <c r="H91" s="28">
        <v>45.38</v>
      </c>
      <c r="I91" s="28">
        <v>46.61</v>
      </c>
      <c r="J91" s="28">
        <v>49.16</v>
      </c>
      <c r="K91" s="28">
        <v>48.9</v>
      </c>
      <c r="L91" s="28">
        <v>50.6</v>
      </c>
      <c r="M91" s="28">
        <v>52.08</v>
      </c>
      <c r="N91" s="28">
        <v>50.96</v>
      </c>
      <c r="O91" s="28">
        <v>50.58</v>
      </c>
      <c r="P91" s="28">
        <v>45.45</v>
      </c>
      <c r="Q91" s="28">
        <v>43.74</v>
      </c>
      <c r="R91" s="28">
        <v>45.16</v>
      </c>
      <c r="S91" s="28">
        <v>46.98</v>
      </c>
      <c r="T91" s="28">
        <v>43.15</v>
      </c>
      <c r="U91" s="28">
        <v>43.85</v>
      </c>
      <c r="V91" s="28">
        <v>42.32</v>
      </c>
      <c r="W91" s="28">
        <v>41.66</v>
      </c>
      <c r="X91" s="28">
        <v>41.41</v>
      </c>
      <c r="Y91" s="28">
        <v>41.14</v>
      </c>
      <c r="Z91" s="28">
        <v>40.85</v>
      </c>
      <c r="AA91" s="28">
        <v>40.5</v>
      </c>
      <c r="AB91" s="28">
        <v>40.119999999999997</v>
      </c>
      <c r="AC91" s="28">
        <v>39.590000000000003</v>
      </c>
      <c r="AD91" s="28">
        <v>39.24</v>
      </c>
      <c r="AE91" s="28">
        <v>38.82</v>
      </c>
      <c r="AF91" s="28">
        <v>38.479999999999997</v>
      </c>
      <c r="AG91" s="28">
        <v>38.11</v>
      </c>
      <c r="AH91" s="28">
        <v>37.79</v>
      </c>
      <c r="AI91" s="28">
        <v>37.630000000000003</v>
      </c>
      <c r="AJ91" s="28">
        <v>37.46</v>
      </c>
      <c r="AK91" s="28">
        <v>37.42</v>
      </c>
    </row>
    <row r="92" spans="1:37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</row>
    <row r="93" spans="1:37">
      <c r="A93" t="s">
        <v>1185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</row>
    <row r="94" spans="1:37">
      <c r="A94" t="s">
        <v>1186</v>
      </c>
      <c r="B94" s="28">
        <v>0.99</v>
      </c>
      <c r="C94" s="28">
        <v>0.76</v>
      </c>
      <c r="D94" s="28">
        <v>0.74</v>
      </c>
      <c r="E94" s="28">
        <v>0.8</v>
      </c>
      <c r="F94" s="28">
        <v>0.81</v>
      </c>
      <c r="G94" s="28">
        <v>0.82</v>
      </c>
      <c r="H94" s="28">
        <v>0.83</v>
      </c>
      <c r="I94" s="28">
        <v>0.85</v>
      </c>
      <c r="J94" s="28">
        <v>0.9</v>
      </c>
      <c r="K94" s="28">
        <v>0.89</v>
      </c>
      <c r="L94" s="28">
        <v>0.91</v>
      </c>
      <c r="M94" s="28">
        <v>0.95</v>
      </c>
      <c r="N94" s="28">
        <v>0.95</v>
      </c>
      <c r="O94" s="28">
        <v>0.95</v>
      </c>
      <c r="P94" s="28">
        <v>0.87</v>
      </c>
      <c r="Q94" s="28">
        <v>0.88</v>
      </c>
      <c r="R94" s="28">
        <v>0.91</v>
      </c>
      <c r="S94" s="28">
        <v>0.96</v>
      </c>
      <c r="T94" s="28">
        <v>0.88</v>
      </c>
      <c r="U94" s="28">
        <v>0.9</v>
      </c>
      <c r="V94" s="28">
        <v>0.9</v>
      </c>
      <c r="W94" s="28">
        <v>0.87</v>
      </c>
      <c r="X94" s="28">
        <v>0.86</v>
      </c>
      <c r="Y94" s="28">
        <v>0.86</v>
      </c>
      <c r="Z94" s="28">
        <v>0.85</v>
      </c>
      <c r="AA94" s="28">
        <v>0.85</v>
      </c>
      <c r="AB94" s="28">
        <v>0.84</v>
      </c>
      <c r="AC94" s="28">
        <v>0.83</v>
      </c>
      <c r="AD94" s="28">
        <v>0.82</v>
      </c>
      <c r="AE94" s="28">
        <v>0.81</v>
      </c>
      <c r="AF94" s="28">
        <v>0.8</v>
      </c>
      <c r="AG94" s="28">
        <v>0.79</v>
      </c>
      <c r="AH94" s="28">
        <v>0.79</v>
      </c>
      <c r="AI94" s="28">
        <v>0.78</v>
      </c>
      <c r="AJ94" s="28">
        <v>0.78</v>
      </c>
      <c r="AK94" s="28">
        <v>0.77</v>
      </c>
    </row>
    <row r="95" spans="1:37">
      <c r="A95" t="s">
        <v>1187</v>
      </c>
      <c r="B95" s="28">
        <v>1.04</v>
      </c>
      <c r="C95" s="28">
        <v>1.04</v>
      </c>
      <c r="D95" s="28">
        <v>1.03</v>
      </c>
      <c r="E95" s="28">
        <v>1.02</v>
      </c>
      <c r="F95" s="28">
        <v>1.03</v>
      </c>
      <c r="G95" s="28">
        <v>1.05</v>
      </c>
      <c r="H95" s="28">
        <v>1.08</v>
      </c>
      <c r="I95" s="28">
        <v>1.1000000000000001</v>
      </c>
      <c r="J95" s="28">
        <v>1.1299999999999999</v>
      </c>
      <c r="K95" s="28">
        <v>1.1399999999999999</v>
      </c>
      <c r="L95" s="28">
        <v>1.17</v>
      </c>
      <c r="M95" s="28">
        <v>1.18</v>
      </c>
      <c r="N95" s="28">
        <v>1.34</v>
      </c>
      <c r="O95" s="28">
        <v>1.38</v>
      </c>
      <c r="P95" s="28">
        <v>1.44</v>
      </c>
      <c r="Q95" s="28">
        <v>1.42</v>
      </c>
      <c r="R95" s="28">
        <v>1.45</v>
      </c>
      <c r="S95" s="28">
        <v>1.49</v>
      </c>
      <c r="T95" s="28">
        <v>1.52</v>
      </c>
      <c r="U95" s="28">
        <v>1.52</v>
      </c>
      <c r="V95" s="28">
        <v>1.53</v>
      </c>
      <c r="W95" s="28">
        <v>1.5</v>
      </c>
      <c r="X95" s="28">
        <v>1.49</v>
      </c>
      <c r="Y95" s="28">
        <v>1.49</v>
      </c>
      <c r="Z95" s="28">
        <v>1.48</v>
      </c>
      <c r="AA95" s="28">
        <v>1.48</v>
      </c>
      <c r="AB95" s="28">
        <v>1.47</v>
      </c>
      <c r="AC95" s="28">
        <v>1.46</v>
      </c>
      <c r="AD95" s="28">
        <v>1.46</v>
      </c>
      <c r="AE95" s="28">
        <v>1.45</v>
      </c>
      <c r="AF95" s="28">
        <v>1.44</v>
      </c>
      <c r="AG95" s="28">
        <v>1.43</v>
      </c>
      <c r="AH95" s="28">
        <v>1.42</v>
      </c>
      <c r="AI95" s="28">
        <v>1.42</v>
      </c>
      <c r="AJ95" s="28">
        <v>1.41</v>
      </c>
      <c r="AK95" s="28">
        <v>1.41</v>
      </c>
    </row>
    <row r="96" spans="1:37">
      <c r="A96" t="s">
        <v>1188</v>
      </c>
      <c r="B96" s="28">
        <v>1.25</v>
      </c>
      <c r="C96" s="28">
        <v>1.25</v>
      </c>
      <c r="D96" s="28">
        <v>1.24</v>
      </c>
      <c r="E96" s="28">
        <v>1.27</v>
      </c>
      <c r="F96" s="28">
        <v>1.29</v>
      </c>
      <c r="G96" s="28">
        <v>1.27</v>
      </c>
      <c r="H96" s="28">
        <v>1.28</v>
      </c>
      <c r="I96" s="28">
        <v>1.28</v>
      </c>
      <c r="J96" s="28">
        <v>1.29</v>
      </c>
      <c r="K96" s="28">
        <v>1.28</v>
      </c>
      <c r="L96" s="28">
        <v>1.28</v>
      </c>
      <c r="M96" s="28">
        <v>1.29</v>
      </c>
      <c r="N96" s="28">
        <v>1.27</v>
      </c>
      <c r="O96" s="28">
        <v>1.28</v>
      </c>
      <c r="P96" s="28">
        <v>1.3</v>
      </c>
      <c r="Q96" s="28">
        <v>1.29</v>
      </c>
      <c r="R96" s="28">
        <v>1.26</v>
      </c>
      <c r="S96" s="28">
        <v>1.28</v>
      </c>
      <c r="T96" s="28">
        <v>1.28</v>
      </c>
      <c r="U96" s="28">
        <v>1.27</v>
      </c>
      <c r="V96" s="28">
        <v>1.25</v>
      </c>
      <c r="W96" s="28">
        <v>1.24</v>
      </c>
      <c r="X96" s="28">
        <v>1.22</v>
      </c>
      <c r="Y96" s="28">
        <v>1.22</v>
      </c>
      <c r="Z96" s="28">
        <v>1.31</v>
      </c>
      <c r="AA96" s="28">
        <v>1.32</v>
      </c>
      <c r="AB96" s="28">
        <v>1.34</v>
      </c>
      <c r="AC96" s="28">
        <v>1.33</v>
      </c>
      <c r="AD96" s="28">
        <v>1.37</v>
      </c>
      <c r="AE96" s="28">
        <v>1.36</v>
      </c>
      <c r="AF96" s="28">
        <v>1.35</v>
      </c>
      <c r="AG96" s="28">
        <v>1.34</v>
      </c>
      <c r="AH96" s="28">
        <v>1.44</v>
      </c>
      <c r="AI96" s="28">
        <v>1.49</v>
      </c>
      <c r="AJ96" s="28">
        <v>1.47</v>
      </c>
      <c r="AK96" s="28">
        <v>1.45</v>
      </c>
    </row>
    <row r="97" spans="1:37">
      <c r="A97" t="s">
        <v>1189</v>
      </c>
      <c r="B97" s="28">
        <v>0.78</v>
      </c>
      <c r="C97" s="28">
        <v>0.57999999999999996</v>
      </c>
      <c r="D97" s="28">
        <v>0.56999999999999995</v>
      </c>
      <c r="E97" s="28">
        <v>0.62</v>
      </c>
      <c r="F97" s="28">
        <v>0.64</v>
      </c>
      <c r="G97" s="28">
        <v>0.64</v>
      </c>
      <c r="H97" s="28">
        <v>0.65</v>
      </c>
      <c r="I97" s="28">
        <v>0.65</v>
      </c>
      <c r="J97" s="28">
        <v>0.7</v>
      </c>
      <c r="K97" s="28">
        <v>0.69</v>
      </c>
      <c r="L97" s="28">
        <v>0.71</v>
      </c>
      <c r="M97" s="28">
        <v>0.75</v>
      </c>
      <c r="N97" s="28">
        <v>0.73</v>
      </c>
      <c r="O97" s="28">
        <v>0.74</v>
      </c>
      <c r="P97" s="28">
        <v>0.68</v>
      </c>
      <c r="Q97" s="28">
        <v>0.69</v>
      </c>
      <c r="R97" s="28">
        <v>0.71</v>
      </c>
      <c r="S97" s="28">
        <v>0.76</v>
      </c>
      <c r="T97" s="28">
        <v>0.68</v>
      </c>
      <c r="U97" s="28">
        <v>0.69</v>
      </c>
      <c r="V97" s="28">
        <v>0.68</v>
      </c>
      <c r="W97" s="28">
        <v>0.68</v>
      </c>
      <c r="X97" s="28">
        <v>0.67</v>
      </c>
      <c r="Y97" s="28">
        <v>0.67</v>
      </c>
      <c r="Z97" s="28">
        <v>0.67</v>
      </c>
      <c r="AA97" s="28">
        <v>0.66</v>
      </c>
      <c r="AB97" s="28">
        <v>0.66</v>
      </c>
      <c r="AC97" s="28">
        <v>0.66</v>
      </c>
      <c r="AD97" s="28">
        <v>0.65</v>
      </c>
      <c r="AE97" s="28">
        <v>0.65</v>
      </c>
      <c r="AF97" s="28">
        <v>0.64</v>
      </c>
      <c r="AG97" s="28">
        <v>0.64</v>
      </c>
      <c r="AH97" s="28">
        <v>0.63</v>
      </c>
      <c r="AI97" s="28">
        <v>0.63</v>
      </c>
      <c r="AJ97" s="28">
        <v>0.62</v>
      </c>
      <c r="AK97" s="28">
        <v>0.62</v>
      </c>
    </row>
    <row r="98" spans="1:37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</row>
    <row r="99" spans="1:37">
      <c r="A99" t="s">
        <v>1190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</row>
    <row r="100" spans="1:37">
      <c r="A100" t="s">
        <v>1191</v>
      </c>
      <c r="B100" s="28">
        <v>-2.4300000000000002</v>
      </c>
      <c r="C100" s="28">
        <v>11.98</v>
      </c>
      <c r="D100" s="28">
        <v>9.92</v>
      </c>
      <c r="E100" s="28">
        <v>5.82</v>
      </c>
      <c r="F100" s="28">
        <v>6.19</v>
      </c>
      <c r="G100" s="28">
        <v>5.84</v>
      </c>
      <c r="H100" s="28">
        <v>3.76</v>
      </c>
      <c r="I100" s="28">
        <v>4.17</v>
      </c>
      <c r="J100" s="28">
        <v>2.87</v>
      </c>
      <c r="K100" s="28">
        <v>2.98</v>
      </c>
      <c r="L100" s="28">
        <v>2.61</v>
      </c>
      <c r="M100" s="28">
        <v>2.68</v>
      </c>
      <c r="N100" s="28">
        <v>8.84</v>
      </c>
      <c r="O100" s="28">
        <v>6.69</v>
      </c>
      <c r="P100" s="28">
        <v>2.94</v>
      </c>
      <c r="Q100" s="28">
        <v>-0.26</v>
      </c>
      <c r="R100" s="28">
        <v>0.31</v>
      </c>
      <c r="S100" s="28">
        <v>1.49</v>
      </c>
      <c r="T100" s="28">
        <v>5.55</v>
      </c>
      <c r="U100" s="28">
        <v>5.73</v>
      </c>
      <c r="V100" s="28">
        <v>7.68</v>
      </c>
      <c r="W100" s="28">
        <v>8.85</v>
      </c>
      <c r="X100" s="28">
        <v>11.36</v>
      </c>
      <c r="Y100" s="28">
        <v>9.5500000000000007</v>
      </c>
      <c r="Z100" s="28">
        <v>10.27</v>
      </c>
      <c r="AA100" s="28">
        <v>11.03</v>
      </c>
      <c r="AB100" s="28">
        <v>11.78</v>
      </c>
      <c r="AC100" s="28">
        <v>12.72</v>
      </c>
      <c r="AD100" s="28">
        <v>13.71</v>
      </c>
      <c r="AE100" s="28">
        <v>14.8</v>
      </c>
      <c r="AF100" s="28">
        <v>16.13</v>
      </c>
      <c r="AG100" s="28">
        <v>17.46</v>
      </c>
      <c r="AH100" s="28">
        <v>18.829999999999998</v>
      </c>
      <c r="AI100" s="28">
        <v>20.100000000000001</v>
      </c>
      <c r="AJ100" s="28">
        <v>21.32</v>
      </c>
      <c r="AK100" s="28">
        <v>22.32</v>
      </c>
    </row>
    <row r="101" spans="1:37">
      <c r="A101" t="s">
        <v>1192</v>
      </c>
      <c r="B101" s="28">
        <v>78.52</v>
      </c>
      <c r="C101" s="28">
        <v>77.290000000000006</v>
      </c>
      <c r="D101" s="28">
        <v>76.900000000000006</v>
      </c>
      <c r="E101" s="28">
        <v>78.16</v>
      </c>
      <c r="F101" s="28">
        <v>78.06</v>
      </c>
      <c r="G101" s="28">
        <v>78.040000000000006</v>
      </c>
      <c r="H101" s="28">
        <v>78.349999999999994</v>
      </c>
      <c r="I101" s="28">
        <v>77.23</v>
      </c>
      <c r="J101" s="28">
        <v>77.819999999999993</v>
      </c>
      <c r="K101" s="28">
        <v>77.98</v>
      </c>
      <c r="L101" s="28">
        <v>77.8</v>
      </c>
      <c r="M101" s="28">
        <v>78.27</v>
      </c>
      <c r="N101" s="28">
        <v>77.53</v>
      </c>
      <c r="O101" s="28">
        <v>77.650000000000006</v>
      </c>
      <c r="P101" s="28">
        <v>78.400000000000006</v>
      </c>
      <c r="Q101" s="28">
        <v>78.599999999999994</v>
      </c>
      <c r="R101" s="28">
        <v>78.569999999999993</v>
      </c>
      <c r="S101" s="28">
        <v>78.87</v>
      </c>
      <c r="T101" s="28">
        <v>77.64</v>
      </c>
      <c r="U101" s="28">
        <v>76.83</v>
      </c>
      <c r="V101" s="28">
        <v>75.73</v>
      </c>
      <c r="W101" s="28">
        <v>77.91</v>
      </c>
      <c r="X101" s="28">
        <v>77.89</v>
      </c>
      <c r="Y101" s="28">
        <v>78.2</v>
      </c>
      <c r="Z101" s="28">
        <v>78.290000000000006</v>
      </c>
      <c r="AA101" s="28">
        <v>78.55</v>
      </c>
      <c r="AB101" s="28">
        <v>78.73</v>
      </c>
      <c r="AC101" s="28">
        <v>79.180000000000007</v>
      </c>
      <c r="AD101" s="28">
        <v>79.540000000000006</v>
      </c>
      <c r="AE101" s="28">
        <v>79.91</v>
      </c>
      <c r="AF101" s="28">
        <v>80.3</v>
      </c>
      <c r="AG101" s="28">
        <v>80.510000000000005</v>
      </c>
      <c r="AH101" s="28">
        <v>80.53</v>
      </c>
      <c r="AI101" s="28">
        <v>80.52</v>
      </c>
      <c r="AJ101" s="28">
        <v>80.47</v>
      </c>
      <c r="AK101" s="28">
        <v>80.41</v>
      </c>
    </row>
    <row r="102" spans="1:37">
      <c r="A102" t="s">
        <v>1193</v>
      </c>
      <c r="B102" s="28">
        <v>4.66</v>
      </c>
      <c r="C102" s="28">
        <v>5.34</v>
      </c>
      <c r="D102" s="28">
        <v>6.69</v>
      </c>
      <c r="E102" s="28">
        <v>5.47</v>
      </c>
      <c r="F102" s="28">
        <v>5.85</v>
      </c>
      <c r="G102" s="28">
        <v>5.91</v>
      </c>
      <c r="H102" s="28">
        <v>5.23</v>
      </c>
      <c r="I102" s="28">
        <v>6.79</v>
      </c>
      <c r="J102" s="28">
        <v>5.66</v>
      </c>
      <c r="K102" s="28">
        <v>5.51</v>
      </c>
      <c r="L102" s="28">
        <v>6.55</v>
      </c>
      <c r="M102" s="28">
        <v>6.05</v>
      </c>
      <c r="N102" s="28">
        <v>6.75</v>
      </c>
      <c r="O102" s="28">
        <v>6.47</v>
      </c>
      <c r="P102" s="28">
        <v>5.37</v>
      </c>
      <c r="Q102" s="28">
        <v>5.19</v>
      </c>
      <c r="R102" s="28">
        <v>6.1</v>
      </c>
      <c r="S102" s="28">
        <v>5.21</v>
      </c>
      <c r="T102" s="28">
        <v>5.49</v>
      </c>
      <c r="U102" s="28">
        <v>8.11</v>
      </c>
      <c r="V102" s="28">
        <v>8.01</v>
      </c>
      <c r="W102" s="28">
        <v>7.95</v>
      </c>
      <c r="X102" s="28">
        <v>7.91</v>
      </c>
      <c r="Y102" s="28">
        <v>7.89</v>
      </c>
      <c r="Z102" s="28">
        <v>7.85</v>
      </c>
      <c r="AA102" s="28">
        <v>7.82</v>
      </c>
      <c r="AB102" s="28">
        <v>7.78</v>
      </c>
      <c r="AC102" s="28">
        <v>7.73</v>
      </c>
      <c r="AD102" s="28">
        <v>7.68</v>
      </c>
      <c r="AE102" s="28">
        <v>7.63</v>
      </c>
      <c r="AF102" s="28">
        <v>7.57</v>
      </c>
      <c r="AG102" s="28">
        <v>7.51</v>
      </c>
      <c r="AH102" s="28">
        <v>7.45</v>
      </c>
      <c r="AI102" s="28">
        <v>7.39</v>
      </c>
      <c r="AJ102" s="28">
        <v>7.34</v>
      </c>
      <c r="AK102" s="28">
        <v>7.3</v>
      </c>
    </row>
    <row r="103" spans="1:37">
      <c r="A103" t="s">
        <v>1194</v>
      </c>
      <c r="B103" s="28">
        <v>8.64</v>
      </c>
      <c r="C103" s="28">
        <v>8.02</v>
      </c>
      <c r="D103" s="28">
        <v>7.09</v>
      </c>
      <c r="E103" s="28">
        <v>6.45</v>
      </c>
      <c r="F103" s="28">
        <v>5.61</v>
      </c>
      <c r="G103" s="28">
        <v>5.3</v>
      </c>
      <c r="H103" s="28">
        <v>5.42</v>
      </c>
      <c r="I103" s="28">
        <v>6.02</v>
      </c>
      <c r="J103" s="28">
        <v>5.64</v>
      </c>
      <c r="K103" s="28">
        <v>5.49</v>
      </c>
      <c r="L103" s="28">
        <v>5.54</v>
      </c>
      <c r="M103" s="28">
        <v>5.08</v>
      </c>
      <c r="N103" s="28">
        <v>5.48</v>
      </c>
      <c r="O103" s="28">
        <v>4.8499999999999996</v>
      </c>
      <c r="P103" s="28">
        <v>4.5999999999999996</v>
      </c>
      <c r="Q103" s="28">
        <v>5.57</v>
      </c>
      <c r="R103" s="28">
        <v>5.73</v>
      </c>
      <c r="S103" s="28">
        <v>5.04</v>
      </c>
      <c r="T103" s="28">
        <v>4.28</v>
      </c>
      <c r="U103" s="28">
        <v>4.25</v>
      </c>
      <c r="V103" s="28">
        <v>4.2</v>
      </c>
      <c r="W103" s="28">
        <v>4.17</v>
      </c>
      <c r="X103" s="28">
        <v>3.07</v>
      </c>
      <c r="Y103" s="28">
        <v>4.1500000000000004</v>
      </c>
      <c r="Z103" s="28">
        <v>4.13</v>
      </c>
      <c r="AA103" s="28">
        <v>4.1100000000000003</v>
      </c>
      <c r="AB103" s="28">
        <v>4.09</v>
      </c>
      <c r="AC103" s="28">
        <v>4.07</v>
      </c>
      <c r="AD103" s="28">
        <v>4.04</v>
      </c>
      <c r="AE103" s="28">
        <v>4.0199999999999996</v>
      </c>
      <c r="AF103" s="28">
        <v>3.99</v>
      </c>
      <c r="AG103" s="28">
        <v>3.95</v>
      </c>
      <c r="AH103" s="28">
        <v>3.92</v>
      </c>
      <c r="AI103" s="28">
        <v>3.89</v>
      </c>
      <c r="AJ103" s="28">
        <v>3.87</v>
      </c>
      <c r="AK103" s="28">
        <v>3.84</v>
      </c>
    </row>
    <row r="104" spans="1:37">
      <c r="A104" t="s">
        <v>1195</v>
      </c>
      <c r="B104" s="28">
        <v>8.1</v>
      </c>
      <c r="C104" s="28">
        <v>7.57</v>
      </c>
      <c r="D104" s="28">
        <v>6.73</v>
      </c>
      <c r="E104" s="28">
        <v>6.21</v>
      </c>
      <c r="F104" s="28">
        <v>5.43</v>
      </c>
      <c r="G104" s="28">
        <v>5.1100000000000003</v>
      </c>
      <c r="H104" s="28">
        <v>5.22</v>
      </c>
      <c r="I104" s="28">
        <v>5.74</v>
      </c>
      <c r="J104" s="28">
        <v>5.41</v>
      </c>
      <c r="K104" s="28">
        <v>5.29</v>
      </c>
      <c r="L104" s="28">
        <v>5.32</v>
      </c>
      <c r="M104" s="28">
        <v>4.91</v>
      </c>
      <c r="N104" s="28">
        <v>5.29</v>
      </c>
      <c r="O104" s="28">
        <v>4.6900000000000004</v>
      </c>
      <c r="P104" s="28">
        <v>4.46</v>
      </c>
      <c r="Q104" s="28">
        <v>5.35</v>
      </c>
      <c r="R104" s="28">
        <v>5.5</v>
      </c>
      <c r="S104" s="28">
        <v>4.8600000000000003</v>
      </c>
      <c r="T104" s="28">
        <v>4.16</v>
      </c>
      <c r="U104" s="28">
        <v>4.1100000000000003</v>
      </c>
      <c r="V104" s="28">
        <v>4.0599999999999996</v>
      </c>
      <c r="W104" s="28">
        <v>4.03</v>
      </c>
      <c r="X104" s="28">
        <v>3</v>
      </c>
      <c r="Y104" s="28">
        <v>4</v>
      </c>
      <c r="Z104" s="28">
        <v>3.98</v>
      </c>
      <c r="AA104" s="28">
        <v>3.96</v>
      </c>
      <c r="AB104" s="28">
        <v>3.94</v>
      </c>
      <c r="AC104" s="28">
        <v>3.92</v>
      </c>
      <c r="AD104" s="28">
        <v>3.9</v>
      </c>
      <c r="AE104" s="28">
        <v>3.87</v>
      </c>
      <c r="AF104" s="28">
        <v>3.84</v>
      </c>
      <c r="AG104" s="28">
        <v>3.81</v>
      </c>
      <c r="AH104" s="28">
        <v>3.78</v>
      </c>
      <c r="AI104" s="28">
        <v>3.75</v>
      </c>
      <c r="AJ104" s="28">
        <v>3.72</v>
      </c>
      <c r="AK104" s="28">
        <v>3.7</v>
      </c>
    </row>
    <row r="105" spans="1:37">
      <c r="A105" t="s">
        <v>1196</v>
      </c>
      <c r="B105" s="28">
        <v>5.29</v>
      </c>
      <c r="C105" s="28">
        <v>5.45</v>
      </c>
      <c r="D105" s="28">
        <v>5.35</v>
      </c>
      <c r="E105" s="28">
        <v>5.8</v>
      </c>
      <c r="F105" s="28">
        <v>5.6</v>
      </c>
      <c r="G105" s="28">
        <v>5.4</v>
      </c>
      <c r="H105" s="28">
        <v>5.18</v>
      </c>
      <c r="I105" s="28">
        <v>4.9000000000000004</v>
      </c>
      <c r="J105" s="28">
        <v>4.82</v>
      </c>
      <c r="K105" s="28">
        <v>5.21</v>
      </c>
      <c r="L105" s="28">
        <v>5.08</v>
      </c>
      <c r="M105" s="28">
        <v>5.29</v>
      </c>
      <c r="N105" s="28">
        <v>5.18</v>
      </c>
      <c r="O105" s="28">
        <v>4.93</v>
      </c>
      <c r="P105" s="28">
        <v>4.96</v>
      </c>
      <c r="Q105" s="28">
        <v>4.8600000000000003</v>
      </c>
      <c r="R105" s="28">
        <v>4.97</v>
      </c>
      <c r="S105" s="28">
        <v>4.8099999999999996</v>
      </c>
      <c r="T105" s="28">
        <v>4.8</v>
      </c>
      <c r="U105" s="28">
        <v>4.59</v>
      </c>
      <c r="V105" s="28">
        <v>6.77</v>
      </c>
      <c r="W105" s="28">
        <v>4.1500000000000004</v>
      </c>
      <c r="X105" s="28">
        <v>3.93</v>
      </c>
      <c r="Y105" s="28">
        <v>4.1100000000000003</v>
      </c>
      <c r="Z105" s="28">
        <v>4.05</v>
      </c>
      <c r="AA105" s="28">
        <v>4.1100000000000003</v>
      </c>
      <c r="AB105" s="28">
        <v>4.13</v>
      </c>
      <c r="AC105" s="28">
        <v>4.1900000000000004</v>
      </c>
      <c r="AD105" s="28">
        <v>4.2300000000000004</v>
      </c>
      <c r="AE105" s="28">
        <v>4.2300000000000004</v>
      </c>
      <c r="AF105" s="28">
        <v>4.25</v>
      </c>
      <c r="AG105" s="28">
        <v>4.21</v>
      </c>
      <c r="AH105" s="28">
        <v>4.1500000000000004</v>
      </c>
      <c r="AI105" s="28">
        <v>4.08</v>
      </c>
      <c r="AJ105" s="28">
        <v>4.0199999999999996</v>
      </c>
      <c r="AK105" s="28">
        <v>3.93</v>
      </c>
    </row>
    <row r="106" spans="1:37">
      <c r="A106" t="s">
        <v>1197</v>
      </c>
      <c r="B106" s="28">
        <v>51.13</v>
      </c>
      <c r="C106" s="28">
        <v>49.59</v>
      </c>
      <c r="D106" s="28">
        <v>50.42</v>
      </c>
      <c r="E106" s="28">
        <v>50.37</v>
      </c>
      <c r="F106" s="28">
        <v>50.5</v>
      </c>
      <c r="G106" s="28">
        <v>50.47</v>
      </c>
      <c r="H106" s="28">
        <v>51.36</v>
      </c>
      <c r="I106" s="28">
        <v>50.72</v>
      </c>
      <c r="J106" s="28">
        <v>30.01</v>
      </c>
      <c r="K106" s="28">
        <v>28.9</v>
      </c>
      <c r="L106" s="28">
        <v>49.99</v>
      </c>
      <c r="M106" s="28">
        <v>50.18</v>
      </c>
      <c r="N106" s="28">
        <v>49.62</v>
      </c>
      <c r="O106" s="28">
        <v>44.72</v>
      </c>
      <c r="P106" s="28">
        <v>48.79</v>
      </c>
      <c r="Q106" s="28">
        <v>45.15</v>
      </c>
      <c r="R106" s="28">
        <v>44.67</v>
      </c>
      <c r="S106" s="28">
        <v>44.9</v>
      </c>
      <c r="T106" s="28">
        <v>44.26</v>
      </c>
      <c r="U106" s="28">
        <v>43.94</v>
      </c>
      <c r="V106" s="28">
        <v>43.41</v>
      </c>
      <c r="W106" s="28">
        <v>43.09</v>
      </c>
      <c r="X106" s="28">
        <v>42.86</v>
      </c>
      <c r="Y106" s="28">
        <v>42.77</v>
      </c>
      <c r="Z106" s="28">
        <v>42.56</v>
      </c>
      <c r="AA106" s="28">
        <v>42.35</v>
      </c>
      <c r="AB106" s="28">
        <v>42.13</v>
      </c>
      <c r="AC106" s="28">
        <v>41.88</v>
      </c>
      <c r="AD106" s="28">
        <v>41.62</v>
      </c>
      <c r="AE106" s="28">
        <v>41.34</v>
      </c>
      <c r="AF106" s="28">
        <v>41.01</v>
      </c>
      <c r="AG106" s="28">
        <v>40.68</v>
      </c>
      <c r="AH106" s="28">
        <v>40.36</v>
      </c>
      <c r="AI106" s="28">
        <v>40.06</v>
      </c>
      <c r="AJ106" s="28">
        <v>39.78</v>
      </c>
      <c r="AK106" s="28">
        <v>39.549999999999997</v>
      </c>
    </row>
    <row r="107" spans="1:37">
      <c r="A107" t="s">
        <v>1198</v>
      </c>
      <c r="B107" s="28">
        <v>183.77</v>
      </c>
      <c r="C107" s="28">
        <v>184.8</v>
      </c>
      <c r="D107" s="28">
        <v>183.98</v>
      </c>
      <c r="E107" s="28">
        <v>186.95</v>
      </c>
      <c r="F107" s="28">
        <v>189.78</v>
      </c>
      <c r="G107" s="28">
        <v>200.25</v>
      </c>
      <c r="H107" s="28">
        <v>199.43</v>
      </c>
      <c r="I107" s="28">
        <v>198.66</v>
      </c>
      <c r="J107" s="28">
        <v>197.89</v>
      </c>
      <c r="K107" s="28">
        <v>196.83</v>
      </c>
      <c r="L107" s="28">
        <v>195.38</v>
      </c>
      <c r="M107" s="28">
        <v>193.12</v>
      </c>
      <c r="N107" s="28">
        <v>192.49</v>
      </c>
      <c r="O107" s="28">
        <v>190.63</v>
      </c>
      <c r="P107" s="28">
        <v>187.72</v>
      </c>
      <c r="Q107" s="28">
        <v>187.14</v>
      </c>
      <c r="R107" s="28">
        <v>186.75</v>
      </c>
      <c r="S107" s="28">
        <v>185.06</v>
      </c>
      <c r="T107" s="28">
        <v>183.16</v>
      </c>
      <c r="U107" s="28">
        <v>180.47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</row>
    <row r="108" spans="1:37">
      <c r="A108" t="s">
        <v>1199</v>
      </c>
      <c r="B108" s="28">
        <v>1327.49</v>
      </c>
      <c r="C108" s="28">
        <v>1094.28</v>
      </c>
      <c r="D108" s="28">
        <v>852.98</v>
      </c>
      <c r="E108" s="28">
        <v>1077.3800000000001</v>
      </c>
      <c r="F108" s="28">
        <v>995.32</v>
      </c>
      <c r="G108" s="28">
        <v>1002.31</v>
      </c>
      <c r="H108" s="28">
        <v>1190.45</v>
      </c>
      <c r="I108" s="28">
        <v>857.48</v>
      </c>
      <c r="J108" s="28">
        <v>628.04999999999995</v>
      </c>
      <c r="K108" s="28">
        <v>646.63</v>
      </c>
      <c r="L108" s="28">
        <v>876.46</v>
      </c>
      <c r="M108" s="28">
        <v>953.91</v>
      </c>
      <c r="N108" s="28">
        <v>830.36</v>
      </c>
      <c r="O108" s="28">
        <v>782.86</v>
      </c>
      <c r="P108" s="28">
        <v>1062.6600000000001</v>
      </c>
      <c r="Q108" s="28">
        <v>983.37</v>
      </c>
      <c r="R108" s="28">
        <v>790.53</v>
      </c>
      <c r="S108" s="28">
        <v>942.17</v>
      </c>
      <c r="T108" s="28">
        <v>876.22</v>
      </c>
      <c r="U108" s="28">
        <v>571.58000000000004</v>
      </c>
      <c r="V108" s="28">
        <v>678.79</v>
      </c>
      <c r="W108" s="28">
        <v>631.29999999999995</v>
      </c>
      <c r="X108" s="28">
        <v>624.59</v>
      </c>
      <c r="Y108" s="28">
        <v>633.29</v>
      </c>
      <c r="Z108" s="28">
        <v>638.46</v>
      </c>
      <c r="AA108" s="28">
        <v>645.67999999999995</v>
      </c>
      <c r="AB108" s="28">
        <v>646</v>
      </c>
      <c r="AC108" s="28">
        <v>667.9</v>
      </c>
      <c r="AD108" s="28">
        <v>685.22</v>
      </c>
      <c r="AE108" s="28">
        <v>704.57</v>
      </c>
      <c r="AF108" s="28">
        <v>722.8</v>
      </c>
      <c r="AG108" s="28">
        <v>725.02</v>
      </c>
      <c r="AH108" s="28">
        <v>718.76</v>
      </c>
      <c r="AI108" s="28">
        <v>697.05</v>
      </c>
      <c r="AJ108" s="28">
        <v>672.63</v>
      </c>
      <c r="AK108" s="28">
        <v>653.30999999999995</v>
      </c>
    </row>
    <row r="109" spans="1:37">
      <c r="A109" t="s">
        <v>1200</v>
      </c>
      <c r="B109" s="28">
        <v>68.430000000000007</v>
      </c>
      <c r="C109" s="28">
        <v>57.43</v>
      </c>
      <c r="D109" s="28">
        <v>44.07</v>
      </c>
      <c r="E109" s="28">
        <v>56.73</v>
      </c>
      <c r="F109" s="28">
        <v>52.28</v>
      </c>
      <c r="G109" s="28">
        <v>52.52</v>
      </c>
      <c r="H109" s="28">
        <v>61.58</v>
      </c>
      <c r="I109" s="28">
        <v>44.24</v>
      </c>
      <c r="J109" s="28">
        <v>55.25</v>
      </c>
      <c r="K109" s="28">
        <v>59.23</v>
      </c>
      <c r="L109" s="28">
        <v>46.29</v>
      </c>
      <c r="M109" s="28">
        <v>49.62</v>
      </c>
      <c r="N109" s="28">
        <v>43.25</v>
      </c>
      <c r="O109" s="28">
        <v>45.2</v>
      </c>
      <c r="P109" s="28">
        <v>56.62</v>
      </c>
      <c r="Q109" s="28">
        <v>56.51</v>
      </c>
      <c r="R109" s="28">
        <v>45.72</v>
      </c>
      <c r="S109" s="28">
        <v>54.21</v>
      </c>
      <c r="T109" s="28">
        <v>50.35</v>
      </c>
      <c r="U109" s="28">
        <v>32.75</v>
      </c>
      <c r="V109" s="28">
        <v>77.790000000000006</v>
      </c>
      <c r="W109" s="28">
        <v>36.17</v>
      </c>
      <c r="X109" s="28">
        <v>35.79</v>
      </c>
      <c r="Y109" s="28">
        <v>36.29</v>
      </c>
      <c r="Z109" s="28">
        <v>36.590000000000003</v>
      </c>
      <c r="AA109" s="28">
        <v>37.01</v>
      </c>
      <c r="AB109" s="28">
        <v>37.03</v>
      </c>
      <c r="AC109" s="28">
        <v>38.29</v>
      </c>
      <c r="AD109" s="28">
        <v>39.29</v>
      </c>
      <c r="AE109" s="28">
        <v>40.4</v>
      </c>
      <c r="AF109" s="28">
        <v>41.45</v>
      </c>
      <c r="AG109" s="28">
        <v>41.58</v>
      </c>
      <c r="AH109" s="28">
        <v>41.22</v>
      </c>
      <c r="AI109" s="28">
        <v>39.979999999999997</v>
      </c>
      <c r="AJ109" s="28">
        <v>38.58</v>
      </c>
      <c r="AK109" s="28">
        <v>37.479999999999997</v>
      </c>
    </row>
    <row r="110" spans="1:37">
      <c r="A110" t="s">
        <v>1201</v>
      </c>
      <c r="B110" s="28">
        <v>408.65</v>
      </c>
      <c r="C110" s="28">
        <v>405.94</v>
      </c>
      <c r="D110" s="28">
        <v>402.68</v>
      </c>
      <c r="E110" s="28">
        <v>398.47</v>
      </c>
      <c r="F110" s="28">
        <v>395.29</v>
      </c>
      <c r="G110" s="28">
        <v>403.89</v>
      </c>
      <c r="H110" s="28">
        <v>403.42</v>
      </c>
      <c r="I110" s="28">
        <v>402.02</v>
      </c>
      <c r="J110" s="28">
        <v>401.57</v>
      </c>
      <c r="K110" s="28">
        <v>401.77</v>
      </c>
      <c r="L110" s="28">
        <v>401.85</v>
      </c>
      <c r="M110" s="28">
        <v>400.81</v>
      </c>
      <c r="N110" s="28">
        <v>403.84</v>
      </c>
      <c r="O110" s="28">
        <v>407.03</v>
      </c>
      <c r="P110" s="28">
        <v>408.94</v>
      </c>
      <c r="Q110" s="28">
        <v>411.68</v>
      </c>
      <c r="R110" s="28">
        <v>414.32</v>
      </c>
      <c r="S110" s="28">
        <v>417.77</v>
      </c>
      <c r="T110" s="28">
        <v>418.89</v>
      </c>
      <c r="U110" s="28">
        <v>414.61</v>
      </c>
      <c r="V110" s="28">
        <v>364.95</v>
      </c>
      <c r="W110" s="28">
        <v>369.08</v>
      </c>
      <c r="X110" s="28">
        <v>371.64</v>
      </c>
      <c r="Y110" s="28">
        <v>374.82</v>
      </c>
      <c r="Z110" s="28">
        <v>378.66</v>
      </c>
      <c r="AA110" s="28">
        <v>383.5</v>
      </c>
      <c r="AB110" s="28">
        <v>387.5</v>
      </c>
      <c r="AC110" s="28">
        <v>392.8</v>
      </c>
      <c r="AD110" s="28">
        <v>396.17</v>
      </c>
      <c r="AE110" s="28">
        <v>399.83</v>
      </c>
      <c r="AF110" s="28">
        <v>402.3</v>
      </c>
      <c r="AG110" s="28">
        <v>404.41</v>
      </c>
      <c r="AH110" s="28">
        <v>406.4</v>
      </c>
      <c r="AI110" s="28">
        <v>407.11</v>
      </c>
      <c r="AJ110" s="28">
        <v>407.61</v>
      </c>
      <c r="AK110" s="28">
        <v>407.03</v>
      </c>
    </row>
    <row r="111" spans="1:37">
      <c r="A111" t="s">
        <v>1202</v>
      </c>
      <c r="B111" s="28">
        <v>43.38</v>
      </c>
      <c r="C111" s="28">
        <v>43.27</v>
      </c>
      <c r="D111" s="28">
        <v>43.22</v>
      </c>
      <c r="E111" s="28">
        <v>42.88</v>
      </c>
      <c r="F111" s="28">
        <v>42.61</v>
      </c>
      <c r="G111" s="28">
        <v>42.23</v>
      </c>
      <c r="H111" s="28">
        <v>42.29</v>
      </c>
      <c r="I111" s="28">
        <v>42.28</v>
      </c>
      <c r="J111" s="28">
        <v>42.49</v>
      </c>
      <c r="K111" s="28">
        <v>42.62</v>
      </c>
      <c r="L111" s="28">
        <v>42.83</v>
      </c>
      <c r="M111" s="28">
        <v>42.93</v>
      </c>
      <c r="N111" s="28">
        <v>43.35</v>
      </c>
      <c r="O111" s="28">
        <v>43.66</v>
      </c>
      <c r="P111" s="28">
        <v>43.91</v>
      </c>
      <c r="Q111" s="28">
        <v>44.1</v>
      </c>
      <c r="R111" s="28">
        <v>44.26</v>
      </c>
      <c r="S111" s="28">
        <v>44.49</v>
      </c>
      <c r="T111" s="28">
        <v>44.71</v>
      </c>
      <c r="U111" s="28">
        <v>44.74</v>
      </c>
      <c r="V111" s="28">
        <v>39.76</v>
      </c>
      <c r="W111" s="28">
        <v>38.9</v>
      </c>
      <c r="X111" s="28">
        <v>39.200000000000003</v>
      </c>
      <c r="Y111" s="28">
        <v>39.46</v>
      </c>
      <c r="Z111" s="28">
        <v>39.799999999999997</v>
      </c>
      <c r="AA111" s="28">
        <v>40.18</v>
      </c>
      <c r="AB111" s="28">
        <v>40.54</v>
      </c>
      <c r="AC111" s="28">
        <v>40.79</v>
      </c>
      <c r="AD111" s="28">
        <v>40.97</v>
      </c>
      <c r="AE111" s="28">
        <v>41.14</v>
      </c>
      <c r="AF111" s="28">
        <v>41.15</v>
      </c>
      <c r="AG111" s="28">
        <v>41.25</v>
      </c>
      <c r="AH111" s="28">
        <v>41.39</v>
      </c>
      <c r="AI111" s="28">
        <v>41.48</v>
      </c>
      <c r="AJ111" s="28">
        <v>41.58</v>
      </c>
      <c r="AK111" s="28">
        <v>41.66</v>
      </c>
    </row>
    <row r="112" spans="1:37">
      <c r="A112" t="s">
        <v>1203</v>
      </c>
      <c r="B112" s="28">
        <v>55.52</v>
      </c>
      <c r="C112" s="28">
        <v>54.89</v>
      </c>
      <c r="D112" s="28">
        <v>55.83</v>
      </c>
      <c r="E112" s="28">
        <v>57.12</v>
      </c>
      <c r="F112" s="28">
        <v>57.79</v>
      </c>
      <c r="G112" s="28">
        <v>58.48</v>
      </c>
      <c r="H112" s="28">
        <v>58.48</v>
      </c>
      <c r="I112" s="28">
        <v>58.08</v>
      </c>
      <c r="J112" s="28">
        <v>58.29</v>
      </c>
      <c r="K112" s="28">
        <v>58.57</v>
      </c>
      <c r="L112" s="28">
        <v>59.11</v>
      </c>
      <c r="M112" s="28">
        <v>59.72</v>
      </c>
      <c r="N112" s="28">
        <v>59.06</v>
      </c>
      <c r="O112" s="28">
        <v>58.41</v>
      </c>
      <c r="P112" s="28">
        <v>58.22</v>
      </c>
      <c r="Q112" s="28">
        <v>58.76</v>
      </c>
      <c r="R112" s="28">
        <v>59.22</v>
      </c>
      <c r="S112" s="28">
        <v>59.95</v>
      </c>
      <c r="T112" s="28">
        <v>60.12</v>
      </c>
      <c r="U112" s="28">
        <v>60.92</v>
      </c>
      <c r="V112" s="28">
        <v>61.58</v>
      </c>
      <c r="W112" s="28">
        <v>61.91</v>
      </c>
      <c r="X112" s="28">
        <v>62.58</v>
      </c>
      <c r="Y112" s="28">
        <v>62.25</v>
      </c>
      <c r="Z112" s="28">
        <v>62.51</v>
      </c>
      <c r="AA112" s="28">
        <v>62.8</v>
      </c>
      <c r="AB112" s="28">
        <v>63.12</v>
      </c>
      <c r="AC112" s="28">
        <v>63.42</v>
      </c>
      <c r="AD112" s="28">
        <v>63.66</v>
      </c>
      <c r="AE112" s="28">
        <v>63.86</v>
      </c>
      <c r="AF112" s="28">
        <v>64.010000000000005</v>
      </c>
      <c r="AG112" s="28">
        <v>64.14</v>
      </c>
      <c r="AH112" s="28">
        <v>64.260000000000005</v>
      </c>
      <c r="AI112" s="28">
        <v>64.38</v>
      </c>
      <c r="AJ112" s="28">
        <v>64.489999999999995</v>
      </c>
      <c r="AK112" s="28">
        <v>64.540000000000006</v>
      </c>
    </row>
    <row r="113" spans="1:37">
      <c r="A113" t="s">
        <v>1204</v>
      </c>
      <c r="B113" s="28">
        <v>308.69</v>
      </c>
      <c r="C113" s="28">
        <v>306.79000000000002</v>
      </c>
      <c r="D113" s="28">
        <v>306.62</v>
      </c>
      <c r="E113" s="28">
        <v>305.2</v>
      </c>
      <c r="F113" s="28">
        <v>309.5</v>
      </c>
      <c r="G113" s="28">
        <v>324.87</v>
      </c>
      <c r="H113" s="28">
        <v>325.64</v>
      </c>
      <c r="I113" s="28">
        <v>325.93</v>
      </c>
      <c r="J113" s="28">
        <v>325.3</v>
      </c>
      <c r="K113" s="28">
        <v>319.42</v>
      </c>
      <c r="L113" s="28">
        <v>318.16000000000003</v>
      </c>
      <c r="M113" s="28">
        <v>312.27</v>
      </c>
      <c r="N113" s="28">
        <v>311.41000000000003</v>
      </c>
      <c r="O113" s="28">
        <v>311.56</v>
      </c>
      <c r="P113" s="28">
        <v>307.64999999999998</v>
      </c>
      <c r="Q113" s="28">
        <v>305.05</v>
      </c>
      <c r="R113" s="28">
        <v>300.95</v>
      </c>
      <c r="S113" s="28">
        <v>300.52999999999997</v>
      </c>
      <c r="T113" s="28">
        <v>297.10000000000002</v>
      </c>
      <c r="U113" s="28">
        <v>294.44</v>
      </c>
      <c r="V113" s="28">
        <v>113.4</v>
      </c>
      <c r="W113" s="28">
        <v>113.14</v>
      </c>
      <c r="X113" s="28">
        <v>112.45</v>
      </c>
      <c r="Y113" s="28">
        <v>111.94</v>
      </c>
      <c r="Z113" s="28">
        <v>111.39</v>
      </c>
      <c r="AA113" s="28">
        <v>110.77</v>
      </c>
      <c r="AB113" s="28">
        <v>110.05</v>
      </c>
      <c r="AC113" s="28">
        <v>109.5</v>
      </c>
      <c r="AD113" s="28">
        <v>108.8</v>
      </c>
      <c r="AE113" s="28">
        <v>108.11</v>
      </c>
      <c r="AF113" s="28">
        <v>107.35</v>
      </c>
      <c r="AG113" s="28">
        <v>106.53</v>
      </c>
      <c r="AH113" s="28">
        <v>105.81</v>
      </c>
      <c r="AI113" s="28">
        <v>104.99</v>
      </c>
      <c r="AJ113" s="28">
        <v>104.2</v>
      </c>
      <c r="AK113" s="28">
        <v>103.34</v>
      </c>
    </row>
    <row r="114" spans="1:37">
      <c r="A114" t="s">
        <v>1205</v>
      </c>
      <c r="B114" s="28">
        <v>25.32</v>
      </c>
      <c r="C114" s="28">
        <v>24.87</v>
      </c>
      <c r="D114" s="28">
        <v>24.91</v>
      </c>
      <c r="E114" s="28">
        <v>25.27</v>
      </c>
      <c r="F114" s="28">
        <v>25.64</v>
      </c>
      <c r="G114" s="28">
        <v>26.1</v>
      </c>
      <c r="H114" s="28">
        <v>26.33</v>
      </c>
      <c r="I114" s="28">
        <v>26.07</v>
      </c>
      <c r="J114" s="28">
        <v>26.38</v>
      </c>
      <c r="K114" s="28">
        <v>26.02</v>
      </c>
      <c r="L114" s="28">
        <v>25.98</v>
      </c>
      <c r="M114" s="28">
        <v>25.77</v>
      </c>
      <c r="N114" s="28">
        <v>25.52</v>
      </c>
      <c r="O114" s="28">
        <v>25.56</v>
      </c>
      <c r="P114" s="28">
        <v>25.5</v>
      </c>
      <c r="Q114" s="28">
        <v>25.28</v>
      </c>
      <c r="R114" s="28">
        <v>24.87</v>
      </c>
      <c r="S114" s="28">
        <v>24.84</v>
      </c>
      <c r="T114" s="28">
        <v>24.24</v>
      </c>
      <c r="U114" s="28">
        <v>24.03</v>
      </c>
      <c r="V114" s="28">
        <v>9.19</v>
      </c>
      <c r="W114" s="28">
        <v>9.1199999999999992</v>
      </c>
      <c r="X114" s="28">
        <v>9.07</v>
      </c>
      <c r="Y114" s="28">
        <v>9.06</v>
      </c>
      <c r="Z114" s="28">
        <v>9.01</v>
      </c>
      <c r="AA114" s="28">
        <v>8.9700000000000006</v>
      </c>
      <c r="AB114" s="28">
        <v>8.92</v>
      </c>
      <c r="AC114" s="28">
        <v>8.8699999999999992</v>
      </c>
      <c r="AD114" s="28">
        <v>8.81</v>
      </c>
      <c r="AE114" s="28">
        <v>8.75</v>
      </c>
      <c r="AF114" s="28">
        <v>8.68</v>
      </c>
      <c r="AG114" s="28">
        <v>8.61</v>
      </c>
      <c r="AH114" s="28">
        <v>8.5500000000000007</v>
      </c>
      <c r="AI114" s="28">
        <v>8.48</v>
      </c>
      <c r="AJ114" s="28">
        <v>8.42</v>
      </c>
      <c r="AK114" s="28">
        <v>8.3699999999999992</v>
      </c>
    </row>
    <row r="115" spans="1:37">
      <c r="A115" t="s">
        <v>1206</v>
      </c>
      <c r="B115" s="28">
        <v>455.06</v>
      </c>
      <c r="C115" s="28">
        <v>453.56</v>
      </c>
      <c r="D115" s="28">
        <v>453.09</v>
      </c>
      <c r="E115" s="28">
        <v>452.82</v>
      </c>
      <c r="F115" s="28">
        <v>457.54</v>
      </c>
      <c r="G115" s="28">
        <v>478.24</v>
      </c>
      <c r="H115" s="28">
        <v>479.16</v>
      </c>
      <c r="I115" s="28">
        <v>480.24</v>
      </c>
      <c r="J115" s="28">
        <v>477.04</v>
      </c>
      <c r="K115" s="28">
        <v>471.19</v>
      </c>
      <c r="L115" s="28">
        <v>468.59</v>
      </c>
      <c r="M115" s="28">
        <v>462.91</v>
      </c>
      <c r="N115" s="28">
        <v>458.93</v>
      </c>
      <c r="O115" s="28">
        <v>458.47</v>
      </c>
      <c r="P115" s="28">
        <v>455.27</v>
      </c>
      <c r="Q115" s="28">
        <v>452.56</v>
      </c>
      <c r="R115" s="28">
        <v>448.83</v>
      </c>
      <c r="S115" s="28">
        <v>449.4</v>
      </c>
      <c r="T115" s="28">
        <v>445.38</v>
      </c>
      <c r="U115" s="28">
        <v>441.2</v>
      </c>
      <c r="V115" s="28">
        <v>494.36</v>
      </c>
      <c r="W115" s="28">
        <v>519.97</v>
      </c>
      <c r="X115" s="28">
        <v>517.29999999999995</v>
      </c>
      <c r="Y115" s="28">
        <v>516.02</v>
      </c>
      <c r="Z115" s="28">
        <v>513.73</v>
      </c>
      <c r="AA115" s="28">
        <v>512.57000000000005</v>
      </c>
      <c r="AB115" s="28">
        <v>509.84</v>
      </c>
      <c r="AC115" s="28">
        <v>510.24</v>
      </c>
      <c r="AD115" s="28">
        <v>511.22</v>
      </c>
      <c r="AE115" s="28">
        <v>512.25</v>
      </c>
      <c r="AF115" s="28">
        <v>515.19000000000005</v>
      </c>
      <c r="AG115" s="28">
        <v>515.45000000000005</v>
      </c>
      <c r="AH115" s="28">
        <v>514.38</v>
      </c>
      <c r="AI115" s="28">
        <v>514.1</v>
      </c>
      <c r="AJ115" s="28">
        <v>513.02</v>
      </c>
      <c r="AK115" s="28">
        <v>511.7</v>
      </c>
    </row>
    <row r="116" spans="1:37">
      <c r="A116" t="s">
        <v>1207</v>
      </c>
      <c r="B116" s="28">
        <v>37.340000000000003</v>
      </c>
      <c r="C116" s="28">
        <v>36.78</v>
      </c>
      <c r="D116" s="28">
        <v>36.81</v>
      </c>
      <c r="E116" s="28">
        <v>37.5</v>
      </c>
      <c r="F116" s="28">
        <v>37.909999999999997</v>
      </c>
      <c r="G116" s="28">
        <v>38.42</v>
      </c>
      <c r="H116" s="28">
        <v>38.75</v>
      </c>
      <c r="I116" s="28">
        <v>38.4</v>
      </c>
      <c r="J116" s="28">
        <v>38.68</v>
      </c>
      <c r="K116" s="28">
        <v>38.380000000000003</v>
      </c>
      <c r="L116" s="28">
        <v>38.26</v>
      </c>
      <c r="M116" s="28">
        <v>38.200000000000003</v>
      </c>
      <c r="N116" s="28">
        <v>37.6</v>
      </c>
      <c r="O116" s="28">
        <v>37.61</v>
      </c>
      <c r="P116" s="28">
        <v>37.68</v>
      </c>
      <c r="Q116" s="28">
        <v>37.44</v>
      </c>
      <c r="R116" s="28">
        <v>37.020000000000003</v>
      </c>
      <c r="S116" s="28">
        <v>37.07</v>
      </c>
      <c r="T116" s="28">
        <v>36.25</v>
      </c>
      <c r="U116" s="28">
        <v>35.93</v>
      </c>
      <c r="V116" s="28">
        <v>39.97</v>
      </c>
      <c r="W116" s="28">
        <v>41.84</v>
      </c>
      <c r="X116" s="28">
        <v>41.65</v>
      </c>
      <c r="Y116" s="28">
        <v>41.65</v>
      </c>
      <c r="Z116" s="28">
        <v>41.46</v>
      </c>
      <c r="AA116" s="28">
        <v>41.39</v>
      </c>
      <c r="AB116" s="28">
        <v>41.22</v>
      </c>
      <c r="AC116" s="28">
        <v>41.2</v>
      </c>
      <c r="AD116" s="28">
        <v>41.28</v>
      </c>
      <c r="AE116" s="28">
        <v>41.34</v>
      </c>
      <c r="AF116" s="28">
        <v>41.53</v>
      </c>
      <c r="AG116" s="28">
        <v>41.54</v>
      </c>
      <c r="AH116" s="28">
        <v>41.4</v>
      </c>
      <c r="AI116" s="28">
        <v>41.4</v>
      </c>
      <c r="AJ116" s="28">
        <v>41.33</v>
      </c>
      <c r="AK116" s="28">
        <v>41.33</v>
      </c>
    </row>
    <row r="117" spans="1:37">
      <c r="A117" t="s">
        <v>1208</v>
      </c>
      <c r="B117" s="28">
        <v>-7.32</v>
      </c>
      <c r="C117" s="28">
        <v>-3.15</v>
      </c>
      <c r="D117" s="28">
        <v>-1.62</v>
      </c>
      <c r="E117" s="28">
        <v>-0.88</v>
      </c>
      <c r="F117" s="28">
        <v>-0.56999999999999995</v>
      </c>
      <c r="G117" s="28">
        <v>-5.95</v>
      </c>
      <c r="H117" s="28">
        <v>-4.7300000000000004</v>
      </c>
      <c r="I117" s="28">
        <v>-3.54</v>
      </c>
      <c r="J117" s="28">
        <v>-2.52</v>
      </c>
      <c r="K117" s="28">
        <v>-2.0099999999999998</v>
      </c>
      <c r="L117" s="28">
        <v>-1.29</v>
      </c>
      <c r="M117" s="28">
        <v>-0.6</v>
      </c>
      <c r="N117" s="28">
        <v>-4.26</v>
      </c>
      <c r="O117" s="28">
        <v>-0.86</v>
      </c>
      <c r="P117" s="28">
        <v>1.03</v>
      </c>
      <c r="Q117" s="28">
        <v>1.35</v>
      </c>
      <c r="R117" s="28">
        <v>1.46</v>
      </c>
      <c r="S117" s="28">
        <v>1.28</v>
      </c>
      <c r="T117" s="28">
        <v>1.53</v>
      </c>
      <c r="U117" s="28">
        <v>3.01</v>
      </c>
      <c r="V117" s="28">
        <v>3.01</v>
      </c>
      <c r="W117" s="28">
        <v>3.77</v>
      </c>
      <c r="X117" s="28">
        <v>4.13</v>
      </c>
      <c r="Y117" s="28">
        <v>5.08</v>
      </c>
      <c r="Z117" s="28">
        <v>5.79</v>
      </c>
      <c r="AA117" s="28">
        <v>6.57</v>
      </c>
      <c r="AB117" s="28">
        <v>7.45</v>
      </c>
      <c r="AC117" s="28">
        <v>8.48</v>
      </c>
      <c r="AD117" s="28">
        <v>9.2799999999999994</v>
      </c>
      <c r="AE117" s="28">
        <v>10.32</v>
      </c>
      <c r="AF117" s="28">
        <v>11.35</v>
      </c>
      <c r="AG117" s="28">
        <v>12.5</v>
      </c>
      <c r="AH117" s="28">
        <v>13.76</v>
      </c>
      <c r="AI117" s="28">
        <v>14.87</v>
      </c>
      <c r="AJ117" s="28">
        <v>16.170000000000002</v>
      </c>
      <c r="AK117" s="28">
        <v>17.440000000000001</v>
      </c>
    </row>
    <row r="118" spans="1:37">
      <c r="A118" t="s">
        <v>1172</v>
      </c>
      <c r="B118" s="28">
        <v>-1.27</v>
      </c>
      <c r="C118" s="28">
        <v>-2.5</v>
      </c>
      <c r="D118" s="28">
        <v>-4</v>
      </c>
      <c r="E118" s="28">
        <v>-3.51</v>
      </c>
      <c r="F118" s="28">
        <v>-3.08</v>
      </c>
      <c r="G118" s="28">
        <v>-2.0299999999999998</v>
      </c>
      <c r="H118" s="28">
        <v>-1.84</v>
      </c>
      <c r="I118" s="28">
        <v>-1.48</v>
      </c>
      <c r="J118" s="28">
        <v>-1.5</v>
      </c>
      <c r="K118" s="28">
        <v>-1.38</v>
      </c>
      <c r="L118" s="28">
        <v>-1.23</v>
      </c>
      <c r="M118" s="28">
        <v>-1.02</v>
      </c>
      <c r="N118" s="28">
        <v>0.61</v>
      </c>
      <c r="O118" s="28">
        <v>1.84</v>
      </c>
      <c r="P118" s="28">
        <v>2.41</v>
      </c>
      <c r="Q118" s="28">
        <v>3.21</v>
      </c>
      <c r="R118" s="28">
        <v>3.54</v>
      </c>
      <c r="S118" s="28">
        <v>3.72</v>
      </c>
      <c r="T118" s="28">
        <v>3.22</v>
      </c>
      <c r="U118" s="28">
        <v>2.8</v>
      </c>
      <c r="V118" s="28">
        <v>2.42</v>
      </c>
      <c r="W118" s="28">
        <v>7.96</v>
      </c>
      <c r="X118" s="28">
        <v>8.81</v>
      </c>
      <c r="Y118" s="28">
        <v>9.75</v>
      </c>
      <c r="Z118" s="28">
        <v>10.73</v>
      </c>
      <c r="AA118" s="28">
        <v>12.07</v>
      </c>
      <c r="AB118" s="28">
        <v>13.27</v>
      </c>
      <c r="AC118" s="28">
        <v>15.22</v>
      </c>
      <c r="AD118" s="28">
        <v>17</v>
      </c>
      <c r="AE118" s="28">
        <v>18.91</v>
      </c>
      <c r="AF118" s="28">
        <v>21.1</v>
      </c>
      <c r="AG118" s="28">
        <v>22.91</v>
      </c>
      <c r="AH118" s="28">
        <v>24.34</v>
      </c>
      <c r="AI118" s="28">
        <v>25.62</v>
      </c>
      <c r="AJ118" s="28">
        <v>26.74</v>
      </c>
      <c r="AK118" s="28">
        <v>27.64</v>
      </c>
    </row>
    <row r="119" spans="1:37">
      <c r="A119" t="s">
        <v>1173</v>
      </c>
      <c r="B119" s="28">
        <v>-17.600000000000001</v>
      </c>
      <c r="C119" s="28">
        <v>-1.27</v>
      </c>
      <c r="D119" s="28">
        <v>-1.1499999999999999</v>
      </c>
      <c r="E119" s="28">
        <v>-6.2</v>
      </c>
      <c r="F119" s="28">
        <v>-4.93</v>
      </c>
      <c r="G119" s="28">
        <v>-3.52</v>
      </c>
      <c r="H119" s="28">
        <v>-3.77</v>
      </c>
      <c r="I119" s="28">
        <v>-1.04</v>
      </c>
      <c r="J119" s="28">
        <v>-2.12</v>
      </c>
      <c r="K119" s="28">
        <v>-2.19</v>
      </c>
      <c r="L119" s="28">
        <v>-1.71</v>
      </c>
      <c r="M119" s="28">
        <v>-2.0499999999999998</v>
      </c>
      <c r="N119" s="28">
        <v>11.95</v>
      </c>
      <c r="O119" s="28">
        <v>6.59</v>
      </c>
      <c r="P119" s="28">
        <v>1.7</v>
      </c>
      <c r="Q119" s="28">
        <v>1.91</v>
      </c>
      <c r="R119" s="28">
        <v>2.59</v>
      </c>
      <c r="S119" s="28">
        <v>2.1800000000000002</v>
      </c>
      <c r="T119" s="28">
        <v>4.62</v>
      </c>
      <c r="U119" s="28">
        <v>5.65</v>
      </c>
      <c r="V119" s="28">
        <v>7.53</v>
      </c>
      <c r="W119" s="28">
        <v>8.69</v>
      </c>
      <c r="X119" s="28">
        <v>9.58</v>
      </c>
      <c r="Y119" s="28">
        <v>9.89</v>
      </c>
      <c r="Z119" s="28">
        <v>10.69</v>
      </c>
      <c r="AA119" s="28">
        <v>11.48</v>
      </c>
      <c r="AB119" s="28">
        <v>12.31</v>
      </c>
      <c r="AC119" s="28">
        <v>13.31</v>
      </c>
      <c r="AD119" s="28">
        <v>14.32</v>
      </c>
      <c r="AE119" s="28">
        <v>15.44</v>
      </c>
      <c r="AF119" s="28">
        <v>16.77</v>
      </c>
      <c r="AG119" s="28">
        <v>18.09</v>
      </c>
      <c r="AH119" s="28">
        <v>19.440000000000001</v>
      </c>
      <c r="AI119" s="28">
        <v>20.7</v>
      </c>
      <c r="AJ119" s="28">
        <v>21.89</v>
      </c>
      <c r="AK119" s="28">
        <v>22.9</v>
      </c>
    </row>
    <row r="120" spans="1:37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</row>
    <row r="121" spans="1:37">
      <c r="A121" t="s">
        <v>1209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</row>
    <row r="122" spans="1:37">
      <c r="A122" t="s">
        <v>1210</v>
      </c>
      <c r="B122" s="28">
        <v>15.08</v>
      </c>
      <c r="C122" s="28">
        <v>14.98</v>
      </c>
      <c r="D122" s="28">
        <v>14.95</v>
      </c>
      <c r="E122" s="28">
        <v>15.48</v>
      </c>
      <c r="F122" s="28">
        <v>15.72</v>
      </c>
      <c r="G122" s="28">
        <v>16.09</v>
      </c>
      <c r="H122" s="28">
        <v>16.13</v>
      </c>
      <c r="I122" s="28">
        <v>15.89</v>
      </c>
      <c r="J122" s="28">
        <v>16.05</v>
      </c>
      <c r="K122" s="28">
        <v>16.03</v>
      </c>
      <c r="L122" s="28">
        <v>15.95</v>
      </c>
      <c r="M122" s="28">
        <v>15.94</v>
      </c>
      <c r="N122" s="28">
        <v>15.77</v>
      </c>
      <c r="O122" s="28">
        <v>15.64</v>
      </c>
      <c r="P122" s="28">
        <v>15.56</v>
      </c>
      <c r="Q122" s="28">
        <v>15.51</v>
      </c>
      <c r="R122" s="28">
        <v>15.43</v>
      </c>
      <c r="S122" s="28">
        <v>15.3</v>
      </c>
      <c r="T122" s="28">
        <v>14.94</v>
      </c>
      <c r="U122" s="28">
        <v>14.73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</row>
    <row r="123" spans="1:37">
      <c r="A123" t="s">
        <v>1211</v>
      </c>
      <c r="B123" s="28">
        <v>20.43</v>
      </c>
      <c r="C123" s="28">
        <v>20.38</v>
      </c>
      <c r="D123" s="28">
        <v>20.399999999999999</v>
      </c>
      <c r="E123" s="28">
        <v>21.19</v>
      </c>
      <c r="F123" s="28">
        <v>21.54</v>
      </c>
      <c r="G123" s="28">
        <v>22.01</v>
      </c>
      <c r="H123" s="28">
        <v>22.17</v>
      </c>
      <c r="I123" s="28">
        <v>21.99</v>
      </c>
      <c r="J123" s="28">
        <v>22.1</v>
      </c>
      <c r="K123" s="28">
        <v>22.16</v>
      </c>
      <c r="L123" s="28">
        <v>22.02</v>
      </c>
      <c r="M123" s="28">
        <v>22.16</v>
      </c>
      <c r="N123" s="28">
        <v>21.77</v>
      </c>
      <c r="O123" s="28">
        <v>21.68</v>
      </c>
      <c r="P123" s="28">
        <v>21.9</v>
      </c>
      <c r="Q123" s="28">
        <v>21.91</v>
      </c>
      <c r="R123" s="28">
        <v>21.86</v>
      </c>
      <c r="S123" s="28">
        <v>21.94</v>
      </c>
      <c r="T123" s="28">
        <v>21.52</v>
      </c>
      <c r="U123" s="28">
        <v>21.27</v>
      </c>
      <c r="V123" s="28">
        <v>21.23</v>
      </c>
      <c r="W123" s="28">
        <v>21.33</v>
      </c>
      <c r="X123" s="28">
        <v>21.47</v>
      </c>
      <c r="Y123" s="28">
        <v>21.72</v>
      </c>
      <c r="Z123" s="28">
        <v>21.84</v>
      </c>
      <c r="AA123" s="28">
        <v>22.07</v>
      </c>
      <c r="AB123" s="28">
        <v>22.18</v>
      </c>
      <c r="AC123" s="28">
        <v>22.43</v>
      </c>
      <c r="AD123" s="28">
        <v>22.77</v>
      </c>
      <c r="AE123" s="28">
        <v>23.08</v>
      </c>
      <c r="AF123" s="28">
        <v>23.52</v>
      </c>
      <c r="AG123" s="28">
        <v>23.75</v>
      </c>
      <c r="AH123" s="28">
        <v>23.82</v>
      </c>
      <c r="AI123" s="28">
        <v>24.01</v>
      </c>
      <c r="AJ123" s="28">
        <v>24.13</v>
      </c>
      <c r="AK123" s="28">
        <v>24.29</v>
      </c>
    </row>
    <row r="124" spans="1:37">
      <c r="A124" t="s">
        <v>1212</v>
      </c>
      <c r="B124" s="28">
        <v>6.44</v>
      </c>
      <c r="C124" s="28">
        <v>6.24</v>
      </c>
      <c r="D124" s="28">
        <v>6.29</v>
      </c>
      <c r="E124" s="28">
        <v>6.35</v>
      </c>
      <c r="F124" s="28">
        <v>6.4</v>
      </c>
      <c r="G124" s="28">
        <v>6.39</v>
      </c>
      <c r="H124" s="28">
        <v>6.46</v>
      </c>
      <c r="I124" s="28">
        <v>6.45</v>
      </c>
      <c r="J124" s="28">
        <v>6.48</v>
      </c>
      <c r="K124" s="28">
        <v>6.5</v>
      </c>
      <c r="L124" s="28">
        <v>6.5</v>
      </c>
      <c r="M124" s="28">
        <v>6.58</v>
      </c>
      <c r="N124" s="28">
        <v>6.73</v>
      </c>
      <c r="O124" s="28">
        <v>6.54</v>
      </c>
      <c r="P124" s="28">
        <v>6.68</v>
      </c>
      <c r="Q124" s="28">
        <v>6.7</v>
      </c>
      <c r="R124" s="28">
        <v>6.79</v>
      </c>
      <c r="S124" s="28">
        <v>6.88</v>
      </c>
      <c r="T124" s="28">
        <v>6.93</v>
      </c>
      <c r="U124" s="28">
        <v>7.01</v>
      </c>
      <c r="V124" s="28">
        <v>6.97</v>
      </c>
      <c r="W124" s="28">
        <v>6.94</v>
      </c>
      <c r="X124" s="28">
        <v>6.92</v>
      </c>
      <c r="Y124" s="28">
        <v>6.91</v>
      </c>
      <c r="Z124" s="28">
        <v>6.89</v>
      </c>
      <c r="AA124" s="28">
        <v>6.88</v>
      </c>
      <c r="AB124" s="28">
        <v>6.86</v>
      </c>
      <c r="AC124" s="28">
        <v>6.84</v>
      </c>
      <c r="AD124" s="28">
        <v>6.81</v>
      </c>
      <c r="AE124" s="28">
        <v>6.79</v>
      </c>
      <c r="AF124" s="28">
        <v>6.76</v>
      </c>
      <c r="AG124" s="28">
        <v>6.73</v>
      </c>
      <c r="AH124" s="28">
        <v>6.71</v>
      </c>
      <c r="AI124" s="28">
        <v>6.68</v>
      </c>
      <c r="AJ124" s="28">
        <v>6.65</v>
      </c>
      <c r="AK124" s="28">
        <v>6.63</v>
      </c>
    </row>
    <row r="125" spans="1:37">
      <c r="A125" t="s">
        <v>1213</v>
      </c>
      <c r="B125" s="28">
        <v>2.12</v>
      </c>
      <c r="C125" s="28">
        <v>2.0099999999999998</v>
      </c>
      <c r="D125" s="28">
        <v>2.06</v>
      </c>
      <c r="E125" s="28">
        <v>2.08</v>
      </c>
      <c r="F125" s="28">
        <v>2.1</v>
      </c>
      <c r="G125" s="28">
        <v>2.1</v>
      </c>
      <c r="H125" s="28">
        <v>2.12</v>
      </c>
      <c r="I125" s="28">
        <v>2.11</v>
      </c>
      <c r="J125" s="28">
        <v>2.11</v>
      </c>
      <c r="K125" s="28">
        <v>2.1</v>
      </c>
      <c r="L125" s="28">
        <v>2.09</v>
      </c>
      <c r="M125" s="28">
        <v>2.09</v>
      </c>
      <c r="N125" s="28">
        <v>1.99</v>
      </c>
      <c r="O125" s="28">
        <v>1.86</v>
      </c>
      <c r="P125" s="28">
        <v>1.87</v>
      </c>
      <c r="Q125" s="28">
        <v>1.84</v>
      </c>
      <c r="R125" s="28">
        <v>1.87</v>
      </c>
      <c r="S125" s="28">
        <v>1.93</v>
      </c>
      <c r="T125" s="28">
        <v>1.99</v>
      </c>
      <c r="U125" s="28">
        <v>2.0099999999999998</v>
      </c>
      <c r="V125" s="28">
        <v>2</v>
      </c>
      <c r="W125" s="28">
        <v>1.99</v>
      </c>
      <c r="X125" s="28">
        <v>1.99</v>
      </c>
      <c r="Y125" s="28">
        <v>1.98</v>
      </c>
      <c r="Z125" s="28">
        <v>1.98</v>
      </c>
      <c r="AA125" s="28">
        <v>1.97</v>
      </c>
      <c r="AB125" s="28">
        <v>1.97</v>
      </c>
      <c r="AC125" s="28">
        <v>1.96</v>
      </c>
      <c r="AD125" s="28">
        <v>1.96</v>
      </c>
      <c r="AE125" s="28">
        <v>1.95</v>
      </c>
      <c r="AF125" s="28">
        <v>1.94</v>
      </c>
      <c r="AG125" s="28">
        <v>1.93</v>
      </c>
      <c r="AH125" s="28">
        <v>1.92</v>
      </c>
      <c r="AI125" s="28">
        <v>1.92</v>
      </c>
      <c r="AJ125" s="28">
        <v>1.91</v>
      </c>
      <c r="AK125" s="28">
        <v>1.9</v>
      </c>
    </row>
    <row r="126" spans="1:37">
      <c r="A126" t="s">
        <v>1214</v>
      </c>
      <c r="B126" s="28">
        <v>0.01</v>
      </c>
      <c r="C126" s="28">
        <v>0.05</v>
      </c>
      <c r="D126" s="28">
        <v>7.0000000000000007E-2</v>
      </c>
      <c r="E126" s="28">
        <v>0.08</v>
      </c>
      <c r="F126" s="28">
        <v>0.08</v>
      </c>
      <c r="G126" s="28">
        <v>0.13</v>
      </c>
      <c r="H126" s="28">
        <v>0.14000000000000001</v>
      </c>
      <c r="I126" s="28">
        <v>0.17</v>
      </c>
      <c r="J126" s="28">
        <v>0.2</v>
      </c>
      <c r="K126" s="28">
        <v>0.2</v>
      </c>
      <c r="L126" s="28">
        <v>0.23</v>
      </c>
      <c r="M126" s="28">
        <v>0.26</v>
      </c>
      <c r="N126" s="28">
        <v>0.26</v>
      </c>
      <c r="O126" s="28">
        <v>0.24</v>
      </c>
      <c r="P126" s="28">
        <v>0.28999999999999998</v>
      </c>
      <c r="Q126" s="28">
        <v>0.26</v>
      </c>
      <c r="R126" s="28">
        <v>0.24</v>
      </c>
      <c r="S126" s="28">
        <v>0.21</v>
      </c>
      <c r="T126" s="28">
        <v>0.21</v>
      </c>
      <c r="U126" s="28">
        <v>0.32</v>
      </c>
      <c r="V126" s="28">
        <v>0.38</v>
      </c>
      <c r="W126" s="28">
        <v>0.41</v>
      </c>
      <c r="X126" s="28">
        <v>0.48</v>
      </c>
      <c r="Y126" s="28">
        <v>0.54</v>
      </c>
      <c r="Z126" s="28">
        <v>0.06</v>
      </c>
      <c r="AA126" s="28">
        <v>0.13</v>
      </c>
      <c r="AB126" s="28">
        <v>0.21</v>
      </c>
      <c r="AC126" s="28">
        <v>0.28000000000000003</v>
      </c>
      <c r="AD126" s="28">
        <v>0.36</v>
      </c>
      <c r="AE126" s="28">
        <v>0.44</v>
      </c>
      <c r="AF126" s="28">
        <v>0.52</v>
      </c>
      <c r="AG126" s="28">
        <v>0.62</v>
      </c>
      <c r="AH126" s="28">
        <v>0.7</v>
      </c>
      <c r="AI126" s="28">
        <v>0.8</v>
      </c>
      <c r="AJ126" s="28">
        <v>0.9</v>
      </c>
      <c r="AK126" s="28">
        <v>1</v>
      </c>
    </row>
    <row r="127" spans="1:37">
      <c r="A127" t="s">
        <v>1215</v>
      </c>
      <c r="B127" s="28">
        <v>0.01</v>
      </c>
      <c r="C127" s="28">
        <v>0.03</v>
      </c>
      <c r="D127" s="28">
        <v>7.0000000000000007E-2</v>
      </c>
      <c r="E127" s="28">
        <v>0.08</v>
      </c>
      <c r="F127" s="28">
        <v>0.08</v>
      </c>
      <c r="G127" s="28">
        <v>0.13</v>
      </c>
      <c r="H127" s="28">
        <v>0.14000000000000001</v>
      </c>
      <c r="I127" s="28">
        <v>0.17</v>
      </c>
      <c r="J127" s="28">
        <v>0.2</v>
      </c>
      <c r="K127" s="28">
        <v>0.2</v>
      </c>
      <c r="L127" s="28">
        <v>0.23</v>
      </c>
      <c r="M127" s="28">
        <v>0.26</v>
      </c>
      <c r="N127" s="28">
        <v>0.26</v>
      </c>
      <c r="O127" s="28">
        <v>0.24</v>
      </c>
      <c r="P127" s="28">
        <v>0.28999999999999998</v>
      </c>
      <c r="Q127" s="28">
        <v>0.26</v>
      </c>
      <c r="R127" s="28">
        <v>0.24</v>
      </c>
      <c r="S127" s="28">
        <v>0.21</v>
      </c>
      <c r="T127" s="28">
        <v>0.21</v>
      </c>
      <c r="U127" s="28">
        <v>0.14000000000000001</v>
      </c>
      <c r="V127" s="28">
        <v>0.13</v>
      </c>
      <c r="W127" s="28">
        <v>0.13</v>
      </c>
      <c r="X127" s="28">
        <v>0.13</v>
      </c>
      <c r="Y127" s="28">
        <v>0.13</v>
      </c>
      <c r="Z127" s="28">
        <v>0.13</v>
      </c>
      <c r="AA127" s="28">
        <v>0.13</v>
      </c>
      <c r="AB127" s="28">
        <v>0.13</v>
      </c>
      <c r="AC127" s="28">
        <v>0.13</v>
      </c>
      <c r="AD127" s="28">
        <v>0.13</v>
      </c>
      <c r="AE127" s="28">
        <v>0.13</v>
      </c>
      <c r="AF127" s="28">
        <v>0.13</v>
      </c>
      <c r="AG127" s="28">
        <v>0.13</v>
      </c>
      <c r="AH127" s="28">
        <v>0.13</v>
      </c>
      <c r="AI127" s="28">
        <v>0.13</v>
      </c>
      <c r="AJ127" s="28">
        <v>0.13</v>
      </c>
      <c r="AK127" s="28">
        <v>0.13</v>
      </c>
    </row>
    <row r="128" spans="1:37">
      <c r="A128" t="s">
        <v>1216</v>
      </c>
      <c r="B128" s="28">
        <v>48.7</v>
      </c>
      <c r="C128" s="28">
        <v>49.86</v>
      </c>
      <c r="D128" s="28">
        <v>47.13</v>
      </c>
      <c r="E128" s="28">
        <v>48.17</v>
      </c>
      <c r="F128" s="28">
        <v>48.62</v>
      </c>
      <c r="G128" s="28">
        <v>48.39</v>
      </c>
      <c r="H128" s="28">
        <v>48.4</v>
      </c>
      <c r="I128" s="28">
        <v>48.54</v>
      </c>
      <c r="J128" s="28">
        <v>48.23</v>
      </c>
      <c r="K128" s="28">
        <v>48.27</v>
      </c>
      <c r="L128" s="28">
        <v>48.28</v>
      </c>
      <c r="M128" s="28">
        <v>48.03</v>
      </c>
      <c r="N128" s="28">
        <v>47.13</v>
      </c>
      <c r="O128" s="28">
        <v>48.34</v>
      </c>
      <c r="P128" s="28">
        <v>47.5</v>
      </c>
      <c r="Q128" s="28">
        <v>46.15</v>
      </c>
      <c r="R128" s="28">
        <v>46.91</v>
      </c>
      <c r="S128" s="28">
        <v>47.34</v>
      </c>
      <c r="T128" s="28">
        <v>47.97</v>
      </c>
      <c r="U128" s="28">
        <v>47.06</v>
      </c>
      <c r="V128" s="28">
        <v>47.06</v>
      </c>
      <c r="W128" s="28">
        <v>47.06</v>
      </c>
      <c r="X128" s="28">
        <v>47.06</v>
      </c>
      <c r="Y128" s="28">
        <v>47.06</v>
      </c>
      <c r="Z128" s="28">
        <v>47.06</v>
      </c>
      <c r="AA128" s="28">
        <v>47.06</v>
      </c>
      <c r="AB128" s="28">
        <v>47.06</v>
      </c>
      <c r="AC128" s="28">
        <v>47.06</v>
      </c>
      <c r="AD128" s="28">
        <v>47.06</v>
      </c>
      <c r="AE128" s="28">
        <v>47.06</v>
      </c>
      <c r="AF128" s="28">
        <v>47.06</v>
      </c>
      <c r="AG128" s="28">
        <v>47.06</v>
      </c>
      <c r="AH128" s="28">
        <v>47.06</v>
      </c>
      <c r="AI128" s="28">
        <v>47.06</v>
      </c>
      <c r="AJ128" s="28">
        <v>47.06</v>
      </c>
      <c r="AK128" s="28">
        <v>47.06</v>
      </c>
    </row>
    <row r="129" spans="1:37">
      <c r="A129" t="s">
        <v>1217</v>
      </c>
      <c r="B129" s="28">
        <v>2.69</v>
      </c>
      <c r="C129" s="28">
        <v>2.69</v>
      </c>
      <c r="D129" s="28">
        <v>2.5499999999999998</v>
      </c>
      <c r="E129" s="28">
        <v>2.64</v>
      </c>
      <c r="F129" s="28">
        <v>2.7</v>
      </c>
      <c r="G129" s="28">
        <v>2.68</v>
      </c>
      <c r="H129" s="28">
        <v>2.7</v>
      </c>
      <c r="I129" s="28">
        <v>2.71</v>
      </c>
      <c r="J129" s="28">
        <v>2.7</v>
      </c>
      <c r="K129" s="28">
        <v>2.71</v>
      </c>
      <c r="L129" s="28">
        <v>2.71</v>
      </c>
      <c r="M129" s="28">
        <v>2.73</v>
      </c>
      <c r="N129" s="28">
        <v>2.69</v>
      </c>
      <c r="O129" s="28">
        <v>2.7</v>
      </c>
      <c r="P129" s="28">
        <v>2.72</v>
      </c>
      <c r="Q129" s="28">
        <v>2.64</v>
      </c>
      <c r="R129" s="28">
        <v>2.73</v>
      </c>
      <c r="S129" s="28">
        <v>2.8</v>
      </c>
      <c r="T129" s="28">
        <v>2.87</v>
      </c>
      <c r="U129" s="28">
        <v>2.84</v>
      </c>
      <c r="V129" s="28">
        <v>2.83</v>
      </c>
      <c r="W129" s="28">
        <v>2.82</v>
      </c>
      <c r="X129" s="28">
        <v>2.81</v>
      </c>
      <c r="Y129" s="28">
        <v>2.81</v>
      </c>
      <c r="Z129" s="28">
        <v>2.8</v>
      </c>
      <c r="AA129" s="28">
        <v>2.79</v>
      </c>
      <c r="AB129" s="28">
        <v>2.78</v>
      </c>
      <c r="AC129" s="28">
        <v>2.78</v>
      </c>
      <c r="AD129" s="28">
        <v>2.77</v>
      </c>
      <c r="AE129" s="28">
        <v>2.76</v>
      </c>
      <c r="AF129" s="28">
        <v>2.75</v>
      </c>
      <c r="AG129" s="28">
        <v>2.73</v>
      </c>
      <c r="AH129" s="28">
        <v>2.72</v>
      </c>
      <c r="AI129" s="28">
        <v>2.71</v>
      </c>
      <c r="AJ129" s="28">
        <v>2.7</v>
      </c>
      <c r="AK129" s="28">
        <v>2.69</v>
      </c>
    </row>
    <row r="130" spans="1:37">
      <c r="A130" t="s">
        <v>1218</v>
      </c>
      <c r="B130" s="28">
        <v>3.14</v>
      </c>
      <c r="C130" s="28">
        <v>3.11</v>
      </c>
      <c r="D130" s="28">
        <v>2.96</v>
      </c>
      <c r="E130" s="28">
        <v>3.06</v>
      </c>
      <c r="F130" s="28">
        <v>3.11</v>
      </c>
      <c r="G130" s="28">
        <v>3.09</v>
      </c>
      <c r="H130" s="28">
        <v>3.13</v>
      </c>
      <c r="I130" s="28">
        <v>3.13</v>
      </c>
      <c r="J130" s="28">
        <v>3.13</v>
      </c>
      <c r="K130" s="28">
        <v>3.14</v>
      </c>
      <c r="L130" s="28">
        <v>3.14</v>
      </c>
      <c r="M130" s="28">
        <v>3.16</v>
      </c>
      <c r="N130" s="28">
        <v>3.17</v>
      </c>
      <c r="O130" s="28">
        <v>3.16</v>
      </c>
      <c r="P130" s="28">
        <v>3.17</v>
      </c>
      <c r="Q130" s="28">
        <v>3.09</v>
      </c>
      <c r="R130" s="28">
        <v>3.18</v>
      </c>
      <c r="S130" s="28">
        <v>3.26</v>
      </c>
      <c r="T130" s="28">
        <v>3.33</v>
      </c>
      <c r="U130" s="28">
        <v>3.3</v>
      </c>
      <c r="V130" s="28">
        <v>3.28</v>
      </c>
      <c r="W130" s="28">
        <v>3.27</v>
      </c>
      <c r="X130" s="28">
        <v>3.26</v>
      </c>
      <c r="Y130" s="28">
        <v>3.25</v>
      </c>
      <c r="Z130" s="28">
        <v>3.24</v>
      </c>
      <c r="AA130" s="28">
        <v>3.24</v>
      </c>
      <c r="AB130" s="28">
        <v>3.23</v>
      </c>
      <c r="AC130" s="28">
        <v>3.22</v>
      </c>
      <c r="AD130" s="28">
        <v>3.21</v>
      </c>
      <c r="AE130" s="28">
        <v>3.2</v>
      </c>
      <c r="AF130" s="28">
        <v>3.18</v>
      </c>
      <c r="AG130" s="28">
        <v>3.17</v>
      </c>
      <c r="AH130" s="28">
        <v>3.16</v>
      </c>
      <c r="AI130" s="28">
        <v>3.14</v>
      </c>
      <c r="AJ130" s="28">
        <v>3.13</v>
      </c>
      <c r="AK130" s="28">
        <v>3.12</v>
      </c>
    </row>
    <row r="131" spans="1:37"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</row>
    <row r="132" spans="1:37">
      <c r="A132" t="s">
        <v>1219</v>
      </c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</row>
    <row r="133" spans="1:37">
      <c r="A133" t="s">
        <v>1220</v>
      </c>
      <c r="B133" s="29">
        <v>3.31</v>
      </c>
      <c r="C133" s="29">
        <v>3.26</v>
      </c>
      <c r="D133" s="29">
        <v>3.27</v>
      </c>
      <c r="E133" s="29">
        <v>3.28</v>
      </c>
      <c r="F133" s="29">
        <v>3.3</v>
      </c>
      <c r="G133" s="29">
        <v>3.29</v>
      </c>
      <c r="H133" s="29">
        <v>3.3</v>
      </c>
      <c r="I133" s="29">
        <v>3.31</v>
      </c>
      <c r="J133" s="29">
        <v>3.35</v>
      </c>
      <c r="K133" s="29">
        <v>3.37</v>
      </c>
      <c r="L133" s="29">
        <v>3.38</v>
      </c>
      <c r="M133" s="29">
        <v>3.41</v>
      </c>
      <c r="N133" s="29">
        <v>3.69</v>
      </c>
      <c r="O133" s="29">
        <v>3.59</v>
      </c>
      <c r="P133" s="29">
        <v>3.73</v>
      </c>
      <c r="Q133" s="29">
        <v>3.76</v>
      </c>
      <c r="R133" s="29">
        <v>3.82</v>
      </c>
      <c r="S133" s="29">
        <v>3.85</v>
      </c>
      <c r="T133" s="29">
        <v>3.85</v>
      </c>
      <c r="U133" s="29">
        <v>3.86</v>
      </c>
      <c r="V133" s="29">
        <v>4.33</v>
      </c>
      <c r="W133" s="29">
        <v>4.84</v>
      </c>
      <c r="X133" s="29">
        <v>5.32</v>
      </c>
      <c r="Y133" s="29">
        <v>5.82</v>
      </c>
      <c r="Z133" s="29">
        <v>0.51</v>
      </c>
      <c r="AA133" s="29">
        <v>0.98</v>
      </c>
      <c r="AB133" s="29">
        <v>1.5</v>
      </c>
      <c r="AC133" s="29">
        <v>2</v>
      </c>
      <c r="AD133" s="29">
        <v>2.5099999999999998</v>
      </c>
      <c r="AE133" s="29">
        <v>3.02</v>
      </c>
      <c r="AF133" s="29">
        <v>3.54</v>
      </c>
      <c r="AG133" s="29">
        <v>4.07</v>
      </c>
      <c r="AH133" s="29">
        <v>4.59</v>
      </c>
      <c r="AI133" s="29">
        <v>5.12</v>
      </c>
      <c r="AJ133" s="29">
        <v>5.64</v>
      </c>
      <c r="AK133" s="29">
        <v>6.17</v>
      </c>
    </row>
    <row r="134" spans="1:37">
      <c r="A134" t="s">
        <v>1221</v>
      </c>
      <c r="B134" s="28">
        <v>19.73</v>
      </c>
      <c r="C134" s="28">
        <v>19.63</v>
      </c>
      <c r="D134" s="28">
        <v>19.420000000000002</v>
      </c>
      <c r="E134" s="28">
        <v>19.03</v>
      </c>
      <c r="F134" s="28">
        <v>18.89</v>
      </c>
      <c r="G134" s="28">
        <v>18.510000000000002</v>
      </c>
      <c r="H134" s="28">
        <v>18.510000000000002</v>
      </c>
      <c r="I134" s="28">
        <v>18.149999999999999</v>
      </c>
      <c r="J134" s="28">
        <v>18.059999999999999</v>
      </c>
      <c r="K134" s="28">
        <v>17.760000000000002</v>
      </c>
      <c r="L134" s="28">
        <v>17.62</v>
      </c>
      <c r="M134" s="28">
        <v>17.53</v>
      </c>
      <c r="N134" s="28">
        <v>16.7</v>
      </c>
      <c r="O134" s="28">
        <v>16.899999999999999</v>
      </c>
      <c r="P134" s="28">
        <v>17.07</v>
      </c>
      <c r="Q134" s="28">
        <v>16.79</v>
      </c>
      <c r="R134" s="28">
        <v>16.34</v>
      </c>
      <c r="S134" s="28">
        <v>16.13</v>
      </c>
      <c r="T134" s="28">
        <v>15.75</v>
      </c>
      <c r="U134" s="28">
        <v>15.55</v>
      </c>
      <c r="V134" s="28">
        <v>15.37</v>
      </c>
      <c r="W134" s="28">
        <v>15.16</v>
      </c>
      <c r="X134" s="28">
        <v>14.82</v>
      </c>
      <c r="Y134" s="28">
        <v>14.7</v>
      </c>
      <c r="Z134" s="28">
        <v>14.5</v>
      </c>
      <c r="AA134" s="28">
        <v>14.29</v>
      </c>
      <c r="AB134" s="28">
        <v>14.07</v>
      </c>
      <c r="AC134" s="28">
        <v>13.85</v>
      </c>
      <c r="AD134" s="28">
        <v>13.65</v>
      </c>
      <c r="AE134" s="28">
        <v>13.46</v>
      </c>
      <c r="AF134" s="28">
        <v>13.29</v>
      </c>
      <c r="AG134" s="28">
        <v>13.13</v>
      </c>
      <c r="AH134" s="28">
        <v>12.98</v>
      </c>
      <c r="AI134" s="28">
        <v>12.83</v>
      </c>
      <c r="AJ134" s="28">
        <v>12.68</v>
      </c>
      <c r="AK134" s="28">
        <v>12.56</v>
      </c>
    </row>
    <row r="135" spans="1:37">
      <c r="A135" t="s">
        <v>1222</v>
      </c>
      <c r="B135" s="28">
        <v>32.950000000000003</v>
      </c>
      <c r="C135" s="28">
        <v>32.479999999999997</v>
      </c>
      <c r="D135" s="28">
        <v>32.6</v>
      </c>
      <c r="E135" s="28">
        <v>33.25</v>
      </c>
      <c r="F135" s="28">
        <v>33.76</v>
      </c>
      <c r="G135" s="28">
        <v>34.33</v>
      </c>
      <c r="H135" s="28">
        <v>34.74</v>
      </c>
      <c r="I135" s="28">
        <v>34.520000000000003</v>
      </c>
      <c r="J135" s="28">
        <v>34.82</v>
      </c>
      <c r="K135" s="28">
        <v>34.86</v>
      </c>
      <c r="L135" s="28">
        <v>34.42</v>
      </c>
      <c r="M135" s="28">
        <v>34.340000000000003</v>
      </c>
      <c r="N135" s="28">
        <v>33.75</v>
      </c>
      <c r="O135" s="28">
        <v>33.89</v>
      </c>
      <c r="P135" s="28">
        <v>33.78</v>
      </c>
      <c r="Q135" s="28">
        <v>33.78</v>
      </c>
      <c r="R135" s="28">
        <v>33.15</v>
      </c>
      <c r="S135" s="28">
        <v>33.33</v>
      </c>
      <c r="T135" s="28">
        <v>32.64</v>
      </c>
      <c r="U135" s="28">
        <v>32.1</v>
      </c>
      <c r="V135" s="28">
        <v>31.92</v>
      </c>
      <c r="W135" s="28">
        <v>31.95</v>
      </c>
      <c r="X135" s="28">
        <v>32.020000000000003</v>
      </c>
      <c r="Y135" s="28">
        <v>32.25</v>
      </c>
      <c r="Z135" s="28">
        <v>32.409999999999997</v>
      </c>
      <c r="AA135" s="28">
        <v>32.6</v>
      </c>
      <c r="AB135" s="28">
        <v>32.68</v>
      </c>
      <c r="AC135" s="28">
        <v>32.869999999999997</v>
      </c>
      <c r="AD135" s="28">
        <v>33.19</v>
      </c>
      <c r="AE135" s="28">
        <v>33.43</v>
      </c>
      <c r="AF135" s="28">
        <v>33.79</v>
      </c>
      <c r="AG135" s="28">
        <v>33.94</v>
      </c>
      <c r="AH135" s="28">
        <v>34.049999999999997</v>
      </c>
      <c r="AI135" s="28">
        <v>34.21</v>
      </c>
      <c r="AJ135" s="28">
        <v>34.26</v>
      </c>
      <c r="AK135" s="28">
        <v>34.35</v>
      </c>
    </row>
    <row r="136" spans="1:37">
      <c r="A136" t="s">
        <v>1223</v>
      </c>
      <c r="B136" s="28">
        <v>17.52</v>
      </c>
      <c r="C136" s="28">
        <v>17.03</v>
      </c>
      <c r="D136" s="28">
        <v>17.11</v>
      </c>
      <c r="E136" s="28">
        <v>17.07</v>
      </c>
      <c r="F136" s="28">
        <v>17.22</v>
      </c>
      <c r="G136" s="28">
        <v>17.3</v>
      </c>
      <c r="H136" s="28">
        <v>17.579999999999998</v>
      </c>
      <c r="I136" s="28">
        <v>17.47</v>
      </c>
      <c r="J136" s="28">
        <v>17.61</v>
      </c>
      <c r="K136" s="28">
        <v>17.62</v>
      </c>
      <c r="L136" s="28">
        <v>17.2</v>
      </c>
      <c r="M136" s="28">
        <v>17.03</v>
      </c>
      <c r="N136" s="28">
        <v>16.61</v>
      </c>
      <c r="O136" s="28">
        <v>16.8</v>
      </c>
      <c r="P136" s="28">
        <v>16.559999999999999</v>
      </c>
      <c r="Q136" s="28">
        <v>16.489999999999998</v>
      </c>
      <c r="R136" s="28">
        <v>15.86</v>
      </c>
      <c r="S136" s="28">
        <v>16.04</v>
      </c>
      <c r="T136" s="28">
        <v>15.68</v>
      </c>
      <c r="U136" s="28">
        <v>15.33</v>
      </c>
      <c r="V136" s="28">
        <v>15.02</v>
      </c>
      <c r="W136" s="28">
        <v>14.94</v>
      </c>
      <c r="X136" s="28">
        <v>14.84</v>
      </c>
      <c r="Y136" s="28">
        <v>14.94</v>
      </c>
      <c r="Z136" s="28">
        <v>15.02</v>
      </c>
      <c r="AA136" s="28">
        <v>15.11</v>
      </c>
      <c r="AB136" s="28">
        <v>15.27</v>
      </c>
      <c r="AC136" s="28">
        <v>15.56</v>
      </c>
      <c r="AD136" s="28">
        <v>15.86</v>
      </c>
      <c r="AE136" s="28">
        <v>16.059999999999999</v>
      </c>
      <c r="AF136" s="28">
        <v>16.309999999999999</v>
      </c>
      <c r="AG136" s="28">
        <v>16.28</v>
      </c>
      <c r="AH136" s="28">
        <v>16.29</v>
      </c>
      <c r="AI136" s="28">
        <v>16.329999999999998</v>
      </c>
      <c r="AJ136" s="28">
        <v>16.22</v>
      </c>
      <c r="AK136" s="28">
        <v>16.12</v>
      </c>
    </row>
    <row r="137" spans="1:37">
      <c r="A137" t="s">
        <v>1224</v>
      </c>
      <c r="B137" s="28">
        <v>1</v>
      </c>
      <c r="C137" s="28">
        <v>1</v>
      </c>
      <c r="D137" s="28">
        <v>1</v>
      </c>
      <c r="E137" s="28">
        <v>1</v>
      </c>
      <c r="F137" s="28">
        <v>1</v>
      </c>
      <c r="G137" s="28">
        <v>1</v>
      </c>
      <c r="H137" s="28">
        <v>1</v>
      </c>
      <c r="I137" s="28">
        <v>1</v>
      </c>
      <c r="J137" s="28">
        <v>1</v>
      </c>
      <c r="K137" s="28">
        <v>1</v>
      </c>
      <c r="L137" s="28">
        <v>1</v>
      </c>
      <c r="M137" s="28">
        <v>1</v>
      </c>
      <c r="N137" s="28">
        <v>1</v>
      </c>
      <c r="O137" s="28">
        <v>1</v>
      </c>
      <c r="P137" s="28">
        <v>1</v>
      </c>
      <c r="Q137" s="28">
        <v>1</v>
      </c>
      <c r="R137" s="28">
        <v>1</v>
      </c>
      <c r="S137" s="28">
        <v>1</v>
      </c>
      <c r="T137" s="28">
        <v>1</v>
      </c>
      <c r="U137" s="28">
        <v>1</v>
      </c>
      <c r="V137" s="28">
        <v>1</v>
      </c>
      <c r="W137" s="28">
        <v>1</v>
      </c>
      <c r="X137" s="28">
        <v>1</v>
      </c>
      <c r="Y137" s="28">
        <v>1</v>
      </c>
      <c r="Z137" s="28">
        <v>1</v>
      </c>
      <c r="AA137" s="28">
        <v>1</v>
      </c>
      <c r="AB137" s="28">
        <v>1</v>
      </c>
      <c r="AC137" s="28">
        <v>1</v>
      </c>
      <c r="AD137" s="28">
        <v>1</v>
      </c>
      <c r="AE137" s="28">
        <v>1</v>
      </c>
      <c r="AF137" s="28">
        <v>1</v>
      </c>
      <c r="AG137" s="28">
        <v>1</v>
      </c>
      <c r="AH137" s="28">
        <v>1</v>
      </c>
      <c r="AI137" s="28">
        <v>1</v>
      </c>
      <c r="AJ137" s="28">
        <v>1</v>
      </c>
      <c r="AK137" s="28">
        <v>1</v>
      </c>
    </row>
    <row r="138" spans="1:37">
      <c r="A138" t="s">
        <v>1225</v>
      </c>
      <c r="B138" s="28">
        <v>20889</v>
      </c>
      <c r="C138" s="28">
        <v>20882</v>
      </c>
      <c r="D138" s="28">
        <v>20811</v>
      </c>
      <c r="E138" s="28">
        <v>20824</v>
      </c>
      <c r="F138" s="28">
        <v>20831</v>
      </c>
      <c r="G138" s="28">
        <v>20917</v>
      </c>
      <c r="H138" s="28">
        <v>20790</v>
      </c>
      <c r="I138" s="28">
        <v>20788</v>
      </c>
      <c r="J138" s="28">
        <v>20745</v>
      </c>
      <c r="K138" s="28">
        <v>20725</v>
      </c>
      <c r="L138" s="28">
        <v>20688</v>
      </c>
      <c r="M138" s="28">
        <v>20666</v>
      </c>
      <c r="N138" s="28">
        <v>20530</v>
      </c>
      <c r="O138" s="28">
        <v>20427</v>
      </c>
      <c r="P138" s="28">
        <v>20410</v>
      </c>
      <c r="Q138" s="28">
        <v>20429</v>
      </c>
      <c r="R138" s="28">
        <v>20406</v>
      </c>
      <c r="S138" s="28">
        <v>20433</v>
      </c>
      <c r="T138" s="28">
        <v>20405</v>
      </c>
      <c r="U138" s="28">
        <v>20383</v>
      </c>
      <c r="V138" s="28">
        <v>20332</v>
      </c>
      <c r="W138" s="28">
        <v>21072</v>
      </c>
      <c r="X138" s="28">
        <v>21186</v>
      </c>
      <c r="Y138" s="28">
        <v>21310</v>
      </c>
      <c r="Z138" s="28">
        <v>21442</v>
      </c>
      <c r="AA138" s="28">
        <v>21620</v>
      </c>
      <c r="AB138" s="28">
        <v>21780</v>
      </c>
      <c r="AC138" s="28">
        <v>22041</v>
      </c>
      <c r="AD138" s="28">
        <v>22277</v>
      </c>
      <c r="AE138" s="28">
        <v>22533</v>
      </c>
      <c r="AF138" s="28">
        <v>22824</v>
      </c>
      <c r="AG138" s="28">
        <v>23066</v>
      </c>
      <c r="AH138" s="28">
        <v>23257</v>
      </c>
      <c r="AI138" s="28">
        <v>23428</v>
      </c>
      <c r="AJ138" s="28">
        <v>23578</v>
      </c>
      <c r="AK138" s="28">
        <v>23698</v>
      </c>
    </row>
    <row r="139" spans="1:37">
      <c r="A139" t="s">
        <v>1226</v>
      </c>
      <c r="B139" s="28">
        <v>118424</v>
      </c>
      <c r="C139" s="28">
        <v>116029</v>
      </c>
      <c r="D139" s="28">
        <v>105529</v>
      </c>
      <c r="E139" s="28">
        <v>111156</v>
      </c>
      <c r="F139" s="28">
        <v>115039</v>
      </c>
      <c r="G139" s="28">
        <v>115046</v>
      </c>
      <c r="H139" s="28">
        <v>116180</v>
      </c>
      <c r="I139" s="28">
        <v>116409</v>
      </c>
      <c r="J139" s="28">
        <v>115182</v>
      </c>
      <c r="K139" s="28">
        <v>113440</v>
      </c>
      <c r="L139" s="28">
        <v>115495</v>
      </c>
      <c r="M139" s="28">
        <v>116946</v>
      </c>
      <c r="N139" s="28">
        <v>128974</v>
      </c>
      <c r="O139" s="28">
        <v>119488</v>
      </c>
      <c r="P139" s="28">
        <v>118515</v>
      </c>
      <c r="Q139" s="28">
        <v>107979</v>
      </c>
      <c r="R139" s="28">
        <v>112797</v>
      </c>
      <c r="S139" s="28">
        <v>115301</v>
      </c>
      <c r="T139" s="28">
        <v>122083</v>
      </c>
      <c r="U139" s="28">
        <v>118062</v>
      </c>
      <c r="V139" s="28">
        <v>129744</v>
      </c>
      <c r="W139" s="28">
        <v>146478</v>
      </c>
      <c r="X139" s="28">
        <v>160568</v>
      </c>
      <c r="Y139" s="28">
        <v>176522</v>
      </c>
      <c r="Z139" s="28">
        <v>15522</v>
      </c>
      <c r="AA139" s="28">
        <v>29829</v>
      </c>
      <c r="AB139" s="28">
        <v>45129</v>
      </c>
      <c r="AC139" s="28">
        <v>60791</v>
      </c>
      <c r="AD139" s="28">
        <v>75961</v>
      </c>
      <c r="AE139" s="28">
        <v>91525</v>
      </c>
      <c r="AF139" s="28">
        <v>107594</v>
      </c>
      <c r="AG139" s="28">
        <v>122457</v>
      </c>
      <c r="AH139" s="28">
        <v>137738</v>
      </c>
      <c r="AI139" s="28">
        <v>152883</v>
      </c>
      <c r="AJ139" s="28">
        <v>167316</v>
      </c>
      <c r="AK139" s="28">
        <v>182551</v>
      </c>
    </row>
    <row r="140" spans="1:37">
      <c r="A140" t="s">
        <v>1227</v>
      </c>
      <c r="B140" s="28">
        <v>91.8</v>
      </c>
      <c r="C140" s="28">
        <v>89.54</v>
      </c>
      <c r="D140" s="28">
        <v>88.59</v>
      </c>
      <c r="E140" s="28">
        <v>88.91</v>
      </c>
      <c r="F140" s="28">
        <v>88.25</v>
      </c>
      <c r="G140" s="28">
        <v>88.2</v>
      </c>
      <c r="H140" s="28">
        <v>88.78</v>
      </c>
      <c r="I140" s="28">
        <v>88.35</v>
      </c>
      <c r="J140" s="28">
        <v>88.77</v>
      </c>
      <c r="K140" s="28">
        <v>88.45</v>
      </c>
      <c r="L140" s="28">
        <v>88.56</v>
      </c>
      <c r="M140" s="28">
        <v>88.39</v>
      </c>
      <c r="N140" s="28">
        <v>87.79</v>
      </c>
      <c r="O140" s="28">
        <v>87.69</v>
      </c>
      <c r="P140" s="28">
        <v>88.28</v>
      </c>
      <c r="Q140" s="28">
        <v>89.42</v>
      </c>
      <c r="R140" s="28">
        <v>89.58</v>
      </c>
      <c r="S140" s="28">
        <v>89.38</v>
      </c>
      <c r="T140" s="28">
        <v>87.23</v>
      </c>
      <c r="U140" s="28">
        <v>86.73</v>
      </c>
      <c r="V140" s="28">
        <v>85.44</v>
      </c>
      <c r="W140" s="28">
        <v>87.9</v>
      </c>
      <c r="X140" s="28">
        <v>87</v>
      </c>
      <c r="Y140" s="28">
        <v>88.5</v>
      </c>
      <c r="Z140" s="28">
        <v>88.65</v>
      </c>
      <c r="AA140" s="28">
        <v>88.97</v>
      </c>
      <c r="AB140" s="28">
        <v>89.21</v>
      </c>
      <c r="AC140" s="28">
        <v>89.75</v>
      </c>
      <c r="AD140" s="28">
        <v>90.17</v>
      </c>
      <c r="AE140" s="28">
        <v>90.6</v>
      </c>
      <c r="AF140" s="28">
        <v>91.04</v>
      </c>
      <c r="AG140" s="28">
        <v>91.27</v>
      </c>
      <c r="AH140" s="28">
        <v>91.28</v>
      </c>
      <c r="AI140" s="28">
        <v>91.26</v>
      </c>
      <c r="AJ140" s="28">
        <v>91.19</v>
      </c>
      <c r="AK140" s="28">
        <v>91.12</v>
      </c>
    </row>
    <row r="141" spans="1:37"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</row>
    <row r="142" spans="1:37">
      <c r="A142" t="s">
        <v>1228</v>
      </c>
      <c r="B142" s="28">
        <v>8.25</v>
      </c>
      <c r="C142" s="28">
        <v>8.16</v>
      </c>
      <c r="D142" s="28">
        <v>8.17</v>
      </c>
      <c r="E142" s="28">
        <v>8.33</v>
      </c>
      <c r="F142" s="28">
        <v>8.33</v>
      </c>
      <c r="G142" s="28">
        <v>8.08</v>
      </c>
      <c r="H142" s="28">
        <v>8.14</v>
      </c>
      <c r="I142" s="28">
        <v>8.0500000000000007</v>
      </c>
      <c r="J142" s="28">
        <v>8.16</v>
      </c>
      <c r="K142" s="28">
        <v>8.1999999999999993</v>
      </c>
      <c r="L142" s="28">
        <v>8.2100000000000009</v>
      </c>
      <c r="M142" s="28">
        <v>8.3000000000000007</v>
      </c>
      <c r="N142" s="28">
        <v>8.24</v>
      </c>
      <c r="O142" s="28">
        <v>8.25</v>
      </c>
      <c r="P142" s="28">
        <v>8.34</v>
      </c>
      <c r="Q142" s="28">
        <v>8.34</v>
      </c>
      <c r="R142" s="28">
        <v>8.31</v>
      </c>
      <c r="S142" s="28">
        <v>8.32</v>
      </c>
      <c r="T142" s="28">
        <v>8.2100000000000009</v>
      </c>
      <c r="U142" s="28">
        <v>8.2100000000000009</v>
      </c>
      <c r="V142" s="28">
        <v>8.11</v>
      </c>
      <c r="W142" s="28">
        <v>8.09</v>
      </c>
      <c r="X142" s="28">
        <v>8.07</v>
      </c>
      <c r="Y142" s="28">
        <v>8.1</v>
      </c>
      <c r="Z142" s="28">
        <v>8.1</v>
      </c>
      <c r="AA142" s="28">
        <v>8.1</v>
      </c>
      <c r="AB142" s="28">
        <v>8.1</v>
      </c>
      <c r="AC142" s="28">
        <v>8.1</v>
      </c>
      <c r="AD142" s="28">
        <v>8.09</v>
      </c>
      <c r="AE142" s="28">
        <v>8.09</v>
      </c>
      <c r="AF142" s="28">
        <v>8.08</v>
      </c>
      <c r="AG142" s="28">
        <v>8.07</v>
      </c>
      <c r="AH142" s="28">
        <v>8.07</v>
      </c>
      <c r="AI142" s="28">
        <v>8.06</v>
      </c>
      <c r="AJ142" s="28">
        <v>8.07</v>
      </c>
      <c r="AK142" s="28">
        <v>8.08</v>
      </c>
    </row>
    <row r="143" spans="1:37">
      <c r="A143" t="s">
        <v>1229</v>
      </c>
      <c r="B143" s="28">
        <v>9.42</v>
      </c>
      <c r="C143" s="28">
        <v>7.17</v>
      </c>
      <c r="D143" s="28">
        <v>7</v>
      </c>
      <c r="E143" s="28">
        <v>7.47</v>
      </c>
      <c r="F143" s="28">
        <v>7.62</v>
      </c>
      <c r="G143" s="28">
        <v>7.91</v>
      </c>
      <c r="H143" s="28">
        <v>8.0299999999999994</v>
      </c>
      <c r="I143" s="28">
        <v>8.1199999999999992</v>
      </c>
      <c r="J143" s="28">
        <v>8.57</v>
      </c>
      <c r="K143" s="28">
        <v>8.4600000000000009</v>
      </c>
      <c r="L143" s="28">
        <v>8.6300000000000008</v>
      </c>
      <c r="M143" s="28">
        <v>8.98</v>
      </c>
      <c r="N143" s="28">
        <v>8.9</v>
      </c>
      <c r="O143" s="28">
        <v>8.9700000000000006</v>
      </c>
      <c r="P143" s="28">
        <v>8.2100000000000009</v>
      </c>
      <c r="Q143" s="28">
        <v>8.26</v>
      </c>
      <c r="R143" s="28">
        <v>8.59</v>
      </c>
      <c r="S143" s="28">
        <v>9.1300000000000008</v>
      </c>
      <c r="T143" s="28">
        <v>8.3000000000000007</v>
      </c>
      <c r="U143" s="28">
        <v>8.39</v>
      </c>
      <c r="V143" s="28">
        <v>8.39</v>
      </c>
      <c r="W143" s="28">
        <v>8.35</v>
      </c>
      <c r="X143" s="28">
        <v>8.33</v>
      </c>
      <c r="Y143" s="28">
        <v>8.2799999999999994</v>
      </c>
      <c r="Z143" s="28">
        <v>8.25</v>
      </c>
      <c r="AA143" s="28">
        <v>8.2100000000000009</v>
      </c>
      <c r="AB143" s="28">
        <v>8.16</v>
      </c>
      <c r="AC143" s="28">
        <v>8.11</v>
      </c>
      <c r="AD143" s="28">
        <v>8.07</v>
      </c>
      <c r="AE143" s="28">
        <v>8.02</v>
      </c>
      <c r="AF143" s="28">
        <v>7.96</v>
      </c>
      <c r="AG143" s="28">
        <v>7.91</v>
      </c>
      <c r="AH143" s="28">
        <v>7.85</v>
      </c>
      <c r="AI143" s="28">
        <v>7.8</v>
      </c>
      <c r="AJ143" s="28">
        <v>7.74</v>
      </c>
      <c r="AK143" s="28">
        <v>7.68</v>
      </c>
    </row>
    <row r="144" spans="1:37">
      <c r="A144" t="s">
        <v>1230</v>
      </c>
      <c r="B144" s="28">
        <v>1</v>
      </c>
      <c r="C144" s="28">
        <v>0.76</v>
      </c>
      <c r="D144" s="28">
        <v>0.75</v>
      </c>
      <c r="E144" s="28">
        <v>0.8</v>
      </c>
      <c r="F144" s="28">
        <v>0.82</v>
      </c>
      <c r="G144" s="28">
        <v>0.82</v>
      </c>
      <c r="H144" s="28">
        <v>0.84</v>
      </c>
      <c r="I144" s="28">
        <v>0.85</v>
      </c>
      <c r="J144" s="28">
        <v>0.9</v>
      </c>
      <c r="K144" s="28">
        <v>0.89</v>
      </c>
      <c r="L144" s="28">
        <v>0.92</v>
      </c>
      <c r="M144" s="28">
        <v>0.96</v>
      </c>
      <c r="N144" s="28">
        <v>0.95</v>
      </c>
      <c r="O144" s="28">
        <v>0.96</v>
      </c>
      <c r="P144" s="28">
        <v>0.88</v>
      </c>
      <c r="Q144" s="28">
        <v>0.88</v>
      </c>
      <c r="R144" s="28">
        <v>0.92</v>
      </c>
      <c r="S144" s="28">
        <v>0.97</v>
      </c>
      <c r="T144" s="28">
        <v>0.88</v>
      </c>
      <c r="U144" s="28">
        <v>0.9</v>
      </c>
      <c r="V144" s="28">
        <v>0.91</v>
      </c>
      <c r="W144" s="28">
        <v>0.87</v>
      </c>
      <c r="X144" s="28">
        <v>0.87</v>
      </c>
      <c r="Y144" s="28">
        <v>0.86</v>
      </c>
      <c r="Z144" s="28">
        <v>0.86</v>
      </c>
      <c r="AA144" s="28">
        <v>0.85</v>
      </c>
      <c r="AB144" s="28">
        <v>0.84</v>
      </c>
      <c r="AC144" s="28">
        <v>0.83</v>
      </c>
      <c r="AD144" s="28">
        <v>0.83</v>
      </c>
      <c r="AE144" s="28">
        <v>0.82</v>
      </c>
      <c r="AF144" s="28">
        <v>0.81</v>
      </c>
      <c r="AG144" s="28">
        <v>0.8</v>
      </c>
      <c r="AH144" s="28">
        <v>0.79</v>
      </c>
      <c r="AI144" s="28">
        <v>0.79</v>
      </c>
      <c r="AJ144" s="28">
        <v>0.78</v>
      </c>
      <c r="AK144" s="28">
        <v>0.78</v>
      </c>
    </row>
    <row r="145" spans="1:37">
      <c r="A145" t="s">
        <v>1231</v>
      </c>
      <c r="B145" s="28">
        <v>1.04</v>
      </c>
      <c r="C145" s="28">
        <v>1.04</v>
      </c>
      <c r="D145" s="28">
        <v>1.03</v>
      </c>
      <c r="E145" s="28">
        <v>1.02</v>
      </c>
      <c r="F145" s="28">
        <v>1.03</v>
      </c>
      <c r="G145" s="28">
        <v>1.05</v>
      </c>
      <c r="H145" s="28">
        <v>1.08</v>
      </c>
      <c r="I145" s="28">
        <v>1.1000000000000001</v>
      </c>
      <c r="J145" s="28">
        <v>1.1299999999999999</v>
      </c>
      <c r="K145" s="28">
        <v>1.1399999999999999</v>
      </c>
      <c r="L145" s="28">
        <v>1.17</v>
      </c>
      <c r="M145" s="28">
        <v>1.18</v>
      </c>
      <c r="N145" s="28">
        <v>1.34</v>
      </c>
      <c r="O145" s="28">
        <v>1.38</v>
      </c>
      <c r="P145" s="28">
        <v>1.44</v>
      </c>
      <c r="Q145" s="28">
        <v>1.42</v>
      </c>
      <c r="R145" s="28">
        <v>1.45</v>
      </c>
      <c r="S145" s="28">
        <v>1.49</v>
      </c>
      <c r="T145" s="28">
        <v>1.52</v>
      </c>
      <c r="U145" s="28">
        <v>1.52</v>
      </c>
      <c r="V145" s="28">
        <v>1.36</v>
      </c>
      <c r="W145" s="28">
        <v>1.2</v>
      </c>
      <c r="X145" s="28">
        <v>1.0900000000000001</v>
      </c>
      <c r="Y145" s="28">
        <v>0.99</v>
      </c>
      <c r="Z145" s="28">
        <v>11.87</v>
      </c>
      <c r="AA145" s="28">
        <v>5.91</v>
      </c>
      <c r="AB145" s="28">
        <v>3.93</v>
      </c>
      <c r="AC145" s="28">
        <v>2.93</v>
      </c>
      <c r="AD145" s="28">
        <v>2.33</v>
      </c>
      <c r="AE145" s="28">
        <v>1.93</v>
      </c>
      <c r="AF145" s="28">
        <v>1.64</v>
      </c>
      <c r="AG145" s="28">
        <v>1.43</v>
      </c>
      <c r="AH145" s="28">
        <v>1.26</v>
      </c>
      <c r="AI145" s="28">
        <v>1.1299999999999999</v>
      </c>
      <c r="AJ145" s="28">
        <v>1.03</v>
      </c>
      <c r="AK145" s="28">
        <v>0.94</v>
      </c>
    </row>
    <row r="146" spans="1:37">
      <c r="A146" t="s">
        <v>1232</v>
      </c>
      <c r="B146" s="28">
        <v>-50.55</v>
      </c>
      <c r="C146" s="28">
        <v>-52.67</v>
      </c>
      <c r="D146" s="28">
        <v>-51.7</v>
      </c>
      <c r="E146" s="28">
        <v>-54.68</v>
      </c>
      <c r="F146" s="28">
        <v>-53.05</v>
      </c>
      <c r="G146" s="28">
        <v>-51.45</v>
      </c>
      <c r="H146" s="28">
        <v>-49.14</v>
      </c>
      <c r="I146" s="28">
        <v>-47.04</v>
      </c>
      <c r="J146" s="28">
        <v>-45.64</v>
      </c>
      <c r="K146" s="28">
        <v>-49.6</v>
      </c>
      <c r="L146" s="28">
        <v>-48.47</v>
      </c>
      <c r="M146" s="28">
        <v>-50.65</v>
      </c>
      <c r="N146" s="28">
        <v>-50.14</v>
      </c>
      <c r="O146" s="28">
        <v>-47.66</v>
      </c>
      <c r="P146" s="28">
        <v>-47.57</v>
      </c>
      <c r="Q146" s="28">
        <v>-46.64</v>
      </c>
      <c r="R146" s="28">
        <v>-48.03</v>
      </c>
      <c r="S146" s="28">
        <v>-46.28</v>
      </c>
      <c r="T146" s="28">
        <v>-47.03</v>
      </c>
      <c r="U146" s="28">
        <v>-45.14</v>
      </c>
      <c r="V146" s="28">
        <v>-26.48</v>
      </c>
      <c r="W146" s="28">
        <v>-40.53</v>
      </c>
      <c r="X146" s="28">
        <v>-37.57</v>
      </c>
      <c r="Y146" s="28">
        <v>-40.36</v>
      </c>
      <c r="Z146" s="28">
        <v>-39.83</v>
      </c>
      <c r="AA146" s="28">
        <v>-40.92</v>
      </c>
      <c r="AB146" s="28">
        <v>-41.55</v>
      </c>
      <c r="AC146" s="28">
        <v>-42.71</v>
      </c>
      <c r="AD146" s="28">
        <v>-43.53</v>
      </c>
      <c r="AE146" s="28">
        <v>-44.01</v>
      </c>
      <c r="AF146" s="28">
        <v>-44.67</v>
      </c>
      <c r="AG146" s="28">
        <v>-44.54</v>
      </c>
      <c r="AH146" s="28">
        <v>-44.17</v>
      </c>
      <c r="AI146" s="28">
        <v>-43.64</v>
      </c>
      <c r="AJ146" s="28">
        <v>-43.21</v>
      </c>
      <c r="AK146" s="28">
        <v>-42.25</v>
      </c>
    </row>
    <row r="147" spans="1:37">
      <c r="A147" t="s">
        <v>1233</v>
      </c>
      <c r="B147" s="28">
        <v>30.89</v>
      </c>
      <c r="C147" s="28">
        <v>30.46</v>
      </c>
      <c r="D147" s="28">
        <v>30.54</v>
      </c>
      <c r="E147" s="28">
        <v>31.07</v>
      </c>
      <c r="F147" s="28">
        <v>31.52</v>
      </c>
      <c r="G147" s="28">
        <v>32.020000000000003</v>
      </c>
      <c r="H147" s="28">
        <v>32.4</v>
      </c>
      <c r="I147" s="28">
        <v>32.15</v>
      </c>
      <c r="J147" s="28">
        <v>32.53</v>
      </c>
      <c r="K147" s="28">
        <v>32.54</v>
      </c>
      <c r="L147" s="28">
        <v>32.200000000000003</v>
      </c>
      <c r="M147" s="28">
        <v>32.07</v>
      </c>
      <c r="N147" s="28">
        <v>31.61</v>
      </c>
      <c r="O147" s="28">
        <v>31.92</v>
      </c>
      <c r="P147" s="28">
        <v>31.52</v>
      </c>
      <c r="Q147" s="28">
        <v>31.54</v>
      </c>
      <c r="R147" s="28">
        <v>31.03</v>
      </c>
      <c r="S147" s="28">
        <v>31.04</v>
      </c>
      <c r="T147" s="28">
        <v>30.31</v>
      </c>
      <c r="U147" s="28">
        <v>29.66</v>
      </c>
      <c r="V147" s="28">
        <v>41.97</v>
      </c>
      <c r="W147" s="28">
        <v>43.78</v>
      </c>
      <c r="X147" s="28">
        <v>43.5</v>
      </c>
      <c r="Y147" s="28">
        <v>43.57</v>
      </c>
      <c r="Z147" s="28">
        <v>43.46</v>
      </c>
      <c r="AA147" s="28">
        <v>43.43</v>
      </c>
      <c r="AB147" s="28">
        <v>43.3</v>
      </c>
      <c r="AC147" s="28">
        <v>43.3</v>
      </c>
      <c r="AD147" s="28">
        <v>43.45</v>
      </c>
      <c r="AE147" s="28">
        <v>43.52</v>
      </c>
      <c r="AF147" s="28">
        <v>43.72</v>
      </c>
      <c r="AG147" s="28">
        <v>43.72</v>
      </c>
      <c r="AH147" s="28">
        <v>43.67</v>
      </c>
      <c r="AI147" s="28">
        <v>43.68</v>
      </c>
      <c r="AJ147" s="28">
        <v>43.59</v>
      </c>
      <c r="AK147" s="28">
        <v>43.54</v>
      </c>
    </row>
    <row r="148" spans="1:37">
      <c r="A148" t="s">
        <v>1234</v>
      </c>
      <c r="B148" s="28">
        <v>98.71</v>
      </c>
      <c r="C148" s="28">
        <v>100</v>
      </c>
      <c r="D148" s="28">
        <v>98.44</v>
      </c>
      <c r="E148" s="28">
        <v>99.38</v>
      </c>
      <c r="F148" s="28">
        <v>98.61</v>
      </c>
      <c r="G148" s="28">
        <v>98.34</v>
      </c>
      <c r="H148" s="28">
        <v>98.39</v>
      </c>
      <c r="I148" s="28">
        <v>97.48</v>
      </c>
      <c r="J148" s="28">
        <v>97.86</v>
      </c>
      <c r="K148" s="28">
        <v>98.81</v>
      </c>
      <c r="L148" s="28">
        <v>97.47</v>
      </c>
      <c r="M148" s="28">
        <v>98.18</v>
      </c>
      <c r="N148" s="28">
        <v>98.15</v>
      </c>
      <c r="O148" s="28">
        <v>97.63</v>
      </c>
      <c r="P148" s="28">
        <v>98.18</v>
      </c>
      <c r="Q148" s="28">
        <v>97.97</v>
      </c>
      <c r="R148" s="28">
        <v>97.19</v>
      </c>
      <c r="S148" s="28">
        <v>97.64</v>
      </c>
      <c r="T148" s="28">
        <v>98.99</v>
      </c>
      <c r="U148" s="28">
        <v>96.54</v>
      </c>
      <c r="V148" s="28">
        <v>96.63</v>
      </c>
      <c r="W148" s="28">
        <v>96.5</v>
      </c>
      <c r="X148" s="28">
        <v>96.25</v>
      </c>
      <c r="Y148" s="28">
        <v>96.13</v>
      </c>
      <c r="Z148" s="28">
        <v>96.11</v>
      </c>
      <c r="AA148" s="28">
        <v>96.08</v>
      </c>
      <c r="AB148" s="28">
        <v>96.03</v>
      </c>
      <c r="AC148" s="28">
        <v>95.95</v>
      </c>
      <c r="AD148" s="28">
        <v>95.95</v>
      </c>
      <c r="AE148" s="28">
        <v>95.88</v>
      </c>
      <c r="AF148" s="28">
        <v>95.82</v>
      </c>
      <c r="AG148" s="28">
        <v>95.75</v>
      </c>
      <c r="AH148" s="28">
        <v>95.79</v>
      </c>
      <c r="AI148" s="28">
        <v>95.77</v>
      </c>
      <c r="AJ148" s="28">
        <v>95.71</v>
      </c>
      <c r="AK148" s="28">
        <v>95.63</v>
      </c>
    </row>
    <row r="149" spans="1:37">
      <c r="A149" t="s">
        <v>1235</v>
      </c>
      <c r="B149" s="28">
        <v>-2.44</v>
      </c>
      <c r="C149" s="28">
        <v>11.94</v>
      </c>
      <c r="D149" s="28">
        <v>9.89</v>
      </c>
      <c r="E149" s="28">
        <v>5.81</v>
      </c>
      <c r="F149" s="28">
        <v>6.17</v>
      </c>
      <c r="G149" s="28">
        <v>5.84</v>
      </c>
      <c r="H149" s="28">
        <v>3.76</v>
      </c>
      <c r="I149" s="28">
        <v>4.16</v>
      </c>
      <c r="J149" s="28">
        <v>2.86</v>
      </c>
      <c r="K149" s="28">
        <v>2.98</v>
      </c>
      <c r="L149" s="28">
        <v>2.61</v>
      </c>
      <c r="M149" s="28">
        <v>2.68</v>
      </c>
      <c r="N149" s="28">
        <v>8.77</v>
      </c>
      <c r="O149" s="28">
        <v>6.65</v>
      </c>
      <c r="P149" s="28">
        <v>2.94</v>
      </c>
      <c r="Q149" s="28">
        <v>-0.25</v>
      </c>
      <c r="R149" s="28">
        <v>0.32</v>
      </c>
      <c r="S149" s="28">
        <v>1.5</v>
      </c>
      <c r="T149" s="28">
        <v>5.55</v>
      </c>
      <c r="U149" s="28">
        <v>5.73</v>
      </c>
      <c r="V149" s="28">
        <v>6.83</v>
      </c>
      <c r="W149" s="28">
        <v>7.08</v>
      </c>
      <c r="X149" s="28">
        <v>8.26</v>
      </c>
      <c r="Y149" s="28">
        <v>6.37</v>
      </c>
      <c r="Z149" s="28">
        <v>5.35</v>
      </c>
      <c r="AA149" s="28">
        <v>5.53</v>
      </c>
      <c r="AB149" s="28">
        <v>5.59</v>
      </c>
      <c r="AC149" s="28">
        <v>5.95</v>
      </c>
      <c r="AD149" s="28">
        <v>6.25</v>
      </c>
      <c r="AE149" s="28">
        <v>6.57</v>
      </c>
      <c r="AF149" s="28">
        <v>7.06</v>
      </c>
      <c r="AG149" s="28">
        <v>7.43</v>
      </c>
      <c r="AH149" s="28">
        <v>7.75</v>
      </c>
      <c r="AI149" s="28">
        <v>7.93</v>
      </c>
      <c r="AJ149" s="28">
        <v>8.0399999999999991</v>
      </c>
      <c r="AK149" s="28">
        <v>8</v>
      </c>
    </row>
    <row r="150" spans="1:37">
      <c r="A150" t="s">
        <v>1236</v>
      </c>
      <c r="B150" s="28">
        <v>0.13</v>
      </c>
      <c r="C150" s="28">
        <v>0.56999999999999995</v>
      </c>
      <c r="D150" s="28">
        <v>0.86</v>
      </c>
      <c r="E150" s="28">
        <v>0.97</v>
      </c>
      <c r="F150" s="28">
        <v>0.91</v>
      </c>
      <c r="G150" s="28">
        <v>-4.68</v>
      </c>
      <c r="H150" s="28">
        <v>-3.65</v>
      </c>
      <c r="I150" s="28">
        <v>-2.6</v>
      </c>
      <c r="J150" s="28">
        <v>-1.69</v>
      </c>
      <c r="K150" s="28">
        <v>-1.26</v>
      </c>
      <c r="L150" s="28">
        <v>-0.61</v>
      </c>
      <c r="M150" s="28">
        <v>0.02</v>
      </c>
      <c r="N150" s="28">
        <v>3.17</v>
      </c>
      <c r="O150" s="28">
        <v>2.85</v>
      </c>
      <c r="P150" s="28">
        <v>3.49</v>
      </c>
      <c r="Q150" s="28">
        <v>3.19</v>
      </c>
      <c r="R150" s="28">
        <v>2.93</v>
      </c>
      <c r="S150" s="28">
        <v>2.5</v>
      </c>
      <c r="T150" s="28">
        <v>2.58</v>
      </c>
      <c r="U150" s="28">
        <v>3.92</v>
      </c>
      <c r="V150" s="28">
        <v>3.48</v>
      </c>
      <c r="W150" s="28">
        <v>3.74</v>
      </c>
      <c r="X150" s="28">
        <v>3.66</v>
      </c>
      <c r="Y150" s="28">
        <v>3.98</v>
      </c>
      <c r="Z150" s="28">
        <v>5.44</v>
      </c>
      <c r="AA150" s="28">
        <v>5.68</v>
      </c>
      <c r="AB150" s="28">
        <v>6.04</v>
      </c>
      <c r="AC150" s="28">
        <v>6.5</v>
      </c>
      <c r="AD150" s="28">
        <v>6.43</v>
      </c>
      <c r="AE150" s="28">
        <v>6.68</v>
      </c>
      <c r="AF150" s="28">
        <v>6.85</v>
      </c>
      <c r="AG150" s="28">
        <v>7.09</v>
      </c>
      <c r="AH150" s="28">
        <v>7.37</v>
      </c>
      <c r="AI150" s="28">
        <v>7.49</v>
      </c>
      <c r="AJ150" s="28">
        <v>7.71</v>
      </c>
      <c r="AK150" s="28">
        <v>7.87</v>
      </c>
    </row>
    <row r="151" spans="1:37">
      <c r="A151" t="s">
        <v>1237</v>
      </c>
      <c r="B151" s="28">
        <v>0.13</v>
      </c>
      <c r="C151" s="28">
        <v>0.56999999999999995</v>
      </c>
      <c r="D151" s="28">
        <v>0.86</v>
      </c>
      <c r="E151" s="28">
        <v>0.97</v>
      </c>
      <c r="F151" s="28">
        <v>0.91</v>
      </c>
      <c r="G151" s="28">
        <v>-4.68</v>
      </c>
      <c r="H151" s="28">
        <v>-3.65</v>
      </c>
      <c r="I151" s="28">
        <v>-2.6</v>
      </c>
      <c r="J151" s="28">
        <v>-1.69</v>
      </c>
      <c r="K151" s="28">
        <v>-1.26</v>
      </c>
      <c r="L151" s="28">
        <v>-0.61</v>
      </c>
      <c r="M151" s="28">
        <v>0.02</v>
      </c>
      <c r="N151" s="28">
        <v>3.17</v>
      </c>
      <c r="O151" s="28">
        <v>2.85</v>
      </c>
      <c r="P151" s="28">
        <v>3.49</v>
      </c>
      <c r="Q151" s="28">
        <v>3.19</v>
      </c>
      <c r="R151" s="28">
        <v>2.93</v>
      </c>
      <c r="S151" s="28">
        <v>2.5</v>
      </c>
      <c r="T151" s="28">
        <v>2.58</v>
      </c>
      <c r="U151" s="28">
        <v>3.92</v>
      </c>
      <c r="V151" s="28">
        <v>3.48</v>
      </c>
      <c r="W151" s="28">
        <v>3.74</v>
      </c>
      <c r="X151" s="28">
        <v>3.66</v>
      </c>
      <c r="Y151" s="28">
        <v>3.98</v>
      </c>
      <c r="Z151" s="28">
        <v>5.44</v>
      </c>
      <c r="AA151" s="28">
        <v>5.68</v>
      </c>
      <c r="AB151" s="28">
        <v>6.04</v>
      </c>
      <c r="AC151" s="28">
        <v>6.5</v>
      </c>
      <c r="AD151" s="28">
        <v>6.43</v>
      </c>
      <c r="AE151" s="28">
        <v>6.68</v>
      </c>
      <c r="AF151" s="28">
        <v>6.85</v>
      </c>
      <c r="AG151" s="28">
        <v>7.09</v>
      </c>
      <c r="AH151" s="28">
        <v>7.37</v>
      </c>
      <c r="AI151" s="28">
        <v>7.49</v>
      </c>
      <c r="AJ151" s="28">
        <v>7.71</v>
      </c>
      <c r="AK151" s="28">
        <v>7.87</v>
      </c>
    </row>
    <row r="152" spans="1:37">
      <c r="A152" t="s">
        <v>1238</v>
      </c>
      <c r="B152" s="28">
        <v>-1.29</v>
      </c>
      <c r="C152" s="28">
        <v>-2.5499999999999998</v>
      </c>
      <c r="D152" s="28">
        <v>-4.0199999999999996</v>
      </c>
      <c r="E152" s="28">
        <v>-3.53</v>
      </c>
      <c r="F152" s="28">
        <v>-3.1</v>
      </c>
      <c r="G152" s="28">
        <v>-2.0299999999999998</v>
      </c>
      <c r="H152" s="28">
        <v>-1.84</v>
      </c>
      <c r="I152" s="28">
        <v>-1.49</v>
      </c>
      <c r="J152" s="28">
        <v>-1.5</v>
      </c>
      <c r="K152" s="28">
        <v>-1.39</v>
      </c>
      <c r="L152" s="28">
        <v>-1.23</v>
      </c>
      <c r="M152" s="28">
        <v>-1.05</v>
      </c>
      <c r="N152" s="28">
        <v>0.63</v>
      </c>
      <c r="O152" s="28">
        <v>1.95</v>
      </c>
      <c r="P152" s="28">
        <v>2.5099999999999998</v>
      </c>
      <c r="Q152" s="28">
        <v>3.21</v>
      </c>
      <c r="R152" s="28">
        <v>3.61</v>
      </c>
      <c r="S152" s="28">
        <v>3.73</v>
      </c>
      <c r="T152" s="28">
        <v>3.23</v>
      </c>
      <c r="U152" s="28">
        <v>2.83</v>
      </c>
      <c r="V152" s="28">
        <v>2.1800000000000002</v>
      </c>
      <c r="W152" s="28">
        <v>6.4</v>
      </c>
      <c r="X152" s="28">
        <v>6.43</v>
      </c>
      <c r="Y152" s="28">
        <v>6.52</v>
      </c>
      <c r="Z152" s="28">
        <v>7.4</v>
      </c>
      <c r="AA152" s="28">
        <v>8.7200000000000006</v>
      </c>
      <c r="AB152" s="28">
        <v>8.82</v>
      </c>
      <c r="AC152" s="28">
        <v>10.28</v>
      </c>
      <c r="AD152" s="28">
        <v>10.89</v>
      </c>
      <c r="AE152" s="28">
        <v>11.48</v>
      </c>
      <c r="AF152" s="28">
        <v>12.18</v>
      </c>
      <c r="AG152" s="28">
        <v>12.35</v>
      </c>
      <c r="AH152" s="28">
        <v>12.18</v>
      </c>
      <c r="AI152" s="28">
        <v>11.92</v>
      </c>
      <c r="AJ152" s="28">
        <v>11.6</v>
      </c>
      <c r="AK152" s="28">
        <v>11.2</v>
      </c>
    </row>
    <row r="153" spans="1:37">
      <c r="A153" t="s">
        <v>1239</v>
      </c>
      <c r="B153" s="28">
        <v>-17.61</v>
      </c>
      <c r="C153" s="28">
        <v>-1.3</v>
      </c>
      <c r="D153" s="28">
        <v>-1.17</v>
      </c>
      <c r="E153" s="28">
        <v>-6.21</v>
      </c>
      <c r="F153" s="28">
        <v>-4.95</v>
      </c>
      <c r="G153" s="28">
        <v>-3.52</v>
      </c>
      <c r="H153" s="28">
        <v>-3.77</v>
      </c>
      <c r="I153" s="28">
        <v>-1.05</v>
      </c>
      <c r="J153" s="28">
        <v>-2.12</v>
      </c>
      <c r="K153" s="28">
        <v>-2.19</v>
      </c>
      <c r="L153" s="28">
        <v>-1.71</v>
      </c>
      <c r="M153" s="28">
        <v>-2.0499999999999998</v>
      </c>
      <c r="N153" s="28">
        <v>11.89</v>
      </c>
      <c r="O153" s="28">
        <v>6.56</v>
      </c>
      <c r="P153" s="28">
        <v>1.71</v>
      </c>
      <c r="Q153" s="28">
        <v>1.92</v>
      </c>
      <c r="R153" s="28">
        <v>2.6</v>
      </c>
      <c r="S153" s="28">
        <v>2.19</v>
      </c>
      <c r="T153" s="28">
        <v>4.6100000000000003</v>
      </c>
      <c r="U153" s="28">
        <v>5.64</v>
      </c>
      <c r="V153" s="28">
        <v>6.69</v>
      </c>
      <c r="W153" s="28">
        <v>6.95</v>
      </c>
      <c r="X153" s="28">
        <v>6.96</v>
      </c>
      <c r="Y153" s="28">
        <v>6.59</v>
      </c>
      <c r="Z153" s="28">
        <v>6.01</v>
      </c>
      <c r="AA153" s="28">
        <v>5.99</v>
      </c>
      <c r="AB153" s="28">
        <v>6.05</v>
      </c>
      <c r="AC153" s="28">
        <v>6.42</v>
      </c>
      <c r="AD153" s="28">
        <v>6.66</v>
      </c>
      <c r="AE153" s="28">
        <v>6.94</v>
      </c>
      <c r="AF153" s="28">
        <v>7.37</v>
      </c>
      <c r="AG153" s="28">
        <v>7.69</v>
      </c>
      <c r="AH153" s="28">
        <v>7.96</v>
      </c>
      <c r="AI153" s="28">
        <v>8.1199999999999992</v>
      </c>
      <c r="AJ153" s="28">
        <v>8.19</v>
      </c>
      <c r="AK153" s="28">
        <v>8.14</v>
      </c>
    </row>
    <row r="154" spans="1:37">
      <c r="A154" t="s">
        <v>1240</v>
      </c>
      <c r="B154" s="28">
        <v>15.08</v>
      </c>
      <c r="C154" s="28">
        <v>14.98</v>
      </c>
      <c r="D154" s="28">
        <v>14.95</v>
      </c>
      <c r="E154" s="28">
        <v>15.48</v>
      </c>
      <c r="F154" s="28">
        <v>15.72</v>
      </c>
      <c r="G154" s="28">
        <v>16.09</v>
      </c>
      <c r="H154" s="28">
        <v>16.13</v>
      </c>
      <c r="I154" s="28">
        <v>15.89</v>
      </c>
      <c r="J154" s="28">
        <v>16.05</v>
      </c>
      <c r="K154" s="28">
        <v>16.03</v>
      </c>
      <c r="L154" s="28">
        <v>15.95</v>
      </c>
      <c r="M154" s="28">
        <v>15.94</v>
      </c>
      <c r="N154" s="28">
        <v>15.77</v>
      </c>
      <c r="O154" s="28">
        <v>15.64</v>
      </c>
      <c r="P154" s="28">
        <v>15.56</v>
      </c>
      <c r="Q154" s="28">
        <v>15.51</v>
      </c>
      <c r="R154" s="28">
        <v>15.43</v>
      </c>
      <c r="S154" s="28">
        <v>15.3</v>
      </c>
      <c r="T154" s="28">
        <v>14.94</v>
      </c>
      <c r="U154" s="28">
        <v>14.73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0</v>
      </c>
      <c r="AC154" s="28">
        <v>0</v>
      </c>
      <c r="AD154" s="28">
        <v>0</v>
      </c>
      <c r="AE154" s="28">
        <v>0</v>
      </c>
      <c r="AF154" s="28">
        <v>0</v>
      </c>
      <c r="AG154" s="28">
        <v>0</v>
      </c>
      <c r="AH154" s="28">
        <v>0</v>
      </c>
      <c r="AI154" s="28">
        <v>0</v>
      </c>
      <c r="AJ154" s="28">
        <v>0</v>
      </c>
      <c r="AK154" s="28">
        <v>0</v>
      </c>
    </row>
    <row r="155" spans="1:37">
      <c r="A155" t="s">
        <v>1241</v>
      </c>
      <c r="B155" s="28">
        <v>26.65</v>
      </c>
      <c r="C155" s="28">
        <v>26.46</v>
      </c>
      <c r="D155" s="28">
        <v>26.43</v>
      </c>
      <c r="E155" s="28">
        <v>27.29</v>
      </c>
      <c r="F155" s="28">
        <v>27.58</v>
      </c>
      <c r="G155" s="28">
        <v>28.01</v>
      </c>
      <c r="H155" s="28">
        <v>28.14</v>
      </c>
      <c r="I155" s="28">
        <v>27.84</v>
      </c>
      <c r="J155" s="28">
        <v>27.96</v>
      </c>
      <c r="K155" s="28">
        <v>28.01</v>
      </c>
      <c r="L155" s="28">
        <v>27.86</v>
      </c>
      <c r="M155" s="28">
        <v>28.02</v>
      </c>
      <c r="N155" s="28">
        <v>27.52</v>
      </c>
      <c r="O155" s="28">
        <v>27.34</v>
      </c>
      <c r="P155" s="28">
        <v>27.46</v>
      </c>
      <c r="Q155" s="28">
        <v>27.43</v>
      </c>
      <c r="R155" s="28">
        <v>27.33</v>
      </c>
      <c r="S155" s="28">
        <v>27.31</v>
      </c>
      <c r="T155" s="28">
        <v>26.74</v>
      </c>
      <c r="U155" s="28">
        <v>26.41</v>
      </c>
      <c r="V155" s="28">
        <v>30.58</v>
      </c>
      <c r="W155" s="28">
        <v>32.520000000000003</v>
      </c>
      <c r="X155" s="28">
        <v>32.380000000000003</v>
      </c>
      <c r="Y155" s="28">
        <v>32.4</v>
      </c>
      <c r="Z155" s="28">
        <v>32.26</v>
      </c>
      <c r="AA155" s="28">
        <v>32.24</v>
      </c>
      <c r="AB155" s="28">
        <v>32.119999999999997</v>
      </c>
      <c r="AC155" s="28">
        <v>32.159999999999997</v>
      </c>
      <c r="AD155" s="28">
        <v>32.31</v>
      </c>
      <c r="AE155" s="28">
        <v>32.44</v>
      </c>
      <c r="AF155" s="28">
        <v>32.71</v>
      </c>
      <c r="AG155" s="28">
        <v>32.79</v>
      </c>
      <c r="AH155" s="28">
        <v>32.72</v>
      </c>
      <c r="AI155" s="28">
        <v>32.78</v>
      </c>
      <c r="AJ155" s="28">
        <v>32.78</v>
      </c>
      <c r="AK155" s="28">
        <v>32.83</v>
      </c>
    </row>
    <row r="156" spans="1:37">
      <c r="A156" t="s">
        <v>1242</v>
      </c>
      <c r="B156" s="28">
        <v>0.01</v>
      </c>
      <c r="C156" s="28">
        <v>0.05</v>
      </c>
      <c r="D156" s="28">
        <v>7.0000000000000007E-2</v>
      </c>
      <c r="E156" s="28">
        <v>0.08</v>
      </c>
      <c r="F156" s="28">
        <v>0.08</v>
      </c>
      <c r="G156" s="28">
        <v>0.13</v>
      </c>
      <c r="H156" s="28">
        <v>0.14000000000000001</v>
      </c>
      <c r="I156" s="28">
        <v>0.17</v>
      </c>
      <c r="J156" s="28">
        <v>0.2</v>
      </c>
      <c r="K156" s="28">
        <v>0.2</v>
      </c>
      <c r="L156" s="28">
        <v>0.23</v>
      </c>
      <c r="M156" s="28">
        <v>0.26</v>
      </c>
      <c r="N156" s="28">
        <v>0.26</v>
      </c>
      <c r="O156" s="28">
        <v>0.24</v>
      </c>
      <c r="P156" s="28">
        <v>0.28999999999999998</v>
      </c>
      <c r="Q156" s="28">
        <v>0.26</v>
      </c>
      <c r="R156" s="28">
        <v>0.24</v>
      </c>
      <c r="S156" s="28">
        <v>0.21</v>
      </c>
      <c r="T156" s="28">
        <v>0.21</v>
      </c>
      <c r="U156" s="28">
        <v>0.32</v>
      </c>
      <c r="V156" s="28">
        <v>0.34</v>
      </c>
      <c r="W156" s="28">
        <v>0.32</v>
      </c>
      <c r="X156" s="28">
        <v>0.35</v>
      </c>
      <c r="Y156" s="28">
        <v>0.36</v>
      </c>
      <c r="Z156" s="28">
        <v>0.48</v>
      </c>
      <c r="AA156" s="28">
        <v>0.51</v>
      </c>
      <c r="AB156" s="28">
        <v>0.55000000000000004</v>
      </c>
      <c r="AC156" s="28">
        <v>0.53</v>
      </c>
      <c r="AD156" s="28">
        <v>0.55000000000000004</v>
      </c>
      <c r="AE156" s="28">
        <v>0.56000000000000005</v>
      </c>
      <c r="AF156" s="28">
        <v>0.57999999999999996</v>
      </c>
      <c r="AG156" s="28">
        <v>0.6</v>
      </c>
      <c r="AH156" s="28">
        <v>0.61</v>
      </c>
      <c r="AI156" s="28">
        <v>0.62</v>
      </c>
      <c r="AJ156" s="28">
        <v>0.63</v>
      </c>
      <c r="AK156" s="28">
        <v>0.65</v>
      </c>
    </row>
    <row r="157" spans="1:37">
      <c r="A157" t="s">
        <v>1243</v>
      </c>
      <c r="B157" s="28">
        <v>0.01</v>
      </c>
      <c r="C157" s="28">
        <v>0.05</v>
      </c>
      <c r="D157" s="28">
        <v>7.0000000000000007E-2</v>
      </c>
      <c r="E157" s="28">
        <v>0.08</v>
      </c>
      <c r="F157" s="28">
        <v>0.08</v>
      </c>
      <c r="G157" s="28">
        <v>0.13</v>
      </c>
      <c r="H157" s="28">
        <v>0.14000000000000001</v>
      </c>
      <c r="I157" s="28">
        <v>0.17</v>
      </c>
      <c r="J157" s="28">
        <v>0.2</v>
      </c>
      <c r="K157" s="28">
        <v>0.2</v>
      </c>
      <c r="L157" s="28">
        <v>0.23</v>
      </c>
      <c r="M157" s="28">
        <v>0.26</v>
      </c>
      <c r="N157" s="28">
        <v>0.26</v>
      </c>
      <c r="O157" s="28">
        <v>0.24</v>
      </c>
      <c r="P157" s="28">
        <v>0.28999999999999998</v>
      </c>
      <c r="Q157" s="28">
        <v>0.26</v>
      </c>
      <c r="R157" s="28">
        <v>0.24</v>
      </c>
      <c r="S157" s="28">
        <v>0.21</v>
      </c>
      <c r="T157" s="28">
        <v>0.21</v>
      </c>
      <c r="U157" s="28">
        <v>0.32</v>
      </c>
      <c r="V157" s="28">
        <v>0.34</v>
      </c>
      <c r="W157" s="28">
        <v>0.32</v>
      </c>
      <c r="X157" s="28">
        <v>0.35</v>
      </c>
      <c r="Y157" s="28">
        <v>0.36</v>
      </c>
      <c r="Z157" s="28">
        <v>0.48</v>
      </c>
      <c r="AA157" s="28">
        <v>0.51</v>
      </c>
      <c r="AB157" s="28">
        <v>0.55000000000000004</v>
      </c>
      <c r="AC157" s="28">
        <v>0.53</v>
      </c>
      <c r="AD157" s="28">
        <v>0.55000000000000004</v>
      </c>
      <c r="AE157" s="28">
        <v>0.56000000000000005</v>
      </c>
      <c r="AF157" s="28">
        <v>0.57999999999999996</v>
      </c>
      <c r="AG157" s="28">
        <v>0.6</v>
      </c>
      <c r="AH157" s="28">
        <v>0.61</v>
      </c>
      <c r="AI157" s="28">
        <v>0.62</v>
      </c>
      <c r="AJ157" s="28">
        <v>0.63</v>
      </c>
      <c r="AK157" s="28">
        <v>0.65</v>
      </c>
    </row>
    <row r="158" spans="1:37">
      <c r="A158" t="s">
        <v>1244</v>
      </c>
      <c r="B158" s="28">
        <v>6.44</v>
      </c>
      <c r="C158" s="28">
        <v>6.24</v>
      </c>
      <c r="D158" s="28">
        <v>6.29</v>
      </c>
      <c r="E158" s="28">
        <v>6.35</v>
      </c>
      <c r="F158" s="28">
        <v>6.41</v>
      </c>
      <c r="G158" s="28">
        <v>6.39</v>
      </c>
      <c r="H158" s="28">
        <v>6.46</v>
      </c>
      <c r="I158" s="28">
        <v>6.45</v>
      </c>
      <c r="J158" s="28">
        <v>6.48</v>
      </c>
      <c r="K158" s="28">
        <v>6.5</v>
      </c>
      <c r="L158" s="28">
        <v>6.5</v>
      </c>
      <c r="M158" s="28">
        <v>6.58</v>
      </c>
      <c r="N158" s="28">
        <v>6.73</v>
      </c>
      <c r="O158" s="28">
        <v>6.54</v>
      </c>
      <c r="P158" s="28">
        <v>6.68</v>
      </c>
      <c r="Q158" s="28">
        <v>6.7</v>
      </c>
      <c r="R158" s="28">
        <v>6.79</v>
      </c>
      <c r="S158" s="28">
        <v>6.88</v>
      </c>
      <c r="T158" s="28">
        <v>6.93</v>
      </c>
      <c r="U158" s="28">
        <v>7.01</v>
      </c>
      <c r="V158" s="28">
        <v>7.12</v>
      </c>
      <c r="W158" s="28">
        <v>7.15</v>
      </c>
      <c r="X158" s="28">
        <v>7.13</v>
      </c>
      <c r="Y158" s="28">
        <v>7.13</v>
      </c>
      <c r="Z158" s="28">
        <v>7.15</v>
      </c>
      <c r="AA158" s="28">
        <v>6.98</v>
      </c>
      <c r="AB158" s="28">
        <v>7.07</v>
      </c>
      <c r="AC158" s="28">
        <v>7.11</v>
      </c>
      <c r="AD158" s="28">
        <v>7.16</v>
      </c>
      <c r="AE158" s="28">
        <v>7.18</v>
      </c>
      <c r="AF158" s="28">
        <v>7.22</v>
      </c>
      <c r="AG158" s="28">
        <v>7.25</v>
      </c>
      <c r="AH158" s="28">
        <v>7.24</v>
      </c>
      <c r="AI158" s="28">
        <v>7.26</v>
      </c>
      <c r="AJ158" s="28">
        <v>7.25</v>
      </c>
      <c r="AK158" s="28">
        <v>7.27</v>
      </c>
    </row>
    <row r="159" spans="1:37">
      <c r="A159" t="s">
        <v>1245</v>
      </c>
      <c r="B159" s="28">
        <v>6.41</v>
      </c>
      <c r="C159" s="28">
        <v>6.25</v>
      </c>
      <c r="D159" s="28">
        <v>6.32</v>
      </c>
      <c r="E159" s="28">
        <v>6.3</v>
      </c>
      <c r="F159" s="28">
        <v>6.36</v>
      </c>
      <c r="G159" s="28">
        <v>6.34</v>
      </c>
      <c r="H159" s="28">
        <v>6.38</v>
      </c>
      <c r="I159" s="28">
        <v>6.42</v>
      </c>
      <c r="J159" s="28">
        <v>6.43</v>
      </c>
      <c r="K159" s="28">
        <v>6.46</v>
      </c>
      <c r="L159" s="28">
        <v>6.46</v>
      </c>
      <c r="M159" s="28">
        <v>6.48</v>
      </c>
      <c r="N159" s="28">
        <v>6.72</v>
      </c>
      <c r="O159" s="28">
        <v>6.44</v>
      </c>
      <c r="P159" s="28">
        <v>6.57</v>
      </c>
      <c r="Q159" s="28">
        <v>6.59</v>
      </c>
      <c r="R159" s="28">
        <v>6.64</v>
      </c>
      <c r="S159" s="28">
        <v>6.65</v>
      </c>
      <c r="T159" s="28">
        <v>6.7</v>
      </c>
      <c r="U159" s="28">
        <v>6.75</v>
      </c>
      <c r="V159" s="28">
        <v>6.78</v>
      </c>
      <c r="W159" s="28">
        <v>6.7</v>
      </c>
      <c r="X159" s="28">
        <v>6.72</v>
      </c>
      <c r="Y159" s="28">
        <v>6.74</v>
      </c>
      <c r="Z159" s="28">
        <v>7.26</v>
      </c>
      <c r="AA159" s="28">
        <v>6.95</v>
      </c>
      <c r="AB159" s="28">
        <v>7.05</v>
      </c>
      <c r="AC159" s="28">
        <v>7.02</v>
      </c>
      <c r="AD159" s="28">
        <v>7.05</v>
      </c>
      <c r="AE159" s="28">
        <v>7.03</v>
      </c>
      <c r="AF159" s="28">
        <v>7.04</v>
      </c>
      <c r="AG159" s="28">
        <v>7.05</v>
      </c>
      <c r="AH159" s="28">
        <v>7.04</v>
      </c>
      <c r="AI159" s="28">
        <v>7.06</v>
      </c>
      <c r="AJ159" s="28">
        <v>7.06</v>
      </c>
      <c r="AK159" s="28">
        <v>7.07</v>
      </c>
    </row>
    <row r="160" spans="1:37">
      <c r="A160" t="s">
        <v>1246</v>
      </c>
      <c r="B160" s="28">
        <v>-0.45</v>
      </c>
      <c r="C160" s="28">
        <v>-0.42</v>
      </c>
      <c r="D160" s="28">
        <v>-0.41</v>
      </c>
      <c r="E160" s="28">
        <v>-0.42</v>
      </c>
      <c r="F160" s="28">
        <v>-0.42</v>
      </c>
      <c r="G160" s="28">
        <v>-0.42</v>
      </c>
      <c r="H160" s="28">
        <v>-0.43</v>
      </c>
      <c r="I160" s="28">
        <v>-0.42</v>
      </c>
      <c r="J160" s="28">
        <v>-0.42</v>
      </c>
      <c r="K160" s="28">
        <v>-0.42</v>
      </c>
      <c r="L160" s="28">
        <v>-0.42</v>
      </c>
      <c r="M160" s="28">
        <v>-0.42</v>
      </c>
      <c r="N160" s="28">
        <v>-0.48</v>
      </c>
      <c r="O160" s="28">
        <v>-0.46</v>
      </c>
      <c r="P160" s="28">
        <v>-0.46</v>
      </c>
      <c r="Q160" s="28">
        <v>-0.46</v>
      </c>
      <c r="R160" s="28">
        <v>-0.45</v>
      </c>
      <c r="S160" s="28">
        <v>-0.46</v>
      </c>
      <c r="T160" s="28">
        <v>-0.46</v>
      </c>
      <c r="U160" s="28">
        <v>-0.45</v>
      </c>
      <c r="V160" s="28">
        <v>-0.45</v>
      </c>
      <c r="W160" s="28">
        <v>-0.45</v>
      </c>
      <c r="X160" s="28">
        <v>-0.44</v>
      </c>
      <c r="Y160" s="28">
        <v>-0.44</v>
      </c>
      <c r="Z160" s="28">
        <v>-0.46</v>
      </c>
      <c r="AA160" s="28">
        <v>-0.46</v>
      </c>
      <c r="AB160" s="28">
        <v>-0.46</v>
      </c>
      <c r="AC160" s="28">
        <v>-0.46</v>
      </c>
      <c r="AD160" s="28">
        <v>-0.46</v>
      </c>
      <c r="AE160" s="28">
        <v>-0.45</v>
      </c>
      <c r="AF160" s="28">
        <v>-0.47</v>
      </c>
      <c r="AG160" s="28">
        <v>-0.48</v>
      </c>
      <c r="AH160" s="28">
        <v>-0.49</v>
      </c>
      <c r="AI160" s="28">
        <v>-0.5</v>
      </c>
      <c r="AJ160" s="28">
        <v>-0.5</v>
      </c>
      <c r="AK160" s="28">
        <v>-0.51</v>
      </c>
    </row>
    <row r="161" spans="1:37">
      <c r="A161" t="s">
        <v>1247</v>
      </c>
      <c r="B161" s="28">
        <v>1.25</v>
      </c>
      <c r="C161" s="28">
        <v>1.25</v>
      </c>
      <c r="D161" s="28">
        <v>1.24</v>
      </c>
      <c r="E161" s="28">
        <v>1.27</v>
      </c>
      <c r="F161" s="28">
        <v>1.29</v>
      </c>
      <c r="G161" s="28">
        <v>1.27</v>
      </c>
      <c r="H161" s="28">
        <v>1.28</v>
      </c>
      <c r="I161" s="28">
        <v>1.28</v>
      </c>
      <c r="J161" s="28">
        <v>1.29</v>
      </c>
      <c r="K161" s="28">
        <v>1.28</v>
      </c>
      <c r="L161" s="28">
        <v>1.28</v>
      </c>
      <c r="M161" s="28">
        <v>1.28</v>
      </c>
      <c r="N161" s="28">
        <v>1.27</v>
      </c>
      <c r="O161" s="28">
        <v>1.28</v>
      </c>
      <c r="P161" s="28">
        <v>1.3</v>
      </c>
      <c r="Q161" s="28">
        <v>1.29</v>
      </c>
      <c r="R161" s="28">
        <v>1.26</v>
      </c>
      <c r="S161" s="28">
        <v>1.28</v>
      </c>
      <c r="T161" s="28">
        <v>1.28</v>
      </c>
      <c r="U161" s="28">
        <v>1.27</v>
      </c>
      <c r="V161" s="28">
        <v>1.25</v>
      </c>
      <c r="W161" s="28">
        <v>1.23</v>
      </c>
      <c r="X161" s="28">
        <v>1.22</v>
      </c>
      <c r="Y161" s="28">
        <v>1.22</v>
      </c>
      <c r="Z161" s="28">
        <v>1.31</v>
      </c>
      <c r="AA161" s="28">
        <v>1.32</v>
      </c>
      <c r="AB161" s="28">
        <v>1.34</v>
      </c>
      <c r="AC161" s="28">
        <v>1.33</v>
      </c>
      <c r="AD161" s="28">
        <v>1.37</v>
      </c>
      <c r="AE161" s="28">
        <v>1.36</v>
      </c>
      <c r="AF161" s="28">
        <v>1.35</v>
      </c>
      <c r="AG161" s="28">
        <v>1.34</v>
      </c>
      <c r="AH161" s="28">
        <v>1.44</v>
      </c>
      <c r="AI161" s="28">
        <v>1.49</v>
      </c>
      <c r="AJ161" s="28">
        <v>1.47</v>
      </c>
      <c r="AK161" s="28">
        <v>1.45</v>
      </c>
    </row>
    <row r="162" spans="1:37">
      <c r="A162" t="s">
        <v>1248</v>
      </c>
      <c r="B162" s="28">
        <v>2.12</v>
      </c>
      <c r="C162" s="28">
        <v>2.0099999999999998</v>
      </c>
      <c r="D162" s="28">
        <v>2.06</v>
      </c>
      <c r="E162" s="28">
        <v>2.08</v>
      </c>
      <c r="F162" s="28">
        <v>2.1</v>
      </c>
      <c r="G162" s="28">
        <v>2.1</v>
      </c>
      <c r="H162" s="28">
        <v>2.12</v>
      </c>
      <c r="I162" s="28">
        <v>2.11</v>
      </c>
      <c r="J162" s="28">
        <v>2.11</v>
      </c>
      <c r="K162" s="28">
        <v>2.1</v>
      </c>
      <c r="L162" s="28">
        <v>2.09</v>
      </c>
      <c r="M162" s="28">
        <v>2.09</v>
      </c>
      <c r="N162" s="28">
        <v>1.99</v>
      </c>
      <c r="O162" s="28">
        <v>1.86</v>
      </c>
      <c r="P162" s="28">
        <v>1.87</v>
      </c>
      <c r="Q162" s="28">
        <v>1.84</v>
      </c>
      <c r="R162" s="28">
        <v>1.87</v>
      </c>
      <c r="S162" s="28">
        <v>1.93</v>
      </c>
      <c r="T162" s="28">
        <v>1.98</v>
      </c>
      <c r="U162" s="28">
        <v>2.0099999999999998</v>
      </c>
      <c r="V162" s="28">
        <v>2.02</v>
      </c>
      <c r="W162" s="28">
        <v>2.0499999999999998</v>
      </c>
      <c r="X162" s="28">
        <v>2.0499999999999998</v>
      </c>
      <c r="Y162" s="28">
        <v>2.0499999999999998</v>
      </c>
      <c r="Z162" s="28">
        <v>2.0699999999999998</v>
      </c>
      <c r="AA162" s="28">
        <v>1.95</v>
      </c>
      <c r="AB162" s="28">
        <v>1.97</v>
      </c>
      <c r="AC162" s="28">
        <v>1.96</v>
      </c>
      <c r="AD162" s="28">
        <v>1.97</v>
      </c>
      <c r="AE162" s="28">
        <v>1.95</v>
      </c>
      <c r="AF162" s="28">
        <v>1.94</v>
      </c>
      <c r="AG162" s="28">
        <v>1.93</v>
      </c>
      <c r="AH162" s="28">
        <v>1.91</v>
      </c>
      <c r="AI162" s="28">
        <v>1.9</v>
      </c>
      <c r="AJ162" s="28">
        <v>1.89</v>
      </c>
      <c r="AK162" s="28">
        <v>1.89</v>
      </c>
    </row>
    <row r="163" spans="1:37">
      <c r="A163" t="s">
        <v>1249</v>
      </c>
      <c r="B163" s="28">
        <v>3.31</v>
      </c>
      <c r="C163" s="28">
        <v>3.26</v>
      </c>
      <c r="D163" s="28">
        <v>3.27</v>
      </c>
      <c r="E163" s="28">
        <v>3.28</v>
      </c>
      <c r="F163" s="28">
        <v>3.3</v>
      </c>
      <c r="G163" s="28">
        <v>3.29</v>
      </c>
      <c r="H163" s="28">
        <v>3.3</v>
      </c>
      <c r="I163" s="28">
        <v>3.31</v>
      </c>
      <c r="J163" s="28">
        <v>3.35</v>
      </c>
      <c r="K163" s="28">
        <v>3.37</v>
      </c>
      <c r="L163" s="28">
        <v>3.38</v>
      </c>
      <c r="M163" s="28">
        <v>3.41</v>
      </c>
      <c r="N163" s="28">
        <v>3.69</v>
      </c>
      <c r="O163" s="28">
        <v>3.59</v>
      </c>
      <c r="P163" s="28">
        <v>3.73</v>
      </c>
      <c r="Q163" s="28">
        <v>3.76</v>
      </c>
      <c r="R163" s="28">
        <v>3.82</v>
      </c>
      <c r="S163" s="28">
        <v>3.85</v>
      </c>
      <c r="T163" s="28">
        <v>3.85</v>
      </c>
      <c r="U163" s="28">
        <v>3.86</v>
      </c>
      <c r="V163" s="28">
        <v>3.85</v>
      </c>
      <c r="W163" s="28">
        <v>3.87</v>
      </c>
      <c r="X163" s="28">
        <v>3.87</v>
      </c>
      <c r="Y163" s="28">
        <v>3.88</v>
      </c>
      <c r="Z163" s="28">
        <v>3.93</v>
      </c>
      <c r="AA163" s="28">
        <v>3.82</v>
      </c>
      <c r="AB163" s="28">
        <v>3.87</v>
      </c>
      <c r="AC163" s="28">
        <v>3.87</v>
      </c>
      <c r="AD163" s="28">
        <v>3.89</v>
      </c>
      <c r="AE163" s="28">
        <v>3.9</v>
      </c>
      <c r="AF163" s="28">
        <v>3.93</v>
      </c>
      <c r="AG163" s="28">
        <v>3.95</v>
      </c>
      <c r="AH163" s="28">
        <v>3.95</v>
      </c>
      <c r="AI163" s="28">
        <v>3.97</v>
      </c>
      <c r="AJ163" s="28">
        <v>3.98</v>
      </c>
      <c r="AK163" s="28">
        <v>3.99</v>
      </c>
    </row>
    <row r="164" spans="1:37">
      <c r="A164" t="s">
        <v>1250</v>
      </c>
      <c r="B164" s="28">
        <v>19.45</v>
      </c>
      <c r="C164" s="28">
        <v>19.329999999999998</v>
      </c>
      <c r="D164" s="28">
        <v>19.13</v>
      </c>
      <c r="E164" s="28">
        <v>18.690000000000001</v>
      </c>
      <c r="F164" s="28">
        <v>18.54</v>
      </c>
      <c r="G164" s="28">
        <v>18.2</v>
      </c>
      <c r="H164" s="28">
        <v>18.149999999999999</v>
      </c>
      <c r="I164" s="28">
        <v>17.84</v>
      </c>
      <c r="J164" s="28">
        <v>17.79</v>
      </c>
      <c r="K164" s="28">
        <v>17.48</v>
      </c>
      <c r="L164" s="28">
        <v>17.34</v>
      </c>
      <c r="M164" s="28">
        <v>17.23</v>
      </c>
      <c r="N164" s="28">
        <v>17.2</v>
      </c>
      <c r="O164" s="28">
        <v>17.48</v>
      </c>
      <c r="P164" s="28">
        <v>17.600000000000001</v>
      </c>
      <c r="Q164" s="28">
        <v>17.28</v>
      </c>
      <c r="R164" s="28">
        <v>16.850000000000001</v>
      </c>
      <c r="S164" s="28">
        <v>16.670000000000002</v>
      </c>
      <c r="T164" s="28">
        <v>16.25</v>
      </c>
      <c r="U164" s="28">
        <v>16.079999999999998</v>
      </c>
      <c r="V164" s="28">
        <v>15.72</v>
      </c>
      <c r="W164" s="28">
        <v>15.49</v>
      </c>
      <c r="X164" s="28">
        <v>15.31</v>
      </c>
      <c r="Y164" s="28">
        <v>15.18</v>
      </c>
      <c r="Z164" s="28">
        <v>14.97</v>
      </c>
      <c r="AA164" s="28">
        <v>14.75</v>
      </c>
      <c r="AB164" s="28">
        <v>14.53</v>
      </c>
      <c r="AC164" s="28">
        <v>14.3</v>
      </c>
      <c r="AD164" s="28">
        <v>14.09</v>
      </c>
      <c r="AE164" s="28">
        <v>13.9</v>
      </c>
      <c r="AF164" s="28">
        <v>13.73</v>
      </c>
      <c r="AG164" s="28">
        <v>13.56</v>
      </c>
      <c r="AH164" s="28">
        <v>13.4</v>
      </c>
      <c r="AI164" s="28">
        <v>13.25</v>
      </c>
      <c r="AJ164" s="28">
        <v>13.1</v>
      </c>
      <c r="AK164" s="28">
        <v>12.97</v>
      </c>
    </row>
    <row r="165" spans="1:37">
      <c r="A165" t="s">
        <v>1251</v>
      </c>
      <c r="B165" s="29">
        <v>91.8</v>
      </c>
      <c r="C165" s="29">
        <v>89.54</v>
      </c>
      <c r="D165" s="29">
        <v>88.6</v>
      </c>
      <c r="E165" s="29">
        <v>88.91</v>
      </c>
      <c r="F165" s="29">
        <v>88.25</v>
      </c>
      <c r="G165" s="29">
        <v>88.2</v>
      </c>
      <c r="H165" s="29">
        <v>88.78</v>
      </c>
      <c r="I165" s="29">
        <v>88.35</v>
      </c>
      <c r="J165" s="29">
        <v>88.77</v>
      </c>
      <c r="K165" s="29">
        <v>88.45</v>
      </c>
      <c r="L165" s="29">
        <v>88.56</v>
      </c>
      <c r="M165" s="29">
        <v>88.38</v>
      </c>
      <c r="N165" s="29">
        <v>87.78</v>
      </c>
      <c r="O165" s="29">
        <v>87.69</v>
      </c>
      <c r="P165" s="29">
        <v>88.28</v>
      </c>
      <c r="Q165" s="29">
        <v>89.39</v>
      </c>
      <c r="R165" s="29">
        <v>89.59</v>
      </c>
      <c r="S165" s="29">
        <v>89.35</v>
      </c>
      <c r="T165" s="29">
        <v>87.22</v>
      </c>
      <c r="U165" s="29">
        <v>86.73</v>
      </c>
      <c r="V165" s="29">
        <v>85.44</v>
      </c>
      <c r="W165" s="29">
        <v>87.9</v>
      </c>
      <c r="X165" s="29">
        <v>87</v>
      </c>
      <c r="Y165" s="29">
        <v>88.5</v>
      </c>
      <c r="Z165" s="29">
        <v>88.65</v>
      </c>
      <c r="AA165" s="29">
        <v>88.97</v>
      </c>
      <c r="AB165" s="29">
        <v>89.21</v>
      </c>
      <c r="AC165" s="29">
        <v>89.76</v>
      </c>
      <c r="AD165" s="29">
        <v>90.17</v>
      </c>
      <c r="AE165" s="29">
        <v>90.6</v>
      </c>
      <c r="AF165" s="29">
        <v>91.04</v>
      </c>
      <c r="AG165" s="29">
        <v>91.27</v>
      </c>
      <c r="AH165" s="29">
        <v>91.28</v>
      </c>
      <c r="AI165" s="29">
        <v>91.27</v>
      </c>
      <c r="AJ165" s="29">
        <v>91.2</v>
      </c>
      <c r="AK165" s="29">
        <v>91.13</v>
      </c>
    </row>
    <row r="166" spans="1:37">
      <c r="A166" t="s">
        <v>1252</v>
      </c>
      <c r="B166" s="29">
        <v>78.02</v>
      </c>
      <c r="C166" s="29">
        <v>76.8</v>
      </c>
      <c r="D166" s="29">
        <v>76.41</v>
      </c>
      <c r="E166" s="29">
        <v>77.67</v>
      </c>
      <c r="F166" s="29">
        <v>77.58</v>
      </c>
      <c r="G166" s="29">
        <v>77.569999999999993</v>
      </c>
      <c r="H166" s="29">
        <v>77.87</v>
      </c>
      <c r="I166" s="29">
        <v>76.760000000000005</v>
      </c>
      <c r="J166" s="29">
        <v>77.349999999999994</v>
      </c>
      <c r="K166" s="29">
        <v>77.510000000000005</v>
      </c>
      <c r="L166" s="29">
        <v>77.33</v>
      </c>
      <c r="M166" s="29">
        <v>77.77</v>
      </c>
      <c r="N166" s="29">
        <v>77.05</v>
      </c>
      <c r="O166" s="29">
        <v>77.17</v>
      </c>
      <c r="P166" s="29">
        <v>77.92</v>
      </c>
      <c r="Q166" s="29">
        <v>78.09</v>
      </c>
      <c r="R166" s="29">
        <v>78.08</v>
      </c>
      <c r="S166" s="29">
        <v>78.349999999999994</v>
      </c>
      <c r="T166" s="29">
        <v>77.14</v>
      </c>
      <c r="U166" s="29">
        <v>76.349999999999994</v>
      </c>
      <c r="V166" s="29">
        <v>75.239999999999995</v>
      </c>
      <c r="W166" s="29">
        <v>77.41</v>
      </c>
      <c r="X166" s="29">
        <v>77.39</v>
      </c>
      <c r="Y166" s="29">
        <v>77.709999999999994</v>
      </c>
      <c r="Z166" s="29">
        <v>77.81</v>
      </c>
      <c r="AA166" s="29">
        <v>78.08</v>
      </c>
      <c r="AB166" s="29">
        <v>78.27</v>
      </c>
      <c r="AC166" s="29">
        <v>78.73</v>
      </c>
      <c r="AD166" s="29">
        <v>79.08</v>
      </c>
      <c r="AE166" s="29">
        <v>79.45</v>
      </c>
      <c r="AF166" s="29">
        <v>79.83</v>
      </c>
      <c r="AG166" s="29">
        <v>80.040000000000006</v>
      </c>
      <c r="AH166" s="29">
        <v>80.06</v>
      </c>
      <c r="AI166" s="29">
        <v>80.05</v>
      </c>
      <c r="AJ166" s="29">
        <v>80</v>
      </c>
      <c r="AK166" s="29">
        <v>79.94</v>
      </c>
    </row>
    <row r="167" spans="1:37">
      <c r="A167" t="s">
        <v>1253</v>
      </c>
      <c r="B167" s="29">
        <v>4.6500000000000004</v>
      </c>
      <c r="C167" s="29">
        <v>5.34</v>
      </c>
      <c r="D167" s="29">
        <v>6.69</v>
      </c>
      <c r="E167" s="29">
        <v>5.46</v>
      </c>
      <c r="F167" s="29">
        <v>5.84</v>
      </c>
      <c r="G167" s="29">
        <v>5.91</v>
      </c>
      <c r="H167" s="29">
        <v>5.22</v>
      </c>
      <c r="I167" s="29">
        <v>6.78</v>
      </c>
      <c r="J167" s="29">
        <v>5.66</v>
      </c>
      <c r="K167" s="29">
        <v>5.5</v>
      </c>
      <c r="L167" s="29">
        <v>6.55</v>
      </c>
      <c r="M167" s="29">
        <v>6.05</v>
      </c>
      <c r="N167" s="29">
        <v>6.74</v>
      </c>
      <c r="O167" s="29">
        <v>6.47</v>
      </c>
      <c r="P167" s="29">
        <v>5.37</v>
      </c>
      <c r="Q167" s="29">
        <v>5.19</v>
      </c>
      <c r="R167" s="29">
        <v>6.1</v>
      </c>
      <c r="S167" s="29">
        <v>5.2</v>
      </c>
      <c r="T167" s="29">
        <v>5.48</v>
      </c>
      <c r="U167" s="29">
        <v>8.1</v>
      </c>
      <c r="V167" s="29">
        <v>8.01</v>
      </c>
      <c r="W167" s="29">
        <v>7.95</v>
      </c>
      <c r="X167" s="29">
        <v>7.9</v>
      </c>
      <c r="Y167" s="29">
        <v>7.89</v>
      </c>
      <c r="Z167" s="29">
        <v>7.85</v>
      </c>
      <c r="AA167" s="29">
        <v>7.81</v>
      </c>
      <c r="AB167" s="29">
        <v>7.77</v>
      </c>
      <c r="AC167" s="29">
        <v>7.72</v>
      </c>
      <c r="AD167" s="29">
        <v>7.68</v>
      </c>
      <c r="AE167" s="29">
        <v>7.62</v>
      </c>
      <c r="AF167" s="29">
        <v>7.56</v>
      </c>
      <c r="AG167" s="29">
        <v>7.5</v>
      </c>
      <c r="AH167" s="29">
        <v>7.44</v>
      </c>
      <c r="AI167" s="29">
        <v>7.39</v>
      </c>
      <c r="AJ167" s="29">
        <v>7.34</v>
      </c>
      <c r="AK167" s="29">
        <v>7.3</v>
      </c>
    </row>
    <row r="168" spans="1:37">
      <c r="A168" t="s">
        <v>1254</v>
      </c>
      <c r="B168" s="28">
        <v>8.6300000000000008</v>
      </c>
      <c r="C168" s="28">
        <v>8.01</v>
      </c>
      <c r="D168" s="28">
        <v>7.09</v>
      </c>
      <c r="E168" s="28">
        <v>6.45</v>
      </c>
      <c r="F168" s="28">
        <v>5.61</v>
      </c>
      <c r="G168" s="28">
        <v>5.3</v>
      </c>
      <c r="H168" s="28">
        <v>5.42</v>
      </c>
      <c r="I168" s="28">
        <v>6.01</v>
      </c>
      <c r="J168" s="28">
        <v>5.64</v>
      </c>
      <c r="K168" s="28">
        <v>5.49</v>
      </c>
      <c r="L168" s="28">
        <v>5.54</v>
      </c>
      <c r="M168" s="28">
        <v>5.07</v>
      </c>
      <c r="N168" s="28">
        <v>5.48</v>
      </c>
      <c r="O168" s="28">
        <v>4.84</v>
      </c>
      <c r="P168" s="28">
        <v>4.59</v>
      </c>
      <c r="Q168" s="28">
        <v>5.56</v>
      </c>
      <c r="R168" s="28">
        <v>5.73</v>
      </c>
      <c r="S168" s="28">
        <v>5.03</v>
      </c>
      <c r="T168" s="28">
        <v>4.2699999999999996</v>
      </c>
      <c r="U168" s="28">
        <v>4.25</v>
      </c>
      <c r="V168" s="28">
        <v>4.2</v>
      </c>
      <c r="W168" s="28">
        <v>4.17</v>
      </c>
      <c r="X168" s="28">
        <v>3.07</v>
      </c>
      <c r="Y168" s="28">
        <v>4.1500000000000004</v>
      </c>
      <c r="Z168" s="28">
        <v>4.13</v>
      </c>
      <c r="AA168" s="28">
        <v>4.1100000000000003</v>
      </c>
      <c r="AB168" s="28">
        <v>4.09</v>
      </c>
      <c r="AC168" s="28">
        <v>4.07</v>
      </c>
      <c r="AD168" s="28">
        <v>4.04</v>
      </c>
      <c r="AE168" s="28">
        <v>4.0199999999999996</v>
      </c>
      <c r="AF168" s="28">
        <v>3.99</v>
      </c>
      <c r="AG168" s="28">
        <v>3.95</v>
      </c>
      <c r="AH168" s="28">
        <v>3.92</v>
      </c>
      <c r="AI168" s="28">
        <v>3.89</v>
      </c>
      <c r="AJ168" s="28">
        <v>3.87</v>
      </c>
      <c r="AK168" s="28">
        <v>3.84</v>
      </c>
    </row>
    <row r="169" spans="1:37">
      <c r="A169" t="s">
        <v>1255</v>
      </c>
      <c r="B169" s="28">
        <v>2.0499999999999998</v>
      </c>
      <c r="C169" s="28">
        <v>2.0499999999999998</v>
      </c>
      <c r="D169" s="28">
        <v>2.0499999999999998</v>
      </c>
      <c r="E169" s="28">
        <v>2.0499999999999998</v>
      </c>
      <c r="F169" s="28">
        <v>2.0499999999999998</v>
      </c>
      <c r="G169" s="28">
        <v>2.0499999999999998</v>
      </c>
      <c r="H169" s="28">
        <v>2.06</v>
      </c>
      <c r="I169" s="28">
        <v>2.06</v>
      </c>
      <c r="J169" s="28">
        <v>2.06</v>
      </c>
      <c r="K169" s="28">
        <v>2.06</v>
      </c>
      <c r="L169" s="28">
        <v>2.06</v>
      </c>
      <c r="M169" s="28">
        <v>1.96</v>
      </c>
      <c r="N169" s="28">
        <v>1.98</v>
      </c>
      <c r="O169" s="28">
        <v>1.99</v>
      </c>
      <c r="P169" s="28">
        <v>1.99</v>
      </c>
      <c r="Q169" s="28">
        <v>2</v>
      </c>
      <c r="R169" s="28">
        <v>2.0099999999999998</v>
      </c>
      <c r="S169" s="28">
        <v>2.02</v>
      </c>
      <c r="T169" s="28">
        <v>2.02</v>
      </c>
      <c r="U169" s="28">
        <v>2.0099999999999998</v>
      </c>
      <c r="V169" s="28">
        <v>2.0099999999999998</v>
      </c>
      <c r="W169" s="28">
        <v>2.0099999999999998</v>
      </c>
      <c r="X169" s="28">
        <v>2.0099999999999998</v>
      </c>
      <c r="Y169" s="28">
        <v>2.0099999999999998</v>
      </c>
      <c r="Z169" s="28">
        <v>2.0099999999999998</v>
      </c>
      <c r="AA169" s="28">
        <v>2.0099999999999998</v>
      </c>
      <c r="AB169" s="28">
        <v>2.0099999999999998</v>
      </c>
      <c r="AC169" s="28">
        <v>2.0099999999999998</v>
      </c>
      <c r="AD169" s="28">
        <v>2.0099999999999998</v>
      </c>
      <c r="AE169" s="28">
        <v>2.0099999999999998</v>
      </c>
      <c r="AF169" s="28">
        <v>2.0099999999999998</v>
      </c>
      <c r="AG169" s="28">
        <v>2.0099999999999998</v>
      </c>
      <c r="AH169" s="28">
        <v>2.0099999999999998</v>
      </c>
      <c r="AI169" s="28">
        <v>2.0099999999999998</v>
      </c>
      <c r="AJ169" s="28">
        <v>2.0099999999999998</v>
      </c>
      <c r="AK169" s="28">
        <v>2.0099999999999998</v>
      </c>
    </row>
    <row r="170" spans="1:37">
      <c r="A170" t="s">
        <v>1256</v>
      </c>
      <c r="B170" s="28">
        <v>48.51</v>
      </c>
      <c r="C170" s="28">
        <v>47.84</v>
      </c>
      <c r="D170" s="28">
        <v>47.71</v>
      </c>
      <c r="E170" s="28">
        <v>47.7</v>
      </c>
      <c r="F170" s="28">
        <v>47.48</v>
      </c>
      <c r="G170" s="28">
        <v>47.53</v>
      </c>
      <c r="H170" s="28">
        <v>47.57</v>
      </c>
      <c r="I170" s="28">
        <v>47.18</v>
      </c>
      <c r="J170" s="28">
        <v>47.26</v>
      </c>
      <c r="K170" s="28">
        <v>47.18</v>
      </c>
      <c r="L170" s="28">
        <v>47.33</v>
      </c>
      <c r="M170" s="28">
        <v>49.13</v>
      </c>
      <c r="N170" s="28">
        <v>48.56</v>
      </c>
      <c r="O170" s="28">
        <v>48.47</v>
      </c>
      <c r="P170" s="28">
        <v>48.82</v>
      </c>
      <c r="Q170" s="28">
        <v>48.97</v>
      </c>
      <c r="R170" s="28">
        <v>48.81</v>
      </c>
      <c r="S170" s="28">
        <v>48.89</v>
      </c>
      <c r="T170" s="28">
        <v>48.44</v>
      </c>
      <c r="U170" s="28">
        <v>48.54</v>
      </c>
      <c r="V170" s="28">
        <v>56.14</v>
      </c>
      <c r="W170" s="28">
        <v>56.14</v>
      </c>
      <c r="X170" s="28">
        <v>56.14</v>
      </c>
      <c r="Y170" s="28">
        <v>56.14</v>
      </c>
      <c r="Z170" s="28">
        <v>56.14</v>
      </c>
      <c r="AA170" s="28">
        <v>56.14</v>
      </c>
      <c r="AB170" s="28">
        <v>56.14</v>
      </c>
      <c r="AC170" s="28">
        <v>56.14</v>
      </c>
      <c r="AD170" s="28">
        <v>56.14</v>
      </c>
      <c r="AE170" s="28">
        <v>56.14</v>
      </c>
      <c r="AF170" s="28">
        <v>56.14</v>
      </c>
      <c r="AG170" s="28">
        <v>56.14</v>
      </c>
      <c r="AH170" s="28">
        <v>56.14</v>
      </c>
      <c r="AI170" s="28">
        <v>56.14</v>
      </c>
      <c r="AJ170" s="28">
        <v>56.14</v>
      </c>
      <c r="AK170" s="28">
        <v>56.14</v>
      </c>
    </row>
    <row r="171" spans="1:37">
      <c r="A171" t="s">
        <v>1257</v>
      </c>
      <c r="B171" s="28">
        <v>503.43</v>
      </c>
      <c r="C171" s="28">
        <v>497.07</v>
      </c>
      <c r="D171" s="28">
        <v>490.17</v>
      </c>
      <c r="E171" s="28">
        <v>496.36</v>
      </c>
      <c r="F171" s="28">
        <v>502.75</v>
      </c>
      <c r="G171" s="28">
        <v>505.07</v>
      </c>
      <c r="H171" s="28">
        <v>505.48</v>
      </c>
      <c r="I171" s="28">
        <v>505.98</v>
      </c>
      <c r="J171" s="28">
        <v>504.35</v>
      </c>
      <c r="K171" s="28">
        <v>491.39</v>
      </c>
      <c r="L171" s="28">
        <v>497.88</v>
      </c>
      <c r="M171" s="28">
        <v>486.8</v>
      </c>
      <c r="N171" s="28">
        <v>493.5</v>
      </c>
      <c r="O171" s="28">
        <v>482.92</v>
      </c>
      <c r="P171" s="28">
        <v>483.26</v>
      </c>
      <c r="Q171" s="28">
        <v>473.72</v>
      </c>
      <c r="R171" s="28">
        <v>477.13</v>
      </c>
      <c r="S171" s="28">
        <v>484.43</v>
      </c>
      <c r="T171" s="28">
        <v>492.02</v>
      </c>
      <c r="U171" s="28">
        <v>481.75</v>
      </c>
      <c r="V171" s="28">
        <v>481.75</v>
      </c>
      <c r="W171" s="28">
        <v>481.75</v>
      </c>
      <c r="X171" s="28">
        <v>481.75</v>
      </c>
      <c r="Y171" s="28">
        <v>481.75</v>
      </c>
      <c r="Z171" s="28">
        <v>481.75</v>
      </c>
      <c r="AA171" s="28">
        <v>477.48</v>
      </c>
      <c r="AB171" s="28">
        <v>473.28</v>
      </c>
      <c r="AC171" s="28">
        <v>469.16</v>
      </c>
      <c r="AD171" s="28">
        <v>465.11</v>
      </c>
      <c r="AE171" s="28">
        <v>461.13</v>
      </c>
      <c r="AF171" s="28">
        <v>457.22</v>
      </c>
      <c r="AG171" s="28">
        <v>453.37</v>
      </c>
      <c r="AH171" s="28">
        <v>449.59</v>
      </c>
      <c r="AI171" s="28">
        <v>445.86</v>
      </c>
      <c r="AJ171" s="28">
        <v>442.21</v>
      </c>
      <c r="AK171" s="28">
        <v>438.61</v>
      </c>
    </row>
    <row r="172" spans="1:37">
      <c r="A172" t="s">
        <v>1258</v>
      </c>
      <c r="B172" s="28">
        <v>12473</v>
      </c>
      <c r="C172" s="28">
        <v>12750</v>
      </c>
      <c r="D172" s="28">
        <v>12792</v>
      </c>
      <c r="E172" s="28">
        <v>12741</v>
      </c>
      <c r="F172" s="28">
        <v>12817</v>
      </c>
      <c r="G172" s="28">
        <v>12862</v>
      </c>
      <c r="H172" s="28">
        <v>12720</v>
      </c>
      <c r="I172" s="28">
        <v>12780</v>
      </c>
      <c r="J172" s="28">
        <v>12684</v>
      </c>
      <c r="K172" s="28">
        <v>12722</v>
      </c>
      <c r="L172" s="28">
        <v>12700</v>
      </c>
      <c r="M172" s="28">
        <v>13169</v>
      </c>
      <c r="N172" s="28">
        <v>13167</v>
      </c>
      <c r="O172" s="28">
        <v>13114</v>
      </c>
      <c r="P172" s="28">
        <v>13057</v>
      </c>
      <c r="Q172" s="28">
        <v>12916</v>
      </c>
      <c r="R172" s="28">
        <v>12871</v>
      </c>
      <c r="S172" s="28">
        <v>12889</v>
      </c>
      <c r="T172" s="28">
        <v>13163</v>
      </c>
      <c r="U172" s="28">
        <v>13197</v>
      </c>
      <c r="V172" s="28">
        <v>13362</v>
      </c>
      <c r="W172" s="28">
        <v>13461</v>
      </c>
      <c r="X172" s="28">
        <v>13674</v>
      </c>
      <c r="Y172" s="28">
        <v>13521</v>
      </c>
      <c r="Z172" s="28">
        <v>13581</v>
      </c>
      <c r="AA172" s="28">
        <v>13645</v>
      </c>
      <c r="AB172" s="28">
        <v>13710</v>
      </c>
      <c r="AC172" s="28">
        <v>13789</v>
      </c>
      <c r="AD172" s="28">
        <v>13873</v>
      </c>
      <c r="AE172" s="28">
        <v>13965</v>
      </c>
      <c r="AF172" s="28">
        <v>14078</v>
      </c>
      <c r="AG172" s="28">
        <v>14190</v>
      </c>
      <c r="AH172" s="28">
        <v>14307</v>
      </c>
      <c r="AI172" s="28">
        <v>14415</v>
      </c>
      <c r="AJ172" s="28">
        <v>14517</v>
      </c>
      <c r="AK172" s="28">
        <v>14602</v>
      </c>
    </row>
    <row r="173" spans="1:37">
      <c r="A173" t="s">
        <v>1259</v>
      </c>
      <c r="B173" s="28">
        <v>23604</v>
      </c>
      <c r="C173" s="28">
        <v>23863</v>
      </c>
      <c r="D173" s="28">
        <v>23755</v>
      </c>
      <c r="E173" s="28">
        <v>23749</v>
      </c>
      <c r="F173" s="28">
        <v>23824</v>
      </c>
      <c r="G173" s="28">
        <v>23866</v>
      </c>
      <c r="H173" s="28">
        <v>23742</v>
      </c>
      <c r="I173" s="28">
        <v>23931</v>
      </c>
      <c r="J173" s="28">
        <v>23826</v>
      </c>
      <c r="K173" s="28">
        <v>23853</v>
      </c>
      <c r="L173" s="28">
        <v>23761</v>
      </c>
      <c r="M173" s="28">
        <v>23689</v>
      </c>
      <c r="N173" s="28">
        <v>23800</v>
      </c>
      <c r="O173" s="28">
        <v>23728</v>
      </c>
      <c r="P173" s="28">
        <v>23609</v>
      </c>
      <c r="Q173" s="28">
        <v>23577</v>
      </c>
      <c r="R173" s="28">
        <v>23622</v>
      </c>
      <c r="S173" s="28">
        <v>23558</v>
      </c>
      <c r="T173" s="28">
        <v>23699</v>
      </c>
      <c r="U173" s="28">
        <v>23581</v>
      </c>
      <c r="V173" s="28">
        <v>20336</v>
      </c>
      <c r="W173" s="28">
        <v>21076</v>
      </c>
      <c r="X173" s="28">
        <v>21189</v>
      </c>
      <c r="Y173" s="28">
        <v>21314</v>
      </c>
      <c r="Z173" s="28">
        <v>21445</v>
      </c>
      <c r="AA173" s="28">
        <v>21624</v>
      </c>
      <c r="AB173" s="28">
        <v>21784</v>
      </c>
      <c r="AC173" s="28">
        <v>22044</v>
      </c>
      <c r="AD173" s="28">
        <v>22281</v>
      </c>
      <c r="AE173" s="28">
        <v>22537</v>
      </c>
      <c r="AF173" s="28">
        <v>22828</v>
      </c>
      <c r="AG173" s="28">
        <v>23069</v>
      </c>
      <c r="AH173" s="28">
        <v>23261</v>
      </c>
      <c r="AI173" s="28">
        <v>23432</v>
      </c>
      <c r="AJ173" s="28">
        <v>23581</v>
      </c>
      <c r="AK173" s="28">
        <v>23701</v>
      </c>
    </row>
    <row r="174" spans="1:37">
      <c r="A174" t="s">
        <v>1260</v>
      </c>
      <c r="B174" s="28">
        <v>118424</v>
      </c>
      <c r="C174" s="28">
        <v>116029</v>
      </c>
      <c r="D174" s="28">
        <v>105529</v>
      </c>
      <c r="E174" s="28">
        <v>111156</v>
      </c>
      <c r="F174" s="28">
        <v>115039</v>
      </c>
      <c r="G174" s="28">
        <v>115046</v>
      </c>
      <c r="H174" s="28">
        <v>116180</v>
      </c>
      <c r="I174" s="28">
        <v>116409</v>
      </c>
      <c r="J174" s="28">
        <v>115182</v>
      </c>
      <c r="K174" s="28">
        <v>113440</v>
      </c>
      <c r="L174" s="28">
        <v>115495</v>
      </c>
      <c r="M174" s="28">
        <v>116946</v>
      </c>
      <c r="N174" s="28">
        <v>128974</v>
      </c>
      <c r="O174" s="28">
        <v>119488</v>
      </c>
      <c r="P174" s="28">
        <v>118515</v>
      </c>
      <c r="Q174" s="28">
        <v>107979</v>
      </c>
      <c r="R174" s="28">
        <v>112797</v>
      </c>
      <c r="S174" s="28">
        <v>115301</v>
      </c>
      <c r="T174" s="28">
        <v>122083</v>
      </c>
      <c r="U174" s="28">
        <v>118062</v>
      </c>
      <c r="V174" s="28">
        <v>115328</v>
      </c>
      <c r="W174" s="28">
        <v>117182</v>
      </c>
      <c r="X174" s="28">
        <v>116777</v>
      </c>
      <c r="Y174" s="28">
        <v>117681</v>
      </c>
      <c r="Z174" s="28">
        <v>124177</v>
      </c>
      <c r="AA174" s="28">
        <v>119317</v>
      </c>
      <c r="AB174" s="28">
        <v>120345</v>
      </c>
      <c r="AC174" s="28">
        <v>121583</v>
      </c>
      <c r="AD174" s="28">
        <v>121538</v>
      </c>
      <c r="AE174" s="28">
        <v>122034</v>
      </c>
      <c r="AF174" s="28">
        <v>122965</v>
      </c>
      <c r="AG174" s="28">
        <v>122457</v>
      </c>
      <c r="AH174" s="28">
        <v>122434</v>
      </c>
      <c r="AI174" s="28">
        <v>122306</v>
      </c>
      <c r="AJ174" s="28">
        <v>121685</v>
      </c>
      <c r="AK174" s="28">
        <v>121701</v>
      </c>
    </row>
    <row r="175" spans="1:37">
      <c r="A175" t="s">
        <v>1261</v>
      </c>
      <c r="B175" s="28">
        <v>3.89</v>
      </c>
      <c r="C175" s="28">
        <v>4.57</v>
      </c>
      <c r="D175" s="28">
        <v>5.95</v>
      </c>
      <c r="E175" s="28">
        <v>4.72</v>
      </c>
      <c r="F175" s="28">
        <v>5.12</v>
      </c>
      <c r="G175" s="28">
        <v>5.08</v>
      </c>
      <c r="H175" s="28">
        <v>4.3600000000000003</v>
      </c>
      <c r="I175" s="28">
        <v>5.96</v>
      </c>
      <c r="J175" s="28">
        <v>4.82</v>
      </c>
      <c r="K175" s="28">
        <v>4.51</v>
      </c>
      <c r="L175" s="28">
        <v>5.75</v>
      </c>
      <c r="M175" s="28">
        <v>5.26</v>
      </c>
      <c r="N175" s="28">
        <v>5.98</v>
      </c>
      <c r="O175" s="28">
        <v>5.71</v>
      </c>
      <c r="P175" s="28">
        <v>4.59</v>
      </c>
      <c r="Q175" s="28">
        <v>4.59</v>
      </c>
      <c r="R175" s="28">
        <v>5.65</v>
      </c>
      <c r="S175" s="28">
        <v>4.76</v>
      </c>
      <c r="T175" s="28">
        <v>5.05</v>
      </c>
      <c r="U175" s="28">
        <v>7.69</v>
      </c>
      <c r="V175" s="28">
        <v>6.39</v>
      </c>
      <c r="W175" s="28">
        <v>6.83</v>
      </c>
      <c r="X175" s="28">
        <v>6.86</v>
      </c>
      <c r="Y175" s="28">
        <v>6.75</v>
      </c>
      <c r="Z175" s="28">
        <v>6.66</v>
      </c>
      <c r="AA175" s="28">
        <v>6.56</v>
      </c>
      <c r="AB175" s="28">
        <v>6.52</v>
      </c>
      <c r="AC175" s="28">
        <v>6.27</v>
      </c>
      <c r="AD175" s="28">
        <v>6.07</v>
      </c>
      <c r="AE175" s="28">
        <v>5.87</v>
      </c>
      <c r="AF175" s="28">
        <v>5.67</v>
      </c>
      <c r="AG175" s="28">
        <v>5.61</v>
      </c>
      <c r="AH175" s="28">
        <v>5.61</v>
      </c>
      <c r="AI175" s="28">
        <v>5.75</v>
      </c>
      <c r="AJ175" s="28">
        <v>5.91</v>
      </c>
      <c r="AK175" s="28">
        <v>6.05</v>
      </c>
    </row>
    <row r="176" spans="1:37">
      <c r="A176" t="s">
        <v>1262</v>
      </c>
      <c r="B176" s="28">
        <v>55.01</v>
      </c>
      <c r="C176" s="28">
        <v>54.16</v>
      </c>
      <c r="D176" s="28">
        <v>56.37</v>
      </c>
      <c r="E176" s="28">
        <v>55.08</v>
      </c>
      <c r="F176" s="28">
        <v>55.61</v>
      </c>
      <c r="G176" s="28">
        <v>55.54</v>
      </c>
      <c r="H176" s="28">
        <v>55.7</v>
      </c>
      <c r="I176" s="28">
        <v>56.67</v>
      </c>
      <c r="J176" s="28">
        <v>34.83</v>
      </c>
      <c r="K176" s="28">
        <v>33.4</v>
      </c>
      <c r="L176" s="28">
        <v>55.73</v>
      </c>
      <c r="M176" s="28">
        <v>55.43</v>
      </c>
      <c r="N176" s="28">
        <v>55.59</v>
      </c>
      <c r="O176" s="28">
        <v>50.43</v>
      </c>
      <c r="P176" s="28">
        <v>53.38</v>
      </c>
      <c r="Q176" s="28">
        <v>49.73</v>
      </c>
      <c r="R176" s="28">
        <v>50.32</v>
      </c>
      <c r="S176" s="28">
        <v>49.65</v>
      </c>
      <c r="T176" s="28">
        <v>49.3</v>
      </c>
      <c r="U176" s="28">
        <v>51.62</v>
      </c>
      <c r="V176" s="28">
        <v>49.8</v>
      </c>
      <c r="W176" s="28">
        <v>49.91</v>
      </c>
      <c r="X176" s="28">
        <v>49.71</v>
      </c>
      <c r="Y176" s="28">
        <v>49.52</v>
      </c>
      <c r="Z176" s="28">
        <v>49.22</v>
      </c>
      <c r="AA176" s="28">
        <v>48.9</v>
      </c>
      <c r="AB176" s="28">
        <v>48.65</v>
      </c>
      <c r="AC176" s="28">
        <v>48.14</v>
      </c>
      <c r="AD176" s="28">
        <v>47.68</v>
      </c>
      <c r="AE176" s="28">
        <v>47.2</v>
      </c>
      <c r="AF176" s="28">
        <v>46.67</v>
      </c>
      <c r="AG176" s="28">
        <v>46.29</v>
      </c>
      <c r="AH176" s="28">
        <v>45.97</v>
      </c>
      <c r="AI176" s="28">
        <v>45.8</v>
      </c>
      <c r="AJ176" s="28">
        <v>45.69</v>
      </c>
      <c r="AK176" s="28">
        <v>45.6</v>
      </c>
    </row>
    <row r="177" spans="1:37">
      <c r="A177" t="s">
        <v>1263</v>
      </c>
      <c r="B177" s="29">
        <v>8.1</v>
      </c>
      <c r="C177" s="29">
        <v>7.57</v>
      </c>
      <c r="D177" s="29">
        <v>6.73</v>
      </c>
      <c r="E177" s="29">
        <v>6.21</v>
      </c>
      <c r="F177" s="29">
        <v>5.43</v>
      </c>
      <c r="G177" s="29">
        <v>5.1100000000000003</v>
      </c>
      <c r="H177" s="29">
        <v>5.22</v>
      </c>
      <c r="I177" s="29">
        <v>5.74</v>
      </c>
      <c r="J177" s="29">
        <v>5.4</v>
      </c>
      <c r="K177" s="29">
        <v>5.29</v>
      </c>
      <c r="L177" s="29">
        <v>5.32</v>
      </c>
      <c r="M177" s="29">
        <v>4.91</v>
      </c>
      <c r="N177" s="29">
        <v>5.29</v>
      </c>
      <c r="O177" s="29">
        <v>4.6900000000000004</v>
      </c>
      <c r="P177" s="29">
        <v>4.46</v>
      </c>
      <c r="Q177" s="29">
        <v>5.35</v>
      </c>
      <c r="R177" s="29">
        <v>5.5</v>
      </c>
      <c r="S177" s="29">
        <v>4.8600000000000003</v>
      </c>
      <c r="T177" s="29">
        <v>4.1500000000000004</v>
      </c>
      <c r="U177" s="29">
        <v>4.1100000000000003</v>
      </c>
      <c r="V177" s="29">
        <v>4.0599999999999996</v>
      </c>
      <c r="W177" s="29">
        <v>4.03</v>
      </c>
      <c r="X177" s="29">
        <v>3</v>
      </c>
      <c r="Y177" s="29">
        <v>4</v>
      </c>
      <c r="Z177" s="29">
        <v>3.98</v>
      </c>
      <c r="AA177" s="29">
        <v>3.96</v>
      </c>
      <c r="AB177" s="29">
        <v>3.94</v>
      </c>
      <c r="AC177" s="29">
        <v>3.92</v>
      </c>
      <c r="AD177" s="29">
        <v>3.89</v>
      </c>
      <c r="AE177" s="29">
        <v>3.87</v>
      </c>
      <c r="AF177" s="29">
        <v>3.84</v>
      </c>
      <c r="AG177" s="29">
        <v>3.81</v>
      </c>
      <c r="AH177" s="29">
        <v>3.78</v>
      </c>
      <c r="AI177" s="29">
        <v>3.75</v>
      </c>
      <c r="AJ177" s="29">
        <v>3.72</v>
      </c>
      <c r="AK177" s="29">
        <v>3.7</v>
      </c>
    </row>
    <row r="178" spans="1:37">
      <c r="A178" t="s">
        <v>1264</v>
      </c>
      <c r="B178" s="28">
        <v>77.44</v>
      </c>
      <c r="C178" s="28">
        <v>76.209999999999994</v>
      </c>
      <c r="D178" s="28">
        <v>75.760000000000005</v>
      </c>
      <c r="E178" s="28">
        <v>76.989999999999995</v>
      </c>
      <c r="F178" s="28">
        <v>76.89</v>
      </c>
      <c r="G178" s="28">
        <v>76.62</v>
      </c>
      <c r="H178" s="28">
        <v>76.91</v>
      </c>
      <c r="I178" s="28">
        <v>75.83</v>
      </c>
      <c r="J178" s="28">
        <v>76.400000000000006</v>
      </c>
      <c r="K178" s="28">
        <v>76.569999999999993</v>
      </c>
      <c r="L178" s="28">
        <v>76.400000000000006</v>
      </c>
      <c r="M178" s="28">
        <v>76.84</v>
      </c>
      <c r="N178" s="28">
        <v>76.099999999999994</v>
      </c>
      <c r="O178" s="28">
        <v>76.19</v>
      </c>
      <c r="P178" s="28">
        <v>76.900000000000006</v>
      </c>
      <c r="Q178" s="28">
        <v>77.03</v>
      </c>
      <c r="R178" s="28">
        <v>76.989999999999995</v>
      </c>
      <c r="S178" s="28">
        <v>77.25</v>
      </c>
      <c r="T178" s="28">
        <v>76.069999999999993</v>
      </c>
      <c r="U178" s="28">
        <v>75.260000000000005</v>
      </c>
      <c r="V178" s="28">
        <v>74.12</v>
      </c>
      <c r="W178" s="28">
        <v>76.290000000000006</v>
      </c>
      <c r="X178" s="28">
        <v>76.27</v>
      </c>
      <c r="Y178" s="28">
        <v>76.569999999999993</v>
      </c>
      <c r="Z178" s="28">
        <v>76.66</v>
      </c>
      <c r="AA178" s="28">
        <v>76.91</v>
      </c>
      <c r="AB178" s="28">
        <v>77.09</v>
      </c>
      <c r="AC178" s="28">
        <v>77.53</v>
      </c>
      <c r="AD178" s="28">
        <v>77.88</v>
      </c>
      <c r="AE178" s="28">
        <v>78.239999999999995</v>
      </c>
      <c r="AF178" s="28">
        <v>78.63</v>
      </c>
      <c r="AG178" s="28">
        <v>78.84</v>
      </c>
      <c r="AH178" s="28">
        <v>78.86</v>
      </c>
      <c r="AI178" s="28">
        <v>78.849999999999994</v>
      </c>
      <c r="AJ178" s="28">
        <v>78.81</v>
      </c>
      <c r="AK178" s="28">
        <v>78.760000000000005</v>
      </c>
    </row>
    <row r="179" spans="1:37">
      <c r="A179" t="s">
        <v>1265</v>
      </c>
      <c r="B179" s="28">
        <v>90.54</v>
      </c>
      <c r="C179" s="28">
        <v>88.29</v>
      </c>
      <c r="D179" s="28">
        <v>87.29</v>
      </c>
      <c r="E179" s="28">
        <v>87.59</v>
      </c>
      <c r="F179" s="28">
        <v>86.93</v>
      </c>
      <c r="G179" s="28">
        <v>86.6</v>
      </c>
      <c r="H179" s="28">
        <v>87.16</v>
      </c>
      <c r="I179" s="28">
        <v>86.76</v>
      </c>
      <c r="J179" s="28">
        <v>87.16</v>
      </c>
      <c r="K179" s="28">
        <v>86.85</v>
      </c>
      <c r="L179" s="28">
        <v>86.98</v>
      </c>
      <c r="M179" s="28">
        <v>86.79</v>
      </c>
      <c r="N179" s="28">
        <v>86.17</v>
      </c>
      <c r="O179" s="28">
        <v>86.05</v>
      </c>
      <c r="P179" s="28">
        <v>86.6</v>
      </c>
      <c r="Q179" s="28">
        <v>87.65</v>
      </c>
      <c r="R179" s="28">
        <v>87.8</v>
      </c>
      <c r="S179" s="28">
        <v>87.57</v>
      </c>
      <c r="T179" s="28">
        <v>85.47</v>
      </c>
      <c r="U179" s="28">
        <v>84.97</v>
      </c>
      <c r="V179" s="28">
        <v>83.64</v>
      </c>
      <c r="W179" s="28">
        <v>86.08</v>
      </c>
      <c r="X179" s="28">
        <v>85.2</v>
      </c>
      <c r="Y179" s="28">
        <v>86.67</v>
      </c>
      <c r="Z179" s="28">
        <v>86.82</v>
      </c>
      <c r="AA179" s="28">
        <v>87.12</v>
      </c>
      <c r="AB179" s="28">
        <v>87.35</v>
      </c>
      <c r="AC179" s="28">
        <v>87.89</v>
      </c>
      <c r="AD179" s="28">
        <v>88.3</v>
      </c>
      <c r="AE179" s="28">
        <v>88.72</v>
      </c>
      <c r="AF179" s="28">
        <v>89.16</v>
      </c>
      <c r="AG179" s="28">
        <v>89.39</v>
      </c>
      <c r="AH179" s="28">
        <v>89.39</v>
      </c>
      <c r="AI179" s="28">
        <v>89.38</v>
      </c>
      <c r="AJ179" s="28">
        <v>89.32</v>
      </c>
      <c r="AK179" s="28">
        <v>89.26</v>
      </c>
    </row>
    <row r="180" spans="1:37">
      <c r="A180" t="s">
        <v>1266</v>
      </c>
      <c r="B180" s="28">
        <v>3.71</v>
      </c>
      <c r="C180" s="28">
        <v>5.03</v>
      </c>
      <c r="D180" s="28">
        <v>4.41</v>
      </c>
      <c r="E180" s="28">
        <v>1.47</v>
      </c>
      <c r="F180" s="28">
        <v>0.48</v>
      </c>
      <c r="G180" s="28">
        <v>-1.2</v>
      </c>
      <c r="H180" s="28">
        <v>-0.28000000000000003</v>
      </c>
      <c r="I180" s="28">
        <v>-0.06</v>
      </c>
      <c r="J180" s="28">
        <v>-0.34</v>
      </c>
      <c r="K180" s="28">
        <v>0.09</v>
      </c>
      <c r="L180" s="28">
        <v>-1.06</v>
      </c>
      <c r="M180" s="28">
        <v>-2.0499999999999998</v>
      </c>
      <c r="N180" s="28">
        <v>0.39</v>
      </c>
      <c r="O180" s="28">
        <v>-0.77</v>
      </c>
      <c r="P180" s="28">
        <v>-1.35</v>
      </c>
      <c r="Q180" s="28">
        <v>0.66</v>
      </c>
      <c r="R180" s="28">
        <v>1.0900000000000001</v>
      </c>
      <c r="S180" s="28">
        <v>0.79</v>
      </c>
      <c r="T180" s="28">
        <v>2.84</v>
      </c>
      <c r="U180" s="28">
        <v>2.35</v>
      </c>
      <c r="V180" s="28">
        <v>4.53</v>
      </c>
      <c r="W180" s="28">
        <v>5.55</v>
      </c>
      <c r="X180" s="28">
        <v>5.86</v>
      </c>
      <c r="Y180" s="28">
        <v>6.59</v>
      </c>
      <c r="Z180" s="28">
        <v>6.07</v>
      </c>
      <c r="AA180" s="28">
        <v>6.49</v>
      </c>
      <c r="AB180" s="28">
        <v>7.74</v>
      </c>
      <c r="AC180" s="28">
        <v>8.18</v>
      </c>
      <c r="AD180" s="28">
        <v>8.3699999999999992</v>
      </c>
      <c r="AE180" s="28">
        <v>9.1</v>
      </c>
      <c r="AF180" s="28">
        <v>8.26</v>
      </c>
      <c r="AG180" s="28">
        <v>7.99</v>
      </c>
      <c r="AH180" s="28">
        <v>7.56</v>
      </c>
      <c r="AI180" s="28">
        <v>7.57</v>
      </c>
      <c r="AJ180" s="28">
        <v>7.72</v>
      </c>
      <c r="AK180" s="28">
        <v>8.14</v>
      </c>
    </row>
    <row r="181" spans="1:37">
      <c r="A181" t="s">
        <v>1267</v>
      </c>
      <c r="B181" s="28">
        <v>1.39</v>
      </c>
      <c r="C181" s="28">
        <v>1.41</v>
      </c>
      <c r="D181" s="28">
        <v>1.49</v>
      </c>
      <c r="E181" s="28">
        <v>1.5</v>
      </c>
      <c r="F181" s="28">
        <v>1.51</v>
      </c>
      <c r="G181" s="28">
        <v>1.83</v>
      </c>
      <c r="H181" s="28">
        <v>1.84</v>
      </c>
      <c r="I181" s="28">
        <v>1.81</v>
      </c>
      <c r="J181" s="28">
        <v>1.83</v>
      </c>
      <c r="K181" s="28">
        <v>1.82</v>
      </c>
      <c r="L181" s="28">
        <v>1.8</v>
      </c>
      <c r="M181" s="28">
        <v>1.83</v>
      </c>
      <c r="N181" s="28">
        <v>1.86</v>
      </c>
      <c r="O181" s="28">
        <v>1.89</v>
      </c>
      <c r="P181" s="28">
        <v>1.92</v>
      </c>
      <c r="Q181" s="28">
        <v>2</v>
      </c>
      <c r="R181" s="28">
        <v>2.0099999999999998</v>
      </c>
      <c r="S181" s="28">
        <v>2.0499999999999998</v>
      </c>
      <c r="T181" s="28">
        <v>2.0299999999999998</v>
      </c>
      <c r="U181" s="28">
        <v>2.0499999999999998</v>
      </c>
      <c r="V181" s="28">
        <v>2.12</v>
      </c>
      <c r="W181" s="28">
        <v>2.08</v>
      </c>
      <c r="X181" s="28">
        <v>2.08</v>
      </c>
      <c r="Y181" s="28">
        <v>2.09</v>
      </c>
      <c r="Z181" s="28">
        <v>2.09</v>
      </c>
      <c r="AA181" s="28">
        <v>2.09</v>
      </c>
      <c r="AB181" s="28">
        <v>2.09</v>
      </c>
      <c r="AC181" s="28">
        <v>2.1</v>
      </c>
      <c r="AD181" s="28">
        <v>2.09</v>
      </c>
      <c r="AE181" s="28">
        <v>2.09</v>
      </c>
      <c r="AF181" s="28">
        <v>2.08</v>
      </c>
      <c r="AG181" s="28">
        <v>2.08</v>
      </c>
      <c r="AH181" s="28">
        <v>2.08</v>
      </c>
      <c r="AI181" s="28">
        <v>2.0699999999999998</v>
      </c>
      <c r="AJ181" s="28">
        <v>2.0699999999999998</v>
      </c>
      <c r="AK181" s="28">
        <v>2.06</v>
      </c>
    </row>
    <row r="182" spans="1:37">
      <c r="A182" t="s">
        <v>1268</v>
      </c>
      <c r="B182" s="28">
        <v>-0.2</v>
      </c>
      <c r="C182" s="28">
        <v>2.2000000000000002</v>
      </c>
      <c r="D182" s="28">
        <v>0.47</v>
      </c>
      <c r="E182" s="28">
        <v>-0.53</v>
      </c>
      <c r="F182" s="28">
        <v>0.63</v>
      </c>
      <c r="G182" s="28">
        <v>0.33</v>
      </c>
      <c r="H182" s="28">
        <v>-0.71</v>
      </c>
      <c r="I182" s="28">
        <v>0.57999999999999996</v>
      </c>
      <c r="J182" s="28">
        <v>-0.61</v>
      </c>
      <c r="K182" s="28">
        <v>0.33</v>
      </c>
      <c r="L182" s="28">
        <v>-0.09</v>
      </c>
      <c r="M182" s="28">
        <v>0.28999999999999998</v>
      </c>
      <c r="N182" s="28">
        <v>0.74</v>
      </c>
      <c r="O182" s="28">
        <v>0.37</v>
      </c>
      <c r="P182" s="28">
        <v>-0.37</v>
      </c>
      <c r="Q182" s="28">
        <v>-0.82</v>
      </c>
      <c r="R182" s="28">
        <v>0.22</v>
      </c>
      <c r="S182" s="28">
        <v>0.61</v>
      </c>
      <c r="T182" s="28">
        <v>2.48</v>
      </c>
      <c r="U182" s="28">
        <v>0.56000000000000005</v>
      </c>
      <c r="V182" s="28">
        <v>1.25</v>
      </c>
      <c r="W182" s="28">
        <v>0.74</v>
      </c>
      <c r="X182" s="28">
        <v>1.58</v>
      </c>
      <c r="Y182" s="28">
        <v>-1.1200000000000001</v>
      </c>
      <c r="Z182" s="28">
        <v>0.45</v>
      </c>
      <c r="AA182" s="28">
        <v>0.47</v>
      </c>
      <c r="AB182" s="28">
        <v>0.47</v>
      </c>
      <c r="AC182" s="28">
        <v>0.57999999999999996</v>
      </c>
      <c r="AD182" s="28">
        <v>0.61</v>
      </c>
      <c r="AE182" s="28">
        <v>0.67</v>
      </c>
      <c r="AF182" s="28">
        <v>0.81</v>
      </c>
      <c r="AG182" s="28">
        <v>0.8</v>
      </c>
      <c r="AH182" s="28">
        <v>0.82</v>
      </c>
      <c r="AI182" s="28">
        <v>0.75</v>
      </c>
      <c r="AJ182" s="28">
        <v>0.71</v>
      </c>
      <c r="AK182" s="28">
        <v>0.59</v>
      </c>
    </row>
    <row r="183" spans="1:37">
      <c r="A183" t="s">
        <v>1269</v>
      </c>
      <c r="B183" s="28">
        <v>1.18</v>
      </c>
      <c r="C183" s="28">
        <v>1.07</v>
      </c>
      <c r="D183" s="28">
        <v>1.2</v>
      </c>
      <c r="E183" s="28">
        <v>1.1399999999999999</v>
      </c>
      <c r="F183" s="28">
        <v>1.1200000000000001</v>
      </c>
      <c r="G183" s="28">
        <v>1.07</v>
      </c>
      <c r="H183" s="28">
        <v>1.08</v>
      </c>
      <c r="I183" s="28">
        <v>1.04</v>
      </c>
      <c r="J183" s="28">
        <v>1.05</v>
      </c>
      <c r="K183" s="28">
        <v>1.06</v>
      </c>
      <c r="L183" s="28">
        <v>1.05</v>
      </c>
      <c r="M183" s="28">
        <v>1.07</v>
      </c>
      <c r="N183" s="28">
        <v>1.31</v>
      </c>
      <c r="O183" s="28">
        <v>1.28</v>
      </c>
      <c r="P183" s="28">
        <v>1.35</v>
      </c>
      <c r="Q183" s="28">
        <v>1.5</v>
      </c>
      <c r="R183" s="28">
        <v>1.49</v>
      </c>
      <c r="S183" s="28">
        <v>1.48</v>
      </c>
      <c r="T183" s="28">
        <v>1.41</v>
      </c>
      <c r="U183" s="28">
        <v>1.38</v>
      </c>
      <c r="V183" s="28">
        <v>1.43</v>
      </c>
      <c r="W183" s="28">
        <v>1.43</v>
      </c>
      <c r="X183" s="28">
        <v>1.41</v>
      </c>
      <c r="Y183" s="28">
        <v>1.4</v>
      </c>
      <c r="Z183" s="28">
        <v>1.25</v>
      </c>
      <c r="AA183" s="28">
        <v>1.22</v>
      </c>
      <c r="AB183" s="28">
        <v>1.21</v>
      </c>
      <c r="AC183" s="28">
        <v>1.22</v>
      </c>
      <c r="AD183" s="28">
        <v>1.22</v>
      </c>
      <c r="AE183" s="28">
        <v>1.22</v>
      </c>
      <c r="AF183" s="28">
        <v>1.21</v>
      </c>
      <c r="AG183" s="28">
        <v>1.21</v>
      </c>
      <c r="AH183" s="28">
        <v>1.2</v>
      </c>
      <c r="AI183" s="28">
        <v>1.19</v>
      </c>
      <c r="AJ183" s="28">
        <v>1.18</v>
      </c>
      <c r="AK183" s="28">
        <v>1.17</v>
      </c>
    </row>
    <row r="184" spans="1:37">
      <c r="A184" t="s">
        <v>1174</v>
      </c>
      <c r="B184" s="29">
        <v>100000000</v>
      </c>
      <c r="C184" s="29">
        <v>100000000</v>
      </c>
      <c r="D184" s="29">
        <v>100000000</v>
      </c>
      <c r="E184" s="29">
        <v>100000000</v>
      </c>
      <c r="F184" s="29">
        <v>100000000</v>
      </c>
      <c r="G184" s="29">
        <v>100000000</v>
      </c>
      <c r="H184" s="29">
        <v>100000000</v>
      </c>
      <c r="I184" s="29">
        <v>100000000</v>
      </c>
      <c r="J184" s="29">
        <v>100000000</v>
      </c>
      <c r="K184" s="29">
        <v>100000000</v>
      </c>
      <c r="L184" s="29">
        <v>100000000</v>
      </c>
      <c r="M184" s="29">
        <v>100000000</v>
      </c>
      <c r="N184" s="29">
        <v>100000000</v>
      </c>
      <c r="O184" s="29">
        <v>100000000</v>
      </c>
      <c r="P184" s="29">
        <v>100000000</v>
      </c>
      <c r="Q184" s="29">
        <v>100000000</v>
      </c>
      <c r="R184" s="29">
        <v>100000000</v>
      </c>
      <c r="S184" s="29">
        <v>100000000</v>
      </c>
      <c r="T184" s="29">
        <v>100000000</v>
      </c>
      <c r="U184" s="29">
        <v>100000000</v>
      </c>
      <c r="V184" s="29">
        <v>100000000</v>
      </c>
      <c r="W184" s="29">
        <v>100000000</v>
      </c>
      <c r="X184" s="29">
        <v>100000000</v>
      </c>
      <c r="Y184" s="29">
        <v>100000000</v>
      </c>
      <c r="Z184" s="29">
        <v>100000000</v>
      </c>
      <c r="AA184" s="29">
        <v>100000000</v>
      </c>
      <c r="AB184" s="29">
        <v>100000000</v>
      </c>
      <c r="AC184" s="29">
        <v>100000000</v>
      </c>
      <c r="AD184" s="29">
        <v>100000000</v>
      </c>
      <c r="AE184" s="29">
        <v>100000000</v>
      </c>
      <c r="AF184" s="29">
        <v>100000000</v>
      </c>
      <c r="AG184" s="29">
        <v>100000000</v>
      </c>
      <c r="AH184" s="29">
        <v>100000000</v>
      </c>
      <c r="AI184" s="29">
        <v>100000000</v>
      </c>
      <c r="AJ184" s="29">
        <v>100000000</v>
      </c>
      <c r="AK184" s="29">
        <v>100000000</v>
      </c>
    </row>
    <row r="185" spans="1:37">
      <c r="A185" t="s">
        <v>1270</v>
      </c>
      <c r="B185" s="28">
        <v>204.91</v>
      </c>
      <c r="C185" s="28">
        <v>204.18</v>
      </c>
      <c r="D185" s="28">
        <v>203.36</v>
      </c>
      <c r="E185" s="28">
        <v>204.06</v>
      </c>
      <c r="F185" s="28">
        <v>203.05</v>
      </c>
      <c r="G185" s="28">
        <v>208.96</v>
      </c>
      <c r="H185" s="28">
        <v>208.83</v>
      </c>
      <c r="I185" s="28">
        <v>208.7</v>
      </c>
      <c r="J185" s="28">
        <v>207.6</v>
      </c>
      <c r="K185" s="28">
        <v>206.94</v>
      </c>
      <c r="L185" s="28">
        <v>205.81</v>
      </c>
      <c r="M185" s="28">
        <v>204.79</v>
      </c>
      <c r="N185" s="28">
        <v>203.96</v>
      </c>
      <c r="O185" s="28">
        <v>202.92</v>
      </c>
      <c r="P185" s="28">
        <v>200.36</v>
      </c>
      <c r="Q185" s="28">
        <v>200.1</v>
      </c>
      <c r="R185" s="28">
        <v>201.52</v>
      </c>
      <c r="S185" s="28">
        <v>200.07</v>
      </c>
      <c r="T185" s="28">
        <v>198.29</v>
      </c>
      <c r="U185" s="28">
        <v>195.85</v>
      </c>
      <c r="V185" s="28">
        <v>204.66</v>
      </c>
      <c r="W185" s="28">
        <v>204.7</v>
      </c>
      <c r="X185" s="28">
        <v>205.36</v>
      </c>
      <c r="Y185" s="28">
        <v>205.79</v>
      </c>
      <c r="Z185" s="28">
        <v>205.86</v>
      </c>
      <c r="AA185" s="28">
        <v>207.02</v>
      </c>
      <c r="AB185" s="28">
        <v>205.55</v>
      </c>
      <c r="AC185" s="28">
        <v>203.86</v>
      </c>
      <c r="AD185" s="28">
        <v>203.17</v>
      </c>
      <c r="AE185" s="28">
        <v>203.04</v>
      </c>
      <c r="AF185" s="28">
        <v>203.59</v>
      </c>
      <c r="AG185" s="28">
        <v>204.55</v>
      </c>
      <c r="AH185" s="28">
        <v>204.68</v>
      </c>
      <c r="AI185" s="28">
        <v>205.63</v>
      </c>
      <c r="AJ185" s="28">
        <v>206.58</v>
      </c>
      <c r="AK185" s="28">
        <v>207.92</v>
      </c>
    </row>
    <row r="186" spans="1:37">
      <c r="A186" t="s">
        <v>1271</v>
      </c>
      <c r="B186">
        <v>16.91</v>
      </c>
      <c r="C186">
        <v>16.649999999999999</v>
      </c>
      <c r="D186">
        <v>16.62</v>
      </c>
      <c r="E186">
        <v>17</v>
      </c>
      <c r="F186">
        <v>16.920000000000002</v>
      </c>
      <c r="G186">
        <v>16.89</v>
      </c>
      <c r="H186">
        <v>16.989999999999998</v>
      </c>
      <c r="I186">
        <v>16.79</v>
      </c>
      <c r="J186">
        <v>16.940000000000001</v>
      </c>
      <c r="K186">
        <v>16.96</v>
      </c>
      <c r="L186">
        <v>16.91</v>
      </c>
      <c r="M186">
        <v>17</v>
      </c>
      <c r="N186">
        <v>16.809999999999999</v>
      </c>
      <c r="O186">
        <v>16.75</v>
      </c>
      <c r="P186">
        <v>16.71</v>
      </c>
      <c r="Q186">
        <v>16.68</v>
      </c>
      <c r="R186">
        <v>16.760000000000002</v>
      </c>
      <c r="S186">
        <v>16.64</v>
      </c>
      <c r="T186">
        <v>16.27</v>
      </c>
      <c r="U186">
        <v>16.079999999999998</v>
      </c>
      <c r="V186">
        <v>16.600000000000001</v>
      </c>
      <c r="W186">
        <v>16.57</v>
      </c>
      <c r="X186">
        <v>16.57</v>
      </c>
      <c r="Y186">
        <v>16.670000000000002</v>
      </c>
      <c r="Z186">
        <v>16.670000000000002</v>
      </c>
      <c r="AA186">
        <v>16.760000000000002</v>
      </c>
      <c r="AB186">
        <v>16.649999999999999</v>
      </c>
      <c r="AC186">
        <v>16.52</v>
      </c>
      <c r="AD186">
        <v>16.440000000000001</v>
      </c>
      <c r="AE186">
        <v>16.43</v>
      </c>
      <c r="AF186">
        <v>16.440000000000001</v>
      </c>
      <c r="AG186">
        <v>16.510000000000002</v>
      </c>
      <c r="AH186">
        <v>16.510000000000002</v>
      </c>
      <c r="AI186">
        <v>16.57</v>
      </c>
      <c r="AJ186">
        <v>16.66</v>
      </c>
      <c r="AK186">
        <v>16.8</v>
      </c>
    </row>
    <row r="187" spans="1:37">
      <c r="A187" t="s">
        <v>1272</v>
      </c>
      <c r="B187">
        <v>329.07</v>
      </c>
      <c r="C187">
        <v>325.43</v>
      </c>
      <c r="D187">
        <v>325.26</v>
      </c>
      <c r="E187">
        <v>321.61</v>
      </c>
      <c r="F187">
        <v>322.05</v>
      </c>
      <c r="G187">
        <v>332.8</v>
      </c>
      <c r="H187">
        <v>334.26</v>
      </c>
      <c r="I187">
        <v>335.19</v>
      </c>
      <c r="J187">
        <v>334.23</v>
      </c>
      <c r="K187">
        <v>328.78</v>
      </c>
      <c r="L187">
        <v>327.85</v>
      </c>
      <c r="M187">
        <v>323.23</v>
      </c>
      <c r="N187">
        <v>322.16000000000003</v>
      </c>
      <c r="O187">
        <v>323.13</v>
      </c>
      <c r="P187">
        <v>319.57</v>
      </c>
      <c r="Q187">
        <v>317.3</v>
      </c>
      <c r="R187">
        <v>315.04000000000002</v>
      </c>
      <c r="S187">
        <v>314.85000000000002</v>
      </c>
      <c r="T187">
        <v>311.55</v>
      </c>
      <c r="U187">
        <v>309.14999999999998</v>
      </c>
      <c r="V187">
        <v>317.95999999999998</v>
      </c>
      <c r="W187">
        <v>317.44</v>
      </c>
      <c r="X187">
        <v>317.83999999999997</v>
      </c>
      <c r="Y187">
        <v>317.58</v>
      </c>
      <c r="Z187">
        <v>317.16000000000003</v>
      </c>
      <c r="AA187">
        <v>317.77</v>
      </c>
      <c r="AB187">
        <v>315.68</v>
      </c>
      <c r="AC187">
        <v>313.29000000000002</v>
      </c>
      <c r="AD187">
        <v>312.05</v>
      </c>
      <c r="AE187">
        <v>311.23</v>
      </c>
      <c r="AF187">
        <v>311.08999999999997</v>
      </c>
      <c r="AG187">
        <v>311.31</v>
      </c>
      <c r="AH187">
        <v>310.62</v>
      </c>
      <c r="AI187">
        <v>310.86</v>
      </c>
      <c r="AJ187">
        <v>311</v>
      </c>
      <c r="AK187">
        <v>311.56</v>
      </c>
    </row>
    <row r="188" spans="1:37">
      <c r="A188" t="s">
        <v>1273</v>
      </c>
      <c r="B188">
        <v>27.16</v>
      </c>
      <c r="C188">
        <v>26.54</v>
      </c>
      <c r="D188">
        <v>26.58</v>
      </c>
      <c r="E188">
        <v>26.79</v>
      </c>
      <c r="F188">
        <v>26.84</v>
      </c>
      <c r="G188">
        <v>26.9</v>
      </c>
      <c r="H188">
        <v>27.2</v>
      </c>
      <c r="I188">
        <v>26.97</v>
      </c>
      <c r="J188">
        <v>27.27</v>
      </c>
      <c r="K188">
        <v>26.95</v>
      </c>
      <c r="L188">
        <v>26.93</v>
      </c>
      <c r="M188">
        <v>26.84</v>
      </c>
      <c r="N188">
        <v>26.56</v>
      </c>
      <c r="O188">
        <v>26.67</v>
      </c>
      <c r="P188">
        <v>26.65</v>
      </c>
      <c r="Q188">
        <v>26.46</v>
      </c>
      <c r="R188">
        <v>26.19</v>
      </c>
      <c r="S188">
        <v>26.18</v>
      </c>
      <c r="T188">
        <v>25.57</v>
      </c>
      <c r="U188">
        <v>25.38</v>
      </c>
      <c r="V188">
        <v>25.8</v>
      </c>
      <c r="W188">
        <v>25.69</v>
      </c>
      <c r="X188">
        <v>25.64</v>
      </c>
      <c r="Y188">
        <v>25.73</v>
      </c>
      <c r="Z188">
        <v>25.68</v>
      </c>
      <c r="AA188">
        <v>25.73</v>
      </c>
      <c r="AB188">
        <v>25.57</v>
      </c>
      <c r="AC188">
        <v>25.38</v>
      </c>
      <c r="AD188">
        <v>25.25</v>
      </c>
      <c r="AE188">
        <v>25.18</v>
      </c>
      <c r="AF188">
        <v>25.13</v>
      </c>
      <c r="AG188">
        <v>25.12</v>
      </c>
      <c r="AH188">
        <v>25.06</v>
      </c>
      <c r="AI188">
        <v>25.06</v>
      </c>
      <c r="AJ188">
        <v>25.09</v>
      </c>
      <c r="AK188">
        <v>25.18</v>
      </c>
    </row>
    <row r="189" spans="1:37">
      <c r="A189" t="s">
        <v>1274</v>
      </c>
      <c r="B189">
        <v>1.02</v>
      </c>
      <c r="C189">
        <v>0.97</v>
      </c>
      <c r="D189">
        <v>0.97</v>
      </c>
      <c r="E189">
        <v>1</v>
      </c>
      <c r="F189">
        <v>1.01</v>
      </c>
      <c r="G189">
        <v>1</v>
      </c>
      <c r="H189">
        <v>1.04</v>
      </c>
      <c r="I189">
        <v>1.04</v>
      </c>
      <c r="J189">
        <v>1.03</v>
      </c>
      <c r="K189">
        <v>1.03</v>
      </c>
      <c r="L189">
        <v>1.03</v>
      </c>
      <c r="M189">
        <v>1.08</v>
      </c>
      <c r="N189">
        <v>1.06</v>
      </c>
      <c r="O189">
        <v>1.0900000000000001</v>
      </c>
      <c r="P189">
        <v>1.0900000000000001</v>
      </c>
      <c r="Q189">
        <v>1.0900000000000001</v>
      </c>
      <c r="R189">
        <v>1.0900000000000001</v>
      </c>
      <c r="S189">
        <v>1.1000000000000001</v>
      </c>
      <c r="T189">
        <v>1.1000000000000001</v>
      </c>
      <c r="U189">
        <v>1.1399999999999999</v>
      </c>
      <c r="V189">
        <v>1.25</v>
      </c>
      <c r="W189">
        <v>1.23</v>
      </c>
      <c r="X189">
        <v>1.21</v>
      </c>
      <c r="Y189">
        <v>1.2</v>
      </c>
      <c r="Z189">
        <v>1.1499999999999999</v>
      </c>
      <c r="AA189">
        <v>1.21</v>
      </c>
      <c r="AB189">
        <v>1.24</v>
      </c>
      <c r="AC189">
        <v>1.27</v>
      </c>
      <c r="AD189">
        <v>1.3</v>
      </c>
      <c r="AE189">
        <v>1.33</v>
      </c>
      <c r="AF189">
        <v>1.36</v>
      </c>
      <c r="AG189">
        <v>1.37</v>
      </c>
      <c r="AH189">
        <v>1.38</v>
      </c>
      <c r="AI189">
        <v>1.38</v>
      </c>
      <c r="AJ189">
        <v>1.39</v>
      </c>
      <c r="AK189">
        <v>1.39</v>
      </c>
    </row>
    <row r="190" spans="1:37">
      <c r="A190" t="s">
        <v>1275</v>
      </c>
      <c r="B190">
        <v>-1.29</v>
      </c>
      <c r="C190">
        <v>-2.5499999999999998</v>
      </c>
      <c r="D190">
        <v>-4.0199999999999996</v>
      </c>
      <c r="E190">
        <v>-3.53</v>
      </c>
      <c r="F190">
        <v>-3.1</v>
      </c>
      <c r="G190">
        <v>-2.0299999999999998</v>
      </c>
      <c r="H190">
        <v>-1.84</v>
      </c>
      <c r="I190">
        <v>-1.49</v>
      </c>
      <c r="J190">
        <v>-1.5</v>
      </c>
      <c r="K190">
        <v>-1.39</v>
      </c>
      <c r="L190">
        <v>-1.23</v>
      </c>
      <c r="M190">
        <v>-1.05</v>
      </c>
      <c r="N190">
        <v>0.63</v>
      </c>
      <c r="O190">
        <v>1.95</v>
      </c>
      <c r="P190">
        <v>2.5099999999999998</v>
      </c>
      <c r="Q190">
        <v>3.21</v>
      </c>
      <c r="R190">
        <v>3.61</v>
      </c>
      <c r="S190">
        <v>3.73</v>
      </c>
      <c r="T190">
        <v>3.23</v>
      </c>
      <c r="U190">
        <v>2.83</v>
      </c>
      <c r="V190">
        <v>2.1800000000000002</v>
      </c>
      <c r="W190">
        <v>6.4</v>
      </c>
      <c r="X190">
        <v>6.43</v>
      </c>
      <c r="Y190">
        <v>6.52</v>
      </c>
      <c r="Z190">
        <v>7.4</v>
      </c>
      <c r="AA190">
        <v>8.7200000000000006</v>
      </c>
      <c r="AB190">
        <v>8.82</v>
      </c>
      <c r="AC190">
        <v>10.28</v>
      </c>
      <c r="AD190">
        <v>10.89</v>
      </c>
      <c r="AE190">
        <v>11.48</v>
      </c>
      <c r="AF190">
        <v>12.18</v>
      </c>
      <c r="AG190">
        <v>12.35</v>
      </c>
      <c r="AH190">
        <v>12.18</v>
      </c>
      <c r="AI190">
        <v>11.92</v>
      </c>
      <c r="AJ190">
        <v>11.6</v>
      </c>
      <c r="AK190">
        <v>11.2</v>
      </c>
    </row>
    <row r="191" spans="1:37">
      <c r="A191" t="s">
        <v>1276</v>
      </c>
      <c r="B191" s="29">
        <v>476526</v>
      </c>
      <c r="C191" s="29">
        <v>458539</v>
      </c>
      <c r="D191" s="29">
        <v>454914</v>
      </c>
      <c r="E191" s="29">
        <v>461349</v>
      </c>
      <c r="F191" s="29">
        <v>471334</v>
      </c>
      <c r="G191" s="29">
        <v>473204</v>
      </c>
      <c r="H191" s="29">
        <v>476119</v>
      </c>
      <c r="I191" s="29">
        <v>478857</v>
      </c>
      <c r="J191" s="29">
        <v>476553</v>
      </c>
      <c r="K191" s="29">
        <v>465279</v>
      </c>
      <c r="L191" s="29">
        <v>471271</v>
      </c>
      <c r="M191" s="29">
        <v>481003</v>
      </c>
      <c r="N191" s="29">
        <v>492916</v>
      </c>
      <c r="O191" s="29">
        <v>464798</v>
      </c>
      <c r="P191" s="29">
        <v>473630</v>
      </c>
      <c r="Q191" s="29">
        <v>464743</v>
      </c>
      <c r="R191" s="29">
        <v>472506</v>
      </c>
      <c r="S191" s="29">
        <v>484305</v>
      </c>
      <c r="T191" s="29">
        <v>497847</v>
      </c>
      <c r="U191" s="29">
        <v>493753</v>
      </c>
      <c r="V191" s="29">
        <v>438892</v>
      </c>
      <c r="W191" s="29">
        <v>395002</v>
      </c>
      <c r="X191" s="29">
        <v>359093</v>
      </c>
      <c r="Y191" s="29">
        <v>329169</v>
      </c>
      <c r="Z191" s="29">
        <v>3950025</v>
      </c>
      <c r="AA191" s="29">
        <v>1957509</v>
      </c>
      <c r="AB191" s="29">
        <v>1293542</v>
      </c>
      <c r="AC191" s="29">
        <v>961708</v>
      </c>
      <c r="AD191" s="29">
        <v>762724</v>
      </c>
      <c r="AE191" s="29">
        <v>630163</v>
      </c>
      <c r="AF191" s="29">
        <v>535556</v>
      </c>
      <c r="AG191" s="29">
        <v>464668</v>
      </c>
      <c r="AH191" s="29">
        <v>409592</v>
      </c>
      <c r="AI191" s="29">
        <v>365582</v>
      </c>
      <c r="AJ191" s="29">
        <v>329619</v>
      </c>
      <c r="AK191" s="29">
        <v>299691</v>
      </c>
    </row>
    <row r="192" spans="1:37">
      <c r="A192" t="s">
        <v>1277</v>
      </c>
      <c r="B192">
        <v>1.39</v>
      </c>
      <c r="C192">
        <v>1.41</v>
      </c>
      <c r="D192">
        <v>1.49</v>
      </c>
      <c r="E192">
        <v>1.5</v>
      </c>
      <c r="F192">
        <v>1.51</v>
      </c>
      <c r="G192">
        <v>1.83</v>
      </c>
      <c r="H192">
        <v>1.84</v>
      </c>
      <c r="I192">
        <v>1.81</v>
      </c>
      <c r="J192">
        <v>1.83</v>
      </c>
      <c r="K192">
        <v>1.82</v>
      </c>
      <c r="L192">
        <v>1.8</v>
      </c>
      <c r="M192">
        <v>1.83</v>
      </c>
      <c r="N192">
        <v>1.86</v>
      </c>
      <c r="O192">
        <v>1.89</v>
      </c>
      <c r="P192">
        <v>1.92</v>
      </c>
      <c r="Q192">
        <v>2</v>
      </c>
      <c r="R192">
        <v>2.0099999999999998</v>
      </c>
      <c r="S192">
        <v>2.0499999999999998</v>
      </c>
      <c r="T192">
        <v>2.0299999999999998</v>
      </c>
      <c r="U192">
        <v>2.0499999999999998</v>
      </c>
      <c r="V192">
        <v>2.12</v>
      </c>
      <c r="W192">
        <v>2.08</v>
      </c>
      <c r="X192">
        <v>2.08</v>
      </c>
      <c r="Y192">
        <v>2.09</v>
      </c>
      <c r="Z192">
        <v>2.09</v>
      </c>
      <c r="AA192">
        <v>2.09</v>
      </c>
      <c r="AB192">
        <v>2.09</v>
      </c>
      <c r="AC192">
        <v>2.1</v>
      </c>
      <c r="AD192">
        <v>2.09</v>
      </c>
      <c r="AE192">
        <v>2.09</v>
      </c>
      <c r="AF192">
        <v>2.08</v>
      </c>
      <c r="AG192">
        <v>2.08</v>
      </c>
      <c r="AH192">
        <v>2.08</v>
      </c>
      <c r="AI192">
        <v>2.0699999999999998</v>
      </c>
      <c r="AJ192">
        <v>2.0699999999999998</v>
      </c>
      <c r="AK192">
        <v>2.06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F7D4-C3BF-4A54-A60F-3B5E33468F61}">
  <dimension ref="A1:AK195"/>
  <sheetViews>
    <sheetView zoomScaleNormal="100" workbookViewId="0">
      <pane xSplit="1" ySplit="2" topLeftCell="W3" activePane="bottomRight" state="frozen"/>
      <selection pane="bottomRight" activeCell="Z3" sqref="Z3"/>
      <selection pane="bottomLeft" activeCell="A3" sqref="A3"/>
      <selection pane="topRight" activeCell="B1" sqref="B1"/>
    </sheetView>
  </sheetViews>
  <sheetFormatPr defaultRowHeight="15"/>
  <cols>
    <col min="1" max="1" width="34.28515625" bestFit="1" customWidth="1"/>
    <col min="2" max="2" width="16.28515625" bestFit="1" customWidth="1"/>
    <col min="3" max="4" width="16.28515625" customWidth="1"/>
    <col min="5" max="5" width="16" customWidth="1"/>
    <col min="6" max="7" width="16.28515625" customWidth="1"/>
    <col min="8" max="8" width="16" customWidth="1"/>
    <col min="9" max="12" width="16.28515625" customWidth="1"/>
    <col min="13" max="14" width="16.28515625" bestFit="1" customWidth="1"/>
    <col min="15" max="20" width="16.28515625" customWidth="1"/>
    <col min="21" max="21" width="16" customWidth="1"/>
    <col min="22" max="23" width="16.28515625" customWidth="1"/>
    <col min="24" max="24" width="16" customWidth="1"/>
    <col min="25" max="25" width="16.28515625" bestFit="1" customWidth="1"/>
    <col min="26" max="26" width="16" bestFit="1" customWidth="1"/>
    <col min="27" max="36" width="16.28515625" customWidth="1"/>
    <col min="37" max="37" width="16.28515625" bestFit="1" customWidth="1"/>
  </cols>
  <sheetData>
    <row r="1" spans="1:37">
      <c r="A1" s="41"/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</row>
    <row r="2" spans="1:37">
      <c r="B2" s="2">
        <v>45681</v>
      </c>
      <c r="C2" s="2">
        <v>45712</v>
      </c>
      <c r="D2" s="2">
        <v>45740</v>
      </c>
      <c r="E2" s="2">
        <v>45771</v>
      </c>
      <c r="F2" s="2">
        <v>45801</v>
      </c>
      <c r="G2" s="2">
        <v>45832</v>
      </c>
      <c r="H2" s="2">
        <v>45862</v>
      </c>
      <c r="I2" s="2">
        <v>45893</v>
      </c>
      <c r="J2" s="2">
        <v>45924</v>
      </c>
      <c r="K2" s="2">
        <v>45954</v>
      </c>
      <c r="L2" s="2">
        <v>45985</v>
      </c>
      <c r="M2" s="2">
        <v>46015</v>
      </c>
      <c r="N2" s="2">
        <v>45682</v>
      </c>
      <c r="O2" s="2">
        <v>45713</v>
      </c>
      <c r="P2" s="2">
        <v>45741</v>
      </c>
      <c r="Q2" s="2">
        <v>45772</v>
      </c>
      <c r="R2" s="2">
        <v>45802</v>
      </c>
      <c r="S2" s="2">
        <v>45833</v>
      </c>
      <c r="T2" s="2">
        <v>45863</v>
      </c>
      <c r="U2" s="2">
        <v>45894</v>
      </c>
      <c r="V2" s="2">
        <v>45925</v>
      </c>
      <c r="W2" s="2">
        <v>45955</v>
      </c>
      <c r="X2" s="2">
        <v>45986</v>
      </c>
      <c r="Y2" s="2">
        <v>46016</v>
      </c>
      <c r="Z2" s="2">
        <v>45683</v>
      </c>
      <c r="AA2" s="2">
        <v>45714</v>
      </c>
      <c r="AB2" s="2">
        <v>45742</v>
      </c>
      <c r="AC2" s="2">
        <v>45773</v>
      </c>
      <c r="AD2" s="2">
        <v>45803</v>
      </c>
      <c r="AE2" s="2">
        <v>45834</v>
      </c>
      <c r="AF2" s="2">
        <v>45864</v>
      </c>
      <c r="AG2" s="2">
        <v>45895</v>
      </c>
      <c r="AH2" s="2">
        <v>45926</v>
      </c>
      <c r="AI2" s="2">
        <v>45956</v>
      </c>
      <c r="AJ2" s="2">
        <v>45987</v>
      </c>
      <c r="AK2" s="2">
        <v>46017</v>
      </c>
    </row>
    <row r="3" spans="1:37">
      <c r="A3" t="s">
        <v>1102</v>
      </c>
      <c r="B3" s="1">
        <v>2351232815</v>
      </c>
      <c r="C3" s="1">
        <v>2366102166</v>
      </c>
      <c r="D3" s="1">
        <v>2365198869</v>
      </c>
      <c r="E3" s="1">
        <v>2344116166</v>
      </c>
      <c r="F3" s="1">
        <v>2344262675</v>
      </c>
      <c r="G3" s="1">
        <v>2347761902</v>
      </c>
      <c r="H3" s="1">
        <v>2342562185</v>
      </c>
      <c r="I3" s="1">
        <v>2360380239</v>
      </c>
      <c r="J3" s="1">
        <v>2349775253</v>
      </c>
      <c r="K3" s="1">
        <v>2347003061</v>
      </c>
      <c r="L3" s="1">
        <v>2350058057</v>
      </c>
      <c r="M3" s="1">
        <v>2344302782</v>
      </c>
      <c r="N3" s="1">
        <v>2331550898</v>
      </c>
      <c r="O3" s="1">
        <v>2332749753</v>
      </c>
      <c r="P3" s="1">
        <v>2324944296</v>
      </c>
      <c r="Q3" s="1">
        <v>2327374789</v>
      </c>
      <c r="R3" s="1">
        <v>2332533597</v>
      </c>
      <c r="S3" s="1">
        <v>2332625836</v>
      </c>
      <c r="T3" s="1">
        <v>2351252734</v>
      </c>
      <c r="U3" s="1">
        <v>2363665319</v>
      </c>
      <c r="V3" s="1">
        <v>2378231824</v>
      </c>
      <c r="W3" s="1">
        <v>2387222109</v>
      </c>
      <c r="X3" s="1">
        <v>2394066597</v>
      </c>
      <c r="Y3" s="48">
        <v>2396475446</v>
      </c>
      <c r="Z3" s="1">
        <v>2479140167</v>
      </c>
      <c r="AA3" s="1">
        <v>2485289781</v>
      </c>
      <c r="AB3" s="1">
        <v>2491642936</v>
      </c>
      <c r="AC3" s="1">
        <v>2499419495</v>
      </c>
      <c r="AD3" s="1">
        <v>2507253321</v>
      </c>
      <c r="AE3" s="1">
        <v>2515876848</v>
      </c>
      <c r="AF3" s="1">
        <v>2526147117</v>
      </c>
      <c r="AG3" s="1">
        <v>2536376743</v>
      </c>
      <c r="AH3" s="1">
        <v>2546812162</v>
      </c>
      <c r="AI3" s="1">
        <v>2556578145</v>
      </c>
      <c r="AJ3" s="1">
        <v>2565788682</v>
      </c>
      <c r="AK3" s="1">
        <v>2573576729</v>
      </c>
    </row>
    <row r="4" spans="1:37">
      <c r="A4" t="s">
        <v>1103</v>
      </c>
      <c r="B4" s="1">
        <v>3398382</v>
      </c>
      <c r="C4" s="1">
        <v>6667630</v>
      </c>
      <c r="D4" s="1">
        <v>10267137</v>
      </c>
      <c r="E4" s="1">
        <v>13842016</v>
      </c>
      <c r="F4" s="1">
        <v>17661123</v>
      </c>
      <c r="G4" s="1">
        <v>21436896</v>
      </c>
      <c r="H4" s="1">
        <v>25344353</v>
      </c>
      <c r="I4" s="1">
        <v>29099780</v>
      </c>
      <c r="J4" s="1">
        <v>32623293</v>
      </c>
      <c r="K4" s="1">
        <v>36219947</v>
      </c>
      <c r="L4" s="1">
        <v>39698774</v>
      </c>
      <c r="M4" s="1">
        <v>43296612</v>
      </c>
      <c r="N4" s="1">
        <v>3453158</v>
      </c>
      <c r="O4" s="1">
        <v>6456914</v>
      </c>
      <c r="P4" s="1">
        <v>9665270</v>
      </c>
      <c r="Q4" s="1">
        <v>12728426</v>
      </c>
      <c r="R4" s="1">
        <v>15880895</v>
      </c>
      <c r="S4" s="1">
        <v>18970950</v>
      </c>
      <c r="T4" s="1">
        <v>22292837</v>
      </c>
      <c r="U4" s="1">
        <v>25724139</v>
      </c>
      <c r="V4" s="1">
        <v>29437097</v>
      </c>
      <c r="W4" s="1">
        <v>33257728</v>
      </c>
      <c r="X4" s="1">
        <v>36982772</v>
      </c>
      <c r="Y4" s="48">
        <v>40924543</v>
      </c>
      <c r="Z4" s="1">
        <v>3937536</v>
      </c>
      <c r="AA4" s="1">
        <v>7432634</v>
      </c>
      <c r="AB4" s="1">
        <v>11300459</v>
      </c>
      <c r="AC4" s="1">
        <v>15048424</v>
      </c>
      <c r="AD4" s="1">
        <v>18925314</v>
      </c>
      <c r="AE4" s="1">
        <v>22569688</v>
      </c>
      <c r="AF4" s="1">
        <v>26339690</v>
      </c>
      <c r="AG4" s="1">
        <v>30137648</v>
      </c>
      <c r="AH4" s="1">
        <v>33736924</v>
      </c>
      <c r="AI4" s="1">
        <v>37480235</v>
      </c>
      <c r="AJ4" s="1">
        <v>41136230</v>
      </c>
      <c r="AK4" s="1">
        <v>44944915</v>
      </c>
    </row>
    <row r="5" spans="1:37">
      <c r="A5" t="s">
        <v>1104</v>
      </c>
      <c r="B5" s="1">
        <v>751089</v>
      </c>
      <c r="C5" s="1">
        <v>1267164</v>
      </c>
      <c r="D5" s="1">
        <v>1893355</v>
      </c>
      <c r="E5" s="1">
        <v>2390970</v>
      </c>
      <c r="F5" s="1">
        <v>2864112</v>
      </c>
      <c r="G5" s="1">
        <v>3268985</v>
      </c>
      <c r="H5" s="1">
        <v>3672622</v>
      </c>
      <c r="I5" s="1">
        <v>4083957</v>
      </c>
      <c r="J5" s="1">
        <v>4486248</v>
      </c>
      <c r="K5" s="1">
        <v>4891254</v>
      </c>
      <c r="L5" s="1">
        <v>5285250</v>
      </c>
      <c r="M5" s="1">
        <v>5690734</v>
      </c>
      <c r="N5" s="1">
        <v>405732</v>
      </c>
      <c r="O5" s="1">
        <v>774218</v>
      </c>
      <c r="P5" s="1">
        <v>1176657</v>
      </c>
      <c r="Q5" s="1">
        <v>1568532</v>
      </c>
      <c r="R5" s="1">
        <v>2293249</v>
      </c>
      <c r="S5" s="1">
        <v>3594698</v>
      </c>
      <c r="T5" s="1">
        <v>4934598</v>
      </c>
      <c r="U5" s="1">
        <v>5960141</v>
      </c>
      <c r="V5" s="1">
        <v>6632635</v>
      </c>
      <c r="W5" s="1">
        <v>7529189</v>
      </c>
      <c r="X5" s="1">
        <v>7985862</v>
      </c>
      <c r="Y5" s="48">
        <v>8283968</v>
      </c>
      <c r="Z5" s="1">
        <v>336643</v>
      </c>
      <c r="AA5" s="1">
        <v>640708</v>
      </c>
      <c r="AB5" s="1">
        <v>977351</v>
      </c>
      <c r="AC5" s="1">
        <v>1303134</v>
      </c>
      <c r="AD5" s="1">
        <v>1639777</v>
      </c>
      <c r="AE5" s="1">
        <v>1965561</v>
      </c>
      <c r="AF5" s="1">
        <v>2270779</v>
      </c>
      <c r="AG5" s="1">
        <v>2544573</v>
      </c>
      <c r="AH5" s="1">
        <v>2809535</v>
      </c>
      <c r="AI5" s="1">
        <v>3076640</v>
      </c>
      <c r="AJ5" s="1">
        <v>3328656</v>
      </c>
      <c r="AK5" s="1">
        <v>3589073</v>
      </c>
    </row>
    <row r="6" spans="1:37">
      <c r="A6" t="s">
        <v>1105</v>
      </c>
      <c r="B6" s="1">
        <v>6149404</v>
      </c>
      <c r="C6" s="1">
        <v>12270072</v>
      </c>
      <c r="D6" s="1">
        <v>17526748</v>
      </c>
      <c r="E6" s="1">
        <v>23890306</v>
      </c>
      <c r="F6" s="1">
        <v>30408857</v>
      </c>
      <c r="G6" s="1">
        <v>36296484</v>
      </c>
      <c r="H6" s="1">
        <v>42743067</v>
      </c>
      <c r="I6" s="1">
        <v>49271804</v>
      </c>
      <c r="J6" s="1">
        <v>55080921</v>
      </c>
      <c r="K6" s="1">
        <v>61381844</v>
      </c>
      <c r="L6" s="1">
        <v>67573169</v>
      </c>
      <c r="M6" s="1">
        <v>74038948</v>
      </c>
      <c r="N6" s="1">
        <v>6166233</v>
      </c>
      <c r="O6" s="1">
        <v>12283225</v>
      </c>
      <c r="P6" s="1">
        <v>18447045</v>
      </c>
      <c r="Q6" s="1">
        <v>23987036</v>
      </c>
      <c r="R6" s="1">
        <v>30935974</v>
      </c>
      <c r="S6" s="1">
        <v>37999392</v>
      </c>
      <c r="T6" s="1">
        <v>45620855</v>
      </c>
      <c r="U6" s="1">
        <v>51969089</v>
      </c>
      <c r="V6" s="1">
        <v>58267929</v>
      </c>
      <c r="W6" s="1">
        <v>65462629</v>
      </c>
      <c r="X6" s="1">
        <v>71716438</v>
      </c>
      <c r="Y6" s="48">
        <v>78528269</v>
      </c>
      <c r="Z6" s="1">
        <v>6828002</v>
      </c>
      <c r="AA6" s="1">
        <v>13435610</v>
      </c>
      <c r="AB6" s="1">
        <v>20379922</v>
      </c>
      <c r="AC6" s="1">
        <v>27455598</v>
      </c>
      <c r="AD6" s="1">
        <v>34713657</v>
      </c>
      <c r="AE6" s="1">
        <v>42030928</v>
      </c>
      <c r="AF6" s="1">
        <v>49812324</v>
      </c>
      <c r="AG6" s="1">
        <v>57333655</v>
      </c>
      <c r="AH6" s="1">
        <v>65025002</v>
      </c>
      <c r="AI6" s="1">
        <v>72938680</v>
      </c>
      <c r="AJ6" s="1">
        <v>80727158</v>
      </c>
      <c r="AK6" s="1">
        <v>88715057</v>
      </c>
    </row>
    <row r="7" spans="1:37">
      <c r="A7" t="s">
        <v>1106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9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>
      <c r="A8" t="s">
        <v>1107</v>
      </c>
      <c r="B8" s="4">
        <v>8.1999999999999993</v>
      </c>
      <c r="C8" s="4">
        <v>8.11</v>
      </c>
      <c r="D8" s="4">
        <v>8.1199999999999992</v>
      </c>
      <c r="E8" s="4">
        <v>8.2799999999999994</v>
      </c>
      <c r="F8" s="4">
        <v>8.2799999999999994</v>
      </c>
      <c r="G8" s="4">
        <v>8.0299999999999994</v>
      </c>
      <c r="H8" s="4">
        <v>8.09</v>
      </c>
      <c r="I8" s="4">
        <v>8</v>
      </c>
      <c r="J8" s="4">
        <v>8.11</v>
      </c>
      <c r="K8" s="4">
        <v>8.15</v>
      </c>
      <c r="L8" s="4">
        <v>8.17</v>
      </c>
      <c r="M8" s="4">
        <v>8.25</v>
      </c>
      <c r="N8" s="4">
        <v>8.19</v>
      </c>
      <c r="O8" s="4">
        <v>8.1999999999999993</v>
      </c>
      <c r="P8" s="4">
        <v>8.2899999999999991</v>
      </c>
      <c r="Q8" s="4">
        <v>8.2899999999999991</v>
      </c>
      <c r="R8" s="4">
        <v>8.27</v>
      </c>
      <c r="S8" s="4">
        <v>8.27</v>
      </c>
      <c r="T8" s="4">
        <v>8.16</v>
      </c>
      <c r="U8" s="4">
        <v>8.16</v>
      </c>
      <c r="V8" s="4">
        <v>8.11</v>
      </c>
      <c r="W8" s="4">
        <v>8.07</v>
      </c>
      <c r="X8" s="4">
        <v>8.07</v>
      </c>
      <c r="Y8" s="49">
        <v>8.09</v>
      </c>
      <c r="Z8" s="4">
        <v>8.09</v>
      </c>
      <c r="AA8" s="4">
        <v>8.1</v>
      </c>
      <c r="AB8" s="4">
        <v>8.11</v>
      </c>
      <c r="AC8" s="4">
        <v>8.1</v>
      </c>
      <c r="AD8" s="4">
        <v>8.1</v>
      </c>
      <c r="AE8" s="4">
        <v>8.1</v>
      </c>
      <c r="AF8" s="4">
        <v>8.09</v>
      </c>
      <c r="AG8" s="4">
        <v>8.09</v>
      </c>
      <c r="AH8" s="4">
        <v>8.08</v>
      </c>
      <c r="AI8" s="4">
        <v>8.08</v>
      </c>
      <c r="AJ8" s="4">
        <v>8.09</v>
      </c>
      <c r="AK8" s="4">
        <v>8.11</v>
      </c>
    </row>
    <row r="9" spans="1:37">
      <c r="A9" t="s">
        <v>1108</v>
      </c>
      <c r="B9" s="4">
        <v>106.49</v>
      </c>
      <c r="C9" s="4">
        <v>106.09</v>
      </c>
      <c r="D9" s="4">
        <v>106.2</v>
      </c>
      <c r="E9" s="4">
        <v>105.84</v>
      </c>
      <c r="F9" s="4">
        <v>106.03</v>
      </c>
      <c r="G9" s="4">
        <v>105.96</v>
      </c>
      <c r="H9" s="4">
        <v>106.3</v>
      </c>
      <c r="I9" s="4">
        <v>106.53</v>
      </c>
      <c r="J9" s="4">
        <v>106.76</v>
      </c>
      <c r="K9" s="4">
        <v>106.33</v>
      </c>
      <c r="L9" s="4">
        <v>106.51</v>
      </c>
      <c r="M9" s="4">
        <v>106.3</v>
      </c>
      <c r="N9" s="4">
        <v>106.34</v>
      </c>
      <c r="O9" s="4">
        <v>106.61</v>
      </c>
      <c r="P9" s="4">
        <v>106.68</v>
      </c>
      <c r="Q9" s="4">
        <v>106.85</v>
      </c>
      <c r="R9" s="4">
        <v>106.7</v>
      </c>
      <c r="S9" s="4">
        <v>106.85</v>
      </c>
      <c r="T9" s="4">
        <v>106.63</v>
      </c>
      <c r="U9" s="4">
        <v>106.88</v>
      </c>
      <c r="V9" s="4">
        <v>106.9</v>
      </c>
      <c r="W9" s="4">
        <v>106.94</v>
      </c>
      <c r="X9" s="4">
        <v>107.03</v>
      </c>
      <c r="Y9" s="49">
        <v>107.32</v>
      </c>
      <c r="Z9" s="4">
        <v>107.41</v>
      </c>
      <c r="AA9" s="4">
        <v>107.46</v>
      </c>
      <c r="AB9" s="4">
        <v>107.53</v>
      </c>
      <c r="AC9" s="4">
        <v>107.61</v>
      </c>
      <c r="AD9" s="4">
        <v>107.66</v>
      </c>
      <c r="AE9" s="4">
        <v>107.71</v>
      </c>
      <c r="AF9" s="4">
        <v>107.75</v>
      </c>
      <c r="AG9" s="4">
        <v>107.79</v>
      </c>
      <c r="AH9" s="4">
        <v>107.81</v>
      </c>
      <c r="AI9" s="4">
        <v>107.85</v>
      </c>
      <c r="AJ9" s="4">
        <v>107.87</v>
      </c>
      <c r="AK9" s="4">
        <v>107.9</v>
      </c>
    </row>
    <row r="10" spans="1:37">
      <c r="A10" t="s">
        <v>1109</v>
      </c>
      <c r="B10" s="4">
        <v>10.45</v>
      </c>
      <c r="C10" s="4">
        <v>10.49</v>
      </c>
      <c r="D10" s="4">
        <v>10.56</v>
      </c>
      <c r="E10" s="4">
        <v>10.59</v>
      </c>
      <c r="F10" s="4">
        <v>10.61</v>
      </c>
      <c r="G10" s="4">
        <v>10.3</v>
      </c>
      <c r="H10" s="4">
        <v>10.32</v>
      </c>
      <c r="I10" s="4">
        <v>10.36</v>
      </c>
      <c r="J10" s="4">
        <v>10.42</v>
      </c>
      <c r="K10" s="4">
        <v>10.45</v>
      </c>
      <c r="L10" s="4">
        <v>10.5</v>
      </c>
      <c r="M10" s="4">
        <v>10.55</v>
      </c>
      <c r="N10" s="4">
        <v>10.57</v>
      </c>
      <c r="O10" s="4">
        <v>10.56</v>
      </c>
      <c r="P10" s="4">
        <v>10.58</v>
      </c>
      <c r="Q10" s="4">
        <v>10.55</v>
      </c>
      <c r="R10" s="4">
        <v>10.52</v>
      </c>
      <c r="S10" s="4">
        <v>10.48</v>
      </c>
      <c r="T10" s="4">
        <v>10.51</v>
      </c>
      <c r="U10" s="4">
        <v>10.63</v>
      </c>
      <c r="V10" s="4">
        <v>10.71</v>
      </c>
      <c r="W10" s="4">
        <v>10.35</v>
      </c>
      <c r="X10" s="4">
        <v>10.36</v>
      </c>
      <c r="Y10" s="49">
        <v>10.35</v>
      </c>
      <c r="Z10" s="4">
        <v>10.33</v>
      </c>
      <c r="AA10" s="4">
        <v>10.31</v>
      </c>
      <c r="AB10" s="4">
        <v>10.3</v>
      </c>
      <c r="AC10" s="4">
        <v>10.23</v>
      </c>
      <c r="AD10" s="4">
        <v>10.18</v>
      </c>
      <c r="AE10" s="4">
        <v>10.130000000000001</v>
      </c>
      <c r="AF10" s="4">
        <v>10.07</v>
      </c>
      <c r="AG10" s="4">
        <v>10.050000000000001</v>
      </c>
      <c r="AH10" s="4">
        <v>10.029999999999999</v>
      </c>
      <c r="AI10" s="4">
        <v>10.029999999999999</v>
      </c>
      <c r="AJ10" s="4">
        <v>10.050000000000001</v>
      </c>
      <c r="AK10" s="4">
        <v>10.08</v>
      </c>
    </row>
    <row r="11" spans="1:37">
      <c r="A11" t="s">
        <v>1110</v>
      </c>
      <c r="B11" s="4">
        <v>9.48</v>
      </c>
      <c r="C11" s="4">
        <v>7.21</v>
      </c>
      <c r="D11" s="4">
        <v>7.05</v>
      </c>
      <c r="E11" s="4">
        <v>7.52</v>
      </c>
      <c r="F11" s="4">
        <v>7.67</v>
      </c>
      <c r="G11" s="4">
        <v>7.96</v>
      </c>
      <c r="H11" s="4">
        <v>8.08</v>
      </c>
      <c r="I11" s="4">
        <v>8.17</v>
      </c>
      <c r="J11" s="4">
        <v>8.6199999999999992</v>
      </c>
      <c r="K11" s="4">
        <v>8.51</v>
      </c>
      <c r="L11" s="4">
        <v>8.68</v>
      </c>
      <c r="M11" s="4">
        <v>9.0399999999999991</v>
      </c>
      <c r="N11" s="4">
        <v>8.9600000000000009</v>
      </c>
      <c r="O11" s="4">
        <v>9.0299999999999994</v>
      </c>
      <c r="P11" s="4">
        <v>8.26</v>
      </c>
      <c r="Q11" s="4">
        <v>8.31</v>
      </c>
      <c r="R11" s="4">
        <v>8.65</v>
      </c>
      <c r="S11" s="4">
        <v>9.19</v>
      </c>
      <c r="T11" s="4">
        <v>8.35</v>
      </c>
      <c r="U11" s="4">
        <v>8.44</v>
      </c>
      <c r="V11" s="4">
        <v>8.4</v>
      </c>
      <c r="W11" s="4">
        <v>8.3800000000000008</v>
      </c>
      <c r="X11" s="4">
        <v>8.33</v>
      </c>
      <c r="Y11" s="49">
        <v>8.2899999999999991</v>
      </c>
      <c r="Z11" s="4">
        <v>8.25</v>
      </c>
      <c r="AA11" s="4">
        <v>8.2100000000000009</v>
      </c>
      <c r="AB11" s="4">
        <v>8.15</v>
      </c>
      <c r="AC11" s="4">
        <v>8.11</v>
      </c>
      <c r="AD11" s="4">
        <v>8.06</v>
      </c>
      <c r="AE11" s="4">
        <v>8.01</v>
      </c>
      <c r="AF11" s="4">
        <v>7.95</v>
      </c>
      <c r="AG11" s="4">
        <v>7.89</v>
      </c>
      <c r="AH11" s="4">
        <v>7.84</v>
      </c>
      <c r="AI11" s="4">
        <v>7.78</v>
      </c>
      <c r="AJ11" s="4">
        <v>7.72</v>
      </c>
      <c r="AK11" s="4">
        <v>7.66</v>
      </c>
    </row>
    <row r="12" spans="1:37">
      <c r="A12" t="s">
        <v>1111</v>
      </c>
      <c r="B12" s="4">
        <v>71.3</v>
      </c>
      <c r="C12" s="4">
        <v>53.65</v>
      </c>
      <c r="D12" s="4">
        <v>50.07</v>
      </c>
      <c r="E12" s="4">
        <v>52.97</v>
      </c>
      <c r="F12" s="4">
        <v>53.9</v>
      </c>
      <c r="G12" s="4">
        <v>44.75</v>
      </c>
      <c r="H12" s="4">
        <v>45.38</v>
      </c>
      <c r="I12" s="4">
        <v>46.61</v>
      </c>
      <c r="J12" s="4">
        <v>49.16</v>
      </c>
      <c r="K12" s="4">
        <v>48.9</v>
      </c>
      <c r="L12" s="4">
        <v>50.6</v>
      </c>
      <c r="M12" s="4">
        <v>52.08</v>
      </c>
      <c r="N12" s="4">
        <v>50.96</v>
      </c>
      <c r="O12" s="4">
        <v>50.58</v>
      </c>
      <c r="P12" s="4">
        <v>45.45</v>
      </c>
      <c r="Q12" s="4">
        <v>43.74</v>
      </c>
      <c r="R12" s="4">
        <v>45.16</v>
      </c>
      <c r="S12" s="4">
        <v>46.98</v>
      </c>
      <c r="T12" s="4">
        <v>43.15</v>
      </c>
      <c r="U12" s="4">
        <v>43.85</v>
      </c>
      <c r="V12" s="4">
        <v>42.32</v>
      </c>
      <c r="W12" s="4">
        <v>41.66</v>
      </c>
      <c r="X12" s="4">
        <v>41.41</v>
      </c>
      <c r="Y12" s="49">
        <v>41.14</v>
      </c>
      <c r="Z12" s="4">
        <v>40.85</v>
      </c>
      <c r="AA12" s="4">
        <v>40.5</v>
      </c>
      <c r="AB12" s="4">
        <v>40.119999999999997</v>
      </c>
      <c r="AC12" s="4">
        <v>39.590000000000003</v>
      </c>
      <c r="AD12" s="4">
        <v>39.24</v>
      </c>
      <c r="AE12" s="4">
        <v>38.82</v>
      </c>
      <c r="AF12" s="4">
        <v>38.479999999999997</v>
      </c>
      <c r="AG12" s="4">
        <v>38.11</v>
      </c>
      <c r="AH12" s="4">
        <v>37.79</v>
      </c>
      <c r="AI12" s="4">
        <v>37.630000000000003</v>
      </c>
      <c r="AJ12" s="4">
        <v>37.46</v>
      </c>
      <c r="AK12" s="4">
        <v>37.42</v>
      </c>
    </row>
    <row r="13" spans="1:37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9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>
      <c r="A14" t="s">
        <v>1112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9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>
      <c r="A15" t="s">
        <v>1113</v>
      </c>
      <c r="B15" s="4">
        <v>0.99</v>
      </c>
      <c r="C15" s="4">
        <v>0.76</v>
      </c>
      <c r="D15" s="4">
        <v>0.74</v>
      </c>
      <c r="E15" s="4">
        <v>0.8</v>
      </c>
      <c r="F15" s="4">
        <v>0.81</v>
      </c>
      <c r="G15" s="4">
        <v>0.82</v>
      </c>
      <c r="H15" s="4">
        <v>0.83</v>
      </c>
      <c r="I15" s="4">
        <v>0.85</v>
      </c>
      <c r="J15" s="4">
        <v>0.9</v>
      </c>
      <c r="K15" s="4">
        <v>0.89</v>
      </c>
      <c r="L15" s="4">
        <v>0.91</v>
      </c>
      <c r="M15" s="4">
        <v>0.95</v>
      </c>
      <c r="N15" s="4">
        <v>0.95</v>
      </c>
      <c r="O15" s="4">
        <v>0.95</v>
      </c>
      <c r="P15" s="4">
        <v>0.87</v>
      </c>
      <c r="Q15" s="4">
        <v>0.88</v>
      </c>
      <c r="R15" s="4">
        <v>0.91</v>
      </c>
      <c r="S15" s="4">
        <v>0.96</v>
      </c>
      <c r="T15" s="4">
        <v>0.88</v>
      </c>
      <c r="U15" s="4">
        <v>0.9</v>
      </c>
      <c r="V15" s="4">
        <v>0.9</v>
      </c>
      <c r="W15" s="4">
        <v>0.87</v>
      </c>
      <c r="X15" s="4">
        <v>0.86</v>
      </c>
      <c r="Y15" s="49">
        <v>0.86</v>
      </c>
      <c r="Z15" s="4">
        <v>0.85</v>
      </c>
      <c r="AA15" s="4">
        <v>0.85</v>
      </c>
      <c r="AB15" s="4">
        <v>0.84</v>
      </c>
      <c r="AC15" s="4">
        <v>0.83</v>
      </c>
      <c r="AD15" s="4">
        <v>0.82</v>
      </c>
      <c r="AE15" s="4">
        <v>0.81</v>
      </c>
      <c r="AF15" s="4">
        <v>0.8</v>
      </c>
      <c r="AG15" s="4">
        <v>0.79</v>
      </c>
      <c r="AH15" s="4">
        <v>0.79</v>
      </c>
      <c r="AI15" s="4">
        <v>0.78</v>
      </c>
      <c r="AJ15" s="4">
        <v>0.78</v>
      </c>
      <c r="AK15" s="4">
        <v>0.77</v>
      </c>
    </row>
    <row r="16" spans="1:37">
      <c r="A16" t="s">
        <v>1114</v>
      </c>
      <c r="B16" s="4">
        <v>0.78</v>
      </c>
      <c r="C16" s="4">
        <v>0.57999999999999996</v>
      </c>
      <c r="D16" s="4">
        <v>0.56999999999999995</v>
      </c>
      <c r="E16" s="4">
        <v>0.62</v>
      </c>
      <c r="F16" s="4">
        <v>0.64</v>
      </c>
      <c r="G16" s="4">
        <v>0.64</v>
      </c>
      <c r="H16" s="4">
        <v>0.65</v>
      </c>
      <c r="I16" s="4">
        <v>0.65</v>
      </c>
      <c r="J16" s="4">
        <v>0.7</v>
      </c>
      <c r="K16" s="4">
        <v>0.69</v>
      </c>
      <c r="L16" s="4">
        <v>0.71</v>
      </c>
      <c r="M16" s="4">
        <v>0.75</v>
      </c>
      <c r="N16" s="4">
        <v>0.73</v>
      </c>
      <c r="O16" s="4">
        <v>0.74</v>
      </c>
      <c r="P16" s="4">
        <v>0.68</v>
      </c>
      <c r="Q16" s="4">
        <v>0.69</v>
      </c>
      <c r="R16" s="4">
        <v>0.71</v>
      </c>
      <c r="S16" s="4">
        <v>0.76</v>
      </c>
      <c r="T16" s="4">
        <v>0.68</v>
      </c>
      <c r="U16" s="4">
        <v>0.69</v>
      </c>
      <c r="V16" s="4">
        <v>0.68</v>
      </c>
      <c r="W16" s="4">
        <v>0.68</v>
      </c>
      <c r="X16" s="4">
        <v>0.67</v>
      </c>
      <c r="Y16" s="49">
        <v>0.67</v>
      </c>
      <c r="Z16" s="4">
        <v>0.67</v>
      </c>
      <c r="AA16" s="4">
        <v>0.66</v>
      </c>
      <c r="AB16" s="4">
        <v>0.66</v>
      </c>
      <c r="AC16" s="4">
        <v>0.66</v>
      </c>
      <c r="AD16" s="4">
        <v>0.65</v>
      </c>
      <c r="AE16" s="4">
        <v>0.65</v>
      </c>
      <c r="AF16" s="4">
        <v>0.64</v>
      </c>
      <c r="AG16" s="4">
        <v>0.64</v>
      </c>
      <c r="AH16" s="4">
        <v>0.63</v>
      </c>
      <c r="AI16" s="4">
        <v>0.63</v>
      </c>
      <c r="AJ16" s="4">
        <v>0.62</v>
      </c>
      <c r="AK16" s="4">
        <v>0.62</v>
      </c>
    </row>
    <row r="17" spans="1:37">
      <c r="A17" t="s">
        <v>1115</v>
      </c>
      <c r="B17" s="4">
        <v>0.98</v>
      </c>
      <c r="C17" s="4">
        <v>1.03</v>
      </c>
      <c r="D17" s="4">
        <v>1.02</v>
      </c>
      <c r="E17" s="4">
        <v>1.01</v>
      </c>
      <c r="F17" s="4">
        <v>1.02</v>
      </c>
      <c r="G17" s="4">
        <v>1.05</v>
      </c>
      <c r="H17" s="4">
        <v>1.07</v>
      </c>
      <c r="I17" s="4">
        <v>1.0900000000000001</v>
      </c>
      <c r="J17" s="4">
        <v>1.1200000000000001</v>
      </c>
      <c r="K17" s="4">
        <v>1.1399999999999999</v>
      </c>
      <c r="L17" s="4">
        <v>1.1599999999999999</v>
      </c>
      <c r="M17" s="4">
        <v>1.17</v>
      </c>
      <c r="N17" s="4">
        <v>1.33</v>
      </c>
      <c r="O17" s="4">
        <v>1.37</v>
      </c>
      <c r="P17" s="4">
        <v>1.43</v>
      </c>
      <c r="Q17" s="4">
        <v>1.42</v>
      </c>
      <c r="R17" s="4">
        <v>1.44</v>
      </c>
      <c r="S17" s="4">
        <v>1.49</v>
      </c>
      <c r="T17" s="4">
        <v>1.51</v>
      </c>
      <c r="U17" s="4">
        <v>1.52</v>
      </c>
      <c r="V17" s="4">
        <v>1.52</v>
      </c>
      <c r="W17" s="4">
        <v>1.49</v>
      </c>
      <c r="X17" s="4">
        <v>1.49</v>
      </c>
      <c r="Y17" s="49">
        <v>1.48</v>
      </c>
      <c r="Z17" s="4">
        <v>1.41</v>
      </c>
      <c r="AA17" s="4">
        <v>1.35</v>
      </c>
      <c r="AB17" s="4">
        <v>1.33</v>
      </c>
      <c r="AC17" s="4">
        <v>1.31</v>
      </c>
      <c r="AD17" s="4">
        <v>1.3</v>
      </c>
      <c r="AE17" s="4">
        <v>1.3</v>
      </c>
      <c r="AF17" s="4">
        <v>1.29</v>
      </c>
      <c r="AG17" s="4">
        <v>1.28</v>
      </c>
      <c r="AH17" s="4">
        <v>1.28</v>
      </c>
      <c r="AI17" s="4">
        <v>1.28</v>
      </c>
      <c r="AJ17" s="4">
        <v>1.28</v>
      </c>
      <c r="AK17" s="4">
        <v>1.28</v>
      </c>
    </row>
    <row r="18" spans="1:37">
      <c r="A18" t="s">
        <v>1116</v>
      </c>
      <c r="B18" s="4">
        <v>-50.55</v>
      </c>
      <c r="C18" s="4">
        <v>-52.67</v>
      </c>
      <c r="D18" s="4">
        <v>-51.7</v>
      </c>
      <c r="E18" s="4">
        <v>-54.68</v>
      </c>
      <c r="F18" s="4">
        <v>-53.05</v>
      </c>
      <c r="G18" s="4">
        <v>-51.45</v>
      </c>
      <c r="H18" s="4">
        <v>-49.14</v>
      </c>
      <c r="I18" s="4">
        <v>-47.04</v>
      </c>
      <c r="J18" s="4">
        <v>-45.64</v>
      </c>
      <c r="K18" s="4">
        <v>-49.6</v>
      </c>
      <c r="L18" s="4">
        <v>-48.47</v>
      </c>
      <c r="M18" s="4">
        <v>-50.65</v>
      </c>
      <c r="N18" s="4">
        <v>-50.14</v>
      </c>
      <c r="O18" s="4">
        <v>-47.66</v>
      </c>
      <c r="P18" s="4">
        <v>-47.57</v>
      </c>
      <c r="Q18" s="4">
        <v>-46.64</v>
      </c>
      <c r="R18" s="4">
        <v>-48.03</v>
      </c>
      <c r="S18" s="4">
        <v>-46.28</v>
      </c>
      <c r="T18" s="4">
        <v>-47.03</v>
      </c>
      <c r="U18" s="4">
        <v>-45.14</v>
      </c>
      <c r="V18" s="4">
        <v>-26.48</v>
      </c>
      <c r="W18" s="4">
        <v>-40.53</v>
      </c>
      <c r="X18" s="4">
        <v>-37.57</v>
      </c>
      <c r="Y18" s="49">
        <v>-40.36</v>
      </c>
      <c r="Z18" s="4">
        <v>-39.83</v>
      </c>
      <c r="AA18" s="4">
        <v>-40.92</v>
      </c>
      <c r="AB18" s="4">
        <v>-41.55</v>
      </c>
      <c r="AC18" s="4">
        <v>-42.71</v>
      </c>
      <c r="AD18" s="4">
        <v>-43.53</v>
      </c>
      <c r="AE18" s="4">
        <v>-44.01</v>
      </c>
      <c r="AF18" s="4">
        <v>-44.67</v>
      </c>
      <c r="AG18" s="4">
        <v>-44.54</v>
      </c>
      <c r="AH18" s="4">
        <v>-44.17</v>
      </c>
      <c r="AI18" s="4">
        <v>-43.64</v>
      </c>
      <c r="AJ18" s="4">
        <v>-43.21</v>
      </c>
      <c r="AK18" s="4">
        <v>-42.25</v>
      </c>
    </row>
    <row r="19" spans="1:37">
      <c r="A19" t="s">
        <v>1117</v>
      </c>
      <c r="B19" s="1">
        <v>2291107880</v>
      </c>
      <c r="C19" s="1">
        <v>2283942860</v>
      </c>
      <c r="D19" s="1">
        <v>2291062617</v>
      </c>
      <c r="E19" s="1">
        <v>2286922761</v>
      </c>
      <c r="F19" s="1">
        <v>2279931656</v>
      </c>
      <c r="G19" s="1">
        <v>2281901029</v>
      </c>
      <c r="H19" s="1">
        <v>2277531172</v>
      </c>
      <c r="I19" s="1">
        <v>2283021954</v>
      </c>
      <c r="J19" s="1">
        <v>2284577182</v>
      </c>
      <c r="K19" s="1">
        <v>2274567445</v>
      </c>
      <c r="L19" s="1">
        <v>2279501259</v>
      </c>
      <c r="M19" s="1">
        <v>2282577998</v>
      </c>
      <c r="N19" s="1">
        <v>2270902456</v>
      </c>
      <c r="O19" s="1">
        <v>2276572904</v>
      </c>
      <c r="P19" s="1">
        <v>2269042249</v>
      </c>
      <c r="Q19" s="1">
        <v>2264088201</v>
      </c>
      <c r="R19" s="1">
        <v>2273164177</v>
      </c>
      <c r="S19" s="1">
        <v>2276008813</v>
      </c>
      <c r="T19" s="1">
        <v>2274327944</v>
      </c>
      <c r="U19" s="1">
        <v>2292199782</v>
      </c>
      <c r="V19" s="1">
        <v>2307997925</v>
      </c>
      <c r="W19" s="1">
        <v>2325215173</v>
      </c>
      <c r="X19" s="1">
        <v>2332217335</v>
      </c>
      <c r="Y19" s="48">
        <v>2336957008</v>
      </c>
      <c r="Z19" s="1">
        <v>2410310006</v>
      </c>
      <c r="AA19" s="1">
        <v>2416152095</v>
      </c>
      <c r="AB19" s="1">
        <v>2422889258</v>
      </c>
      <c r="AC19" s="1">
        <v>2430628219</v>
      </c>
      <c r="AD19" s="1">
        <v>2438949531</v>
      </c>
      <c r="AE19" s="1">
        <v>2447363452</v>
      </c>
      <c r="AF19" s="1">
        <v>2457253868</v>
      </c>
      <c r="AG19" s="1">
        <v>2467773325</v>
      </c>
      <c r="AH19" s="1">
        <v>2477303673</v>
      </c>
      <c r="AI19" s="1">
        <v>2486109953</v>
      </c>
      <c r="AJ19" s="1">
        <v>2495038424</v>
      </c>
      <c r="AK19" s="1">
        <v>2503233021</v>
      </c>
    </row>
    <row r="20" spans="1:37">
      <c r="A20" t="s">
        <v>1118</v>
      </c>
      <c r="B20" s="1">
        <v>2029552433</v>
      </c>
      <c r="C20" s="1">
        <v>2043287882</v>
      </c>
      <c r="D20" s="1">
        <v>2060448024</v>
      </c>
      <c r="E20" s="1">
        <v>2053909015</v>
      </c>
      <c r="F20" s="1">
        <v>2048661235</v>
      </c>
      <c r="G20" s="1">
        <v>2054824729</v>
      </c>
      <c r="H20" s="1">
        <v>2051634206</v>
      </c>
      <c r="I20" s="1">
        <v>2054936849</v>
      </c>
      <c r="J20" s="1">
        <v>2055987916</v>
      </c>
      <c r="K20" s="1">
        <v>2051514268</v>
      </c>
      <c r="L20" s="1">
        <v>2052209563</v>
      </c>
      <c r="M20" s="1">
        <v>2050944349</v>
      </c>
      <c r="N20" s="1">
        <v>2075245532</v>
      </c>
      <c r="O20" s="1">
        <v>2078717960</v>
      </c>
      <c r="P20" s="1">
        <v>2073714752</v>
      </c>
      <c r="Q20" s="1">
        <v>2071294696</v>
      </c>
      <c r="R20" s="1">
        <v>2071932514</v>
      </c>
      <c r="S20" s="1">
        <v>2080948151</v>
      </c>
      <c r="T20" s="1">
        <v>2099412074</v>
      </c>
      <c r="U20" s="1">
        <v>2111466162</v>
      </c>
      <c r="V20" s="1">
        <v>2108643184</v>
      </c>
      <c r="W20" s="1">
        <v>2119322176</v>
      </c>
      <c r="X20" s="1">
        <v>2131899361</v>
      </c>
      <c r="Y20" s="48">
        <v>2134309778</v>
      </c>
      <c r="Z20" s="1">
        <v>2193636479</v>
      </c>
      <c r="AA20" s="1">
        <v>2198672355</v>
      </c>
      <c r="AB20" s="1">
        <v>2203873439</v>
      </c>
      <c r="AC20" s="1">
        <v>2209665832</v>
      </c>
      <c r="AD20" s="1">
        <v>2216250047</v>
      </c>
      <c r="AE20" s="1">
        <v>2223378507</v>
      </c>
      <c r="AF20" s="1">
        <v>2231663657</v>
      </c>
      <c r="AG20" s="1">
        <v>2240761776</v>
      </c>
      <c r="AH20" s="1">
        <v>2250006710</v>
      </c>
      <c r="AI20" s="1">
        <v>2259061981</v>
      </c>
      <c r="AJ20" s="1">
        <v>2267580158</v>
      </c>
      <c r="AK20" s="1">
        <v>2275171007</v>
      </c>
    </row>
    <row r="21" spans="1:37">
      <c r="A21" t="s">
        <v>1119</v>
      </c>
      <c r="B21" s="4">
        <v>97.44</v>
      </c>
      <c r="C21" s="4">
        <v>96.53</v>
      </c>
      <c r="D21" s="4">
        <v>96.87</v>
      </c>
      <c r="E21" s="4">
        <v>97.56</v>
      </c>
      <c r="F21" s="4">
        <v>97.26</v>
      </c>
      <c r="G21" s="4">
        <v>97.19</v>
      </c>
      <c r="H21" s="4">
        <v>97.22</v>
      </c>
      <c r="I21" s="4">
        <v>96.72</v>
      </c>
      <c r="J21" s="4">
        <v>97.23</v>
      </c>
      <c r="K21" s="4">
        <v>96.91</v>
      </c>
      <c r="L21" s="4">
        <v>97</v>
      </c>
      <c r="M21" s="4">
        <v>97.37</v>
      </c>
      <c r="N21" s="4">
        <v>97.4</v>
      </c>
      <c r="O21" s="4">
        <v>97.59</v>
      </c>
      <c r="P21" s="4">
        <v>97.6</v>
      </c>
      <c r="Q21" s="4">
        <v>97.28</v>
      </c>
      <c r="R21" s="4">
        <v>97.45</v>
      </c>
      <c r="S21" s="4">
        <v>97.57</v>
      </c>
      <c r="T21" s="4">
        <v>96.73</v>
      </c>
      <c r="U21" s="4">
        <v>96.98</v>
      </c>
      <c r="V21" s="4">
        <v>97.05</v>
      </c>
      <c r="W21" s="4">
        <v>97.4</v>
      </c>
      <c r="X21" s="4">
        <v>97.42</v>
      </c>
      <c r="Y21" s="49">
        <v>97.52</v>
      </c>
      <c r="Z21" s="4">
        <v>97.22</v>
      </c>
      <c r="AA21" s="4">
        <v>97.22</v>
      </c>
      <c r="AB21" s="4">
        <v>97.24</v>
      </c>
      <c r="AC21" s="4">
        <v>97.25</v>
      </c>
      <c r="AD21" s="4">
        <v>97.28</v>
      </c>
      <c r="AE21" s="4">
        <v>97.28</v>
      </c>
      <c r="AF21" s="4">
        <v>97.27</v>
      </c>
      <c r="AG21" s="4">
        <v>97.3</v>
      </c>
      <c r="AH21" s="4">
        <v>97.27</v>
      </c>
      <c r="AI21" s="4">
        <v>97.24</v>
      </c>
      <c r="AJ21" s="4">
        <v>97.24</v>
      </c>
      <c r="AK21" s="4">
        <v>97.27</v>
      </c>
    </row>
    <row r="22" spans="1:37">
      <c r="A22" t="s">
        <v>1120</v>
      </c>
      <c r="B22" s="4">
        <v>2.56</v>
      </c>
      <c r="C22" s="4">
        <v>3.47</v>
      </c>
      <c r="D22" s="4">
        <v>3.13</v>
      </c>
      <c r="E22" s="4">
        <v>2.44</v>
      </c>
      <c r="F22" s="4">
        <v>2.74</v>
      </c>
      <c r="G22" s="4">
        <v>2.81</v>
      </c>
      <c r="H22" s="4">
        <v>2.78</v>
      </c>
      <c r="I22" s="4">
        <v>3.28</v>
      </c>
      <c r="J22" s="4">
        <v>2.77</v>
      </c>
      <c r="K22" s="4">
        <v>3.09</v>
      </c>
      <c r="L22" s="4">
        <v>3</v>
      </c>
      <c r="M22" s="4">
        <v>2.63</v>
      </c>
      <c r="N22" s="4">
        <v>2.6</v>
      </c>
      <c r="O22" s="4">
        <v>2.41</v>
      </c>
      <c r="P22" s="4">
        <v>2.4</v>
      </c>
      <c r="Q22" s="4">
        <v>2.72</v>
      </c>
      <c r="R22" s="4">
        <v>2.5499999999999998</v>
      </c>
      <c r="S22" s="4">
        <v>2.4300000000000002</v>
      </c>
      <c r="T22" s="4">
        <v>3.27</v>
      </c>
      <c r="U22" s="4">
        <v>3.02</v>
      </c>
      <c r="V22" s="4">
        <v>2.95</v>
      </c>
      <c r="W22" s="4">
        <v>2.6</v>
      </c>
      <c r="X22" s="4">
        <v>2.58</v>
      </c>
      <c r="Y22" s="49">
        <v>2.48</v>
      </c>
      <c r="Z22" s="4">
        <v>2.78</v>
      </c>
      <c r="AA22" s="4">
        <v>2.78</v>
      </c>
      <c r="AB22" s="4">
        <v>2.76</v>
      </c>
      <c r="AC22" s="4">
        <v>2.75</v>
      </c>
      <c r="AD22" s="4">
        <v>2.72</v>
      </c>
      <c r="AE22" s="4">
        <v>2.72</v>
      </c>
      <c r="AF22" s="4">
        <v>2.73</v>
      </c>
      <c r="AG22" s="4">
        <v>2.7</v>
      </c>
      <c r="AH22" s="4">
        <v>2.73</v>
      </c>
      <c r="AI22" s="4">
        <v>2.76</v>
      </c>
      <c r="AJ22" s="4">
        <v>2.76</v>
      </c>
      <c r="AK22" s="4">
        <v>2.73</v>
      </c>
    </row>
    <row r="23" spans="1:37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9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>
      <c r="A24" t="s">
        <v>1121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9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>
      <c r="A25" t="s">
        <v>1122</v>
      </c>
      <c r="B25" s="4">
        <v>5.43</v>
      </c>
      <c r="C25" s="4">
        <v>5.27</v>
      </c>
      <c r="D25" s="4">
        <v>5.33</v>
      </c>
      <c r="E25" s="4">
        <v>5.36</v>
      </c>
      <c r="F25" s="4">
        <v>5.4</v>
      </c>
      <c r="G25" s="4">
        <v>5.39</v>
      </c>
      <c r="H25" s="4">
        <v>5.43</v>
      </c>
      <c r="I25" s="4">
        <v>5.42</v>
      </c>
      <c r="J25" s="4">
        <v>5.45</v>
      </c>
      <c r="K25" s="4">
        <v>5.47</v>
      </c>
      <c r="L25" s="4">
        <v>5.47</v>
      </c>
      <c r="M25" s="4">
        <v>5.5</v>
      </c>
      <c r="N25" s="4">
        <v>5.67</v>
      </c>
      <c r="O25" s="4">
        <v>5.45</v>
      </c>
      <c r="P25" s="4">
        <v>5.6</v>
      </c>
      <c r="Q25" s="4">
        <v>5.61</v>
      </c>
      <c r="R25" s="4">
        <v>5.69</v>
      </c>
      <c r="S25" s="4">
        <v>5.78</v>
      </c>
      <c r="T25" s="4">
        <v>5.84</v>
      </c>
      <c r="U25" s="4">
        <v>5.87</v>
      </c>
      <c r="V25" s="4">
        <v>5.87</v>
      </c>
      <c r="W25" s="4">
        <v>5.92</v>
      </c>
      <c r="X25" s="4">
        <v>5.92</v>
      </c>
      <c r="Y25" s="49">
        <v>5.93</v>
      </c>
      <c r="Z25" s="4">
        <v>6</v>
      </c>
      <c r="AA25" s="4">
        <v>5.77</v>
      </c>
      <c r="AB25" s="4">
        <v>5.84</v>
      </c>
      <c r="AC25" s="4">
        <v>5.83</v>
      </c>
      <c r="AD25" s="4">
        <v>5.86</v>
      </c>
      <c r="AE25" s="4">
        <v>5.85</v>
      </c>
      <c r="AF25" s="4">
        <v>5.87</v>
      </c>
      <c r="AG25" s="4">
        <v>5.88</v>
      </c>
      <c r="AH25" s="4">
        <v>5.87</v>
      </c>
      <c r="AI25" s="4">
        <v>5.88</v>
      </c>
      <c r="AJ25" s="4">
        <v>5.87</v>
      </c>
      <c r="AK25" s="4">
        <v>5.88</v>
      </c>
    </row>
    <row r="26" spans="1:37">
      <c r="A26" t="s">
        <v>1123</v>
      </c>
      <c r="B26" s="4">
        <v>2.12</v>
      </c>
      <c r="C26" s="4">
        <v>2.0099999999999998</v>
      </c>
      <c r="D26" s="4">
        <v>2.06</v>
      </c>
      <c r="E26" s="4">
        <v>2.08</v>
      </c>
      <c r="F26" s="4">
        <v>2.1</v>
      </c>
      <c r="G26" s="4">
        <v>2.1</v>
      </c>
      <c r="H26" s="4">
        <v>2.12</v>
      </c>
      <c r="I26" s="4">
        <v>2.11</v>
      </c>
      <c r="J26" s="4">
        <v>2.11</v>
      </c>
      <c r="K26" s="4">
        <v>2.1</v>
      </c>
      <c r="L26" s="4">
        <v>2.09</v>
      </c>
      <c r="M26" s="4">
        <v>2.09</v>
      </c>
      <c r="N26" s="4">
        <v>1.99</v>
      </c>
      <c r="O26" s="4">
        <v>1.86</v>
      </c>
      <c r="P26" s="4">
        <v>1.87</v>
      </c>
      <c r="Q26" s="4">
        <v>1.84</v>
      </c>
      <c r="R26" s="4">
        <v>1.87</v>
      </c>
      <c r="S26" s="4">
        <v>1.93</v>
      </c>
      <c r="T26" s="4">
        <v>1.99</v>
      </c>
      <c r="U26" s="4">
        <v>2.0099999999999998</v>
      </c>
      <c r="V26" s="4">
        <v>2.02</v>
      </c>
      <c r="W26" s="4">
        <v>2.0499999999999998</v>
      </c>
      <c r="X26" s="4">
        <v>2.0499999999999998</v>
      </c>
      <c r="Y26" s="49">
        <v>2.0499999999999998</v>
      </c>
      <c r="Z26" s="4">
        <v>2.0699999999999998</v>
      </c>
      <c r="AA26" s="4">
        <v>1.95</v>
      </c>
      <c r="AB26" s="4">
        <v>1.97</v>
      </c>
      <c r="AC26" s="4">
        <v>1.96</v>
      </c>
      <c r="AD26" s="4">
        <v>1.97</v>
      </c>
      <c r="AE26" s="4">
        <v>1.95</v>
      </c>
      <c r="AF26" s="4">
        <v>1.94</v>
      </c>
      <c r="AG26" s="4">
        <v>1.93</v>
      </c>
      <c r="AH26" s="4">
        <v>1.91</v>
      </c>
      <c r="AI26" s="4">
        <v>1.9</v>
      </c>
      <c r="AJ26" s="4">
        <v>1.89</v>
      </c>
      <c r="AK26" s="4">
        <v>1.89</v>
      </c>
    </row>
    <row r="27" spans="1:37">
      <c r="A27" t="s">
        <v>1124</v>
      </c>
      <c r="B27" s="4">
        <v>3.31</v>
      </c>
      <c r="C27" s="4">
        <v>3.26</v>
      </c>
      <c r="D27" s="4">
        <v>3.27</v>
      </c>
      <c r="E27" s="4">
        <v>3.28</v>
      </c>
      <c r="F27" s="4">
        <v>3.3</v>
      </c>
      <c r="G27" s="4">
        <v>3.29</v>
      </c>
      <c r="H27" s="4">
        <v>3.3</v>
      </c>
      <c r="I27" s="4">
        <v>3.31</v>
      </c>
      <c r="J27" s="4">
        <v>3.35</v>
      </c>
      <c r="K27" s="4">
        <v>3.37</v>
      </c>
      <c r="L27" s="4">
        <v>3.38</v>
      </c>
      <c r="M27" s="4">
        <v>3.41</v>
      </c>
      <c r="N27" s="4">
        <v>3.69</v>
      </c>
      <c r="O27" s="4">
        <v>3.59</v>
      </c>
      <c r="P27" s="4">
        <v>3.73</v>
      </c>
      <c r="Q27" s="4">
        <v>3.76</v>
      </c>
      <c r="R27" s="4">
        <v>3.82</v>
      </c>
      <c r="S27" s="4">
        <v>3.85</v>
      </c>
      <c r="T27" s="4">
        <v>3.85</v>
      </c>
      <c r="U27" s="4">
        <v>3.86</v>
      </c>
      <c r="V27" s="4">
        <v>3.85</v>
      </c>
      <c r="W27" s="4">
        <v>3.87</v>
      </c>
      <c r="X27" s="4">
        <v>3.87</v>
      </c>
      <c r="Y27" s="49">
        <v>3.88</v>
      </c>
      <c r="Z27" s="4">
        <v>3.93</v>
      </c>
      <c r="AA27" s="4">
        <v>3.82</v>
      </c>
      <c r="AB27" s="4">
        <v>3.87</v>
      </c>
      <c r="AC27" s="4">
        <v>3.87</v>
      </c>
      <c r="AD27" s="4">
        <v>3.89</v>
      </c>
      <c r="AE27" s="4">
        <v>3.9</v>
      </c>
      <c r="AF27" s="4">
        <v>3.93</v>
      </c>
      <c r="AG27" s="4">
        <v>3.95</v>
      </c>
      <c r="AH27" s="4">
        <v>3.95</v>
      </c>
      <c r="AI27" s="4">
        <v>3.97</v>
      </c>
      <c r="AJ27" s="4">
        <v>3.98</v>
      </c>
      <c r="AK27" s="4">
        <v>3.99</v>
      </c>
    </row>
    <row r="28" spans="1:37">
      <c r="A28" t="s">
        <v>1125</v>
      </c>
      <c r="B28" s="4">
        <v>1.02</v>
      </c>
      <c r="C28" s="4">
        <v>0.97</v>
      </c>
      <c r="D28" s="4">
        <v>0.97</v>
      </c>
      <c r="E28" s="4">
        <v>0.99</v>
      </c>
      <c r="F28" s="4">
        <v>1</v>
      </c>
      <c r="G28" s="4">
        <v>1</v>
      </c>
      <c r="H28" s="4">
        <v>1.04</v>
      </c>
      <c r="I28" s="4">
        <v>1.03</v>
      </c>
      <c r="J28" s="4">
        <v>1.03</v>
      </c>
      <c r="K28" s="4">
        <v>1.03</v>
      </c>
      <c r="L28" s="4">
        <v>1.03</v>
      </c>
      <c r="M28" s="4">
        <v>1.08</v>
      </c>
      <c r="N28" s="4">
        <v>1.06</v>
      </c>
      <c r="O28" s="4">
        <v>1.0900000000000001</v>
      </c>
      <c r="P28" s="4">
        <v>1.0900000000000001</v>
      </c>
      <c r="Q28" s="4">
        <v>1.0900000000000001</v>
      </c>
      <c r="R28" s="4">
        <v>1.1000000000000001</v>
      </c>
      <c r="S28" s="4">
        <v>1.1000000000000001</v>
      </c>
      <c r="T28" s="4">
        <v>1.1000000000000001</v>
      </c>
      <c r="U28" s="4">
        <v>1.1399999999999999</v>
      </c>
      <c r="V28" s="4">
        <v>1.19</v>
      </c>
      <c r="W28" s="4">
        <v>1.17</v>
      </c>
      <c r="X28" s="4">
        <v>1.1599999999999999</v>
      </c>
      <c r="Y28" s="49">
        <v>1.1499999999999999</v>
      </c>
      <c r="Z28" s="4">
        <v>1.1000000000000001</v>
      </c>
      <c r="AA28" s="4">
        <v>1.1499999999999999</v>
      </c>
      <c r="AB28" s="4">
        <v>1.1599999999999999</v>
      </c>
      <c r="AC28" s="4">
        <v>1.18</v>
      </c>
      <c r="AD28" s="4">
        <v>1.2</v>
      </c>
      <c r="AE28" s="4">
        <v>1.22</v>
      </c>
      <c r="AF28" s="4">
        <v>1.25</v>
      </c>
      <c r="AG28" s="4">
        <v>1.25</v>
      </c>
      <c r="AH28" s="4">
        <v>1.26</v>
      </c>
      <c r="AI28" s="4">
        <v>1.27</v>
      </c>
      <c r="AJ28" s="4">
        <v>1.27</v>
      </c>
      <c r="AK28" s="4">
        <v>1.28</v>
      </c>
    </row>
    <row r="29" spans="1:37">
      <c r="A29" t="s">
        <v>1126</v>
      </c>
      <c r="B29" s="4">
        <v>3.14</v>
      </c>
      <c r="C29" s="4">
        <v>3.11</v>
      </c>
      <c r="D29" s="4">
        <v>2.96</v>
      </c>
      <c r="E29" s="4">
        <v>3.06</v>
      </c>
      <c r="F29" s="4">
        <v>3.11</v>
      </c>
      <c r="G29" s="4">
        <v>3.09</v>
      </c>
      <c r="H29" s="4">
        <v>3.13</v>
      </c>
      <c r="I29" s="4">
        <v>3.13</v>
      </c>
      <c r="J29" s="4">
        <v>3.13</v>
      </c>
      <c r="K29" s="4">
        <v>3.14</v>
      </c>
      <c r="L29" s="4">
        <v>3.14</v>
      </c>
      <c r="M29" s="4">
        <v>3.16</v>
      </c>
      <c r="N29" s="4">
        <v>3.17</v>
      </c>
      <c r="O29" s="4">
        <v>3.16</v>
      </c>
      <c r="P29" s="4">
        <v>3.17</v>
      </c>
      <c r="Q29" s="4">
        <v>3.09</v>
      </c>
      <c r="R29" s="4">
        <v>3.18</v>
      </c>
      <c r="S29" s="4">
        <v>3.26</v>
      </c>
      <c r="T29" s="4">
        <v>3.33</v>
      </c>
      <c r="U29" s="4">
        <v>3.3</v>
      </c>
      <c r="V29" s="4">
        <v>3.27</v>
      </c>
      <c r="W29" s="4">
        <v>3.29</v>
      </c>
      <c r="X29" s="4">
        <v>3.27</v>
      </c>
      <c r="Y29" s="49">
        <v>3.28</v>
      </c>
      <c r="Z29" s="4">
        <v>3.31</v>
      </c>
      <c r="AA29" s="4">
        <v>3.24</v>
      </c>
      <c r="AB29" s="4">
        <v>3.27</v>
      </c>
      <c r="AC29" s="4">
        <v>3.3</v>
      </c>
      <c r="AD29" s="4">
        <v>3.32</v>
      </c>
      <c r="AE29" s="4">
        <v>3.34</v>
      </c>
      <c r="AF29" s="4">
        <v>3.38</v>
      </c>
      <c r="AG29" s="4">
        <v>3.39</v>
      </c>
      <c r="AH29" s="4">
        <v>3.4</v>
      </c>
      <c r="AI29" s="4">
        <v>3.42</v>
      </c>
      <c r="AJ29" s="4">
        <v>3.43</v>
      </c>
      <c r="AK29" s="4">
        <v>3.45</v>
      </c>
    </row>
    <row r="30" spans="1:37">
      <c r="A30" t="s">
        <v>1127</v>
      </c>
      <c r="B30" s="4">
        <v>1.19</v>
      </c>
      <c r="C30" s="4">
        <v>1.1200000000000001</v>
      </c>
      <c r="D30" s="4">
        <v>1.27</v>
      </c>
      <c r="E30" s="4">
        <v>1.22</v>
      </c>
      <c r="F30" s="4">
        <v>1.19</v>
      </c>
      <c r="G30" s="4">
        <v>1.19</v>
      </c>
      <c r="H30" s="4">
        <v>1.21</v>
      </c>
      <c r="I30" s="4">
        <v>1.21</v>
      </c>
      <c r="J30" s="4">
        <v>1.25</v>
      </c>
      <c r="K30" s="4">
        <v>1.26</v>
      </c>
      <c r="L30" s="4">
        <v>1.27</v>
      </c>
      <c r="M30" s="4">
        <v>1.33</v>
      </c>
      <c r="N30" s="4">
        <v>1.57</v>
      </c>
      <c r="O30" s="4">
        <v>1.52</v>
      </c>
      <c r="P30" s="4">
        <v>1.64</v>
      </c>
      <c r="Q30" s="4">
        <v>1.77</v>
      </c>
      <c r="R30" s="4">
        <v>1.73</v>
      </c>
      <c r="S30" s="4">
        <v>1.69</v>
      </c>
      <c r="T30" s="4">
        <v>1.62</v>
      </c>
      <c r="U30" s="4">
        <v>1.7</v>
      </c>
      <c r="V30" s="4">
        <v>1.77</v>
      </c>
      <c r="W30" s="4">
        <v>1.75</v>
      </c>
      <c r="X30" s="4">
        <v>1.76</v>
      </c>
      <c r="Y30" s="49">
        <v>1.76</v>
      </c>
      <c r="Z30" s="4">
        <v>1.73</v>
      </c>
      <c r="AA30" s="4">
        <v>1.73</v>
      </c>
      <c r="AB30" s="4">
        <v>1.76</v>
      </c>
      <c r="AC30" s="4">
        <v>1.76</v>
      </c>
      <c r="AD30" s="4">
        <v>1.77</v>
      </c>
      <c r="AE30" s="4">
        <v>1.78</v>
      </c>
      <c r="AF30" s="4">
        <v>1.79</v>
      </c>
      <c r="AG30" s="4">
        <v>1.81</v>
      </c>
      <c r="AH30" s="4">
        <v>1.81</v>
      </c>
      <c r="AI30" s="4">
        <v>1.82</v>
      </c>
      <c r="AJ30" s="4">
        <v>1.82</v>
      </c>
      <c r="AK30" s="4">
        <v>1.82</v>
      </c>
    </row>
    <row r="31" spans="1:37">
      <c r="A31" t="s">
        <v>1128</v>
      </c>
      <c r="B31" s="4">
        <v>1.18</v>
      </c>
      <c r="C31" s="4">
        <v>1.07</v>
      </c>
      <c r="D31" s="4">
        <v>1.2</v>
      </c>
      <c r="E31" s="4">
        <v>1.1399999999999999</v>
      </c>
      <c r="F31" s="4">
        <v>1.1200000000000001</v>
      </c>
      <c r="G31" s="4">
        <v>1.07</v>
      </c>
      <c r="H31" s="4">
        <v>1.08</v>
      </c>
      <c r="I31" s="4">
        <v>1.04</v>
      </c>
      <c r="J31" s="4">
        <v>1.05</v>
      </c>
      <c r="K31" s="4">
        <v>1.06</v>
      </c>
      <c r="L31" s="4">
        <v>1.05</v>
      </c>
      <c r="M31" s="4">
        <v>1.07</v>
      </c>
      <c r="N31" s="4">
        <v>1.31</v>
      </c>
      <c r="O31" s="4">
        <v>1.28</v>
      </c>
      <c r="P31" s="4">
        <v>1.36</v>
      </c>
      <c r="Q31" s="4">
        <v>1.5</v>
      </c>
      <c r="R31" s="4">
        <v>1.49</v>
      </c>
      <c r="S31" s="4">
        <v>1.48</v>
      </c>
      <c r="T31" s="4">
        <v>1.41</v>
      </c>
      <c r="U31" s="4">
        <v>1.38</v>
      </c>
      <c r="V31" s="4">
        <v>1.43</v>
      </c>
      <c r="W31" s="4">
        <v>1.43</v>
      </c>
      <c r="X31" s="4">
        <v>1.41</v>
      </c>
      <c r="Y31" s="49">
        <v>1.4</v>
      </c>
      <c r="Z31" s="4">
        <v>1.25</v>
      </c>
      <c r="AA31" s="4">
        <v>1.22</v>
      </c>
      <c r="AB31" s="4">
        <v>1.21</v>
      </c>
      <c r="AC31" s="4">
        <v>1.22</v>
      </c>
      <c r="AD31" s="4">
        <v>1.22</v>
      </c>
      <c r="AE31" s="4">
        <v>1.22</v>
      </c>
      <c r="AF31" s="4">
        <v>1.21</v>
      </c>
      <c r="AG31" s="4">
        <v>1.21</v>
      </c>
      <c r="AH31" s="4">
        <v>1.21</v>
      </c>
      <c r="AI31" s="4">
        <v>1.19</v>
      </c>
      <c r="AJ31" s="4">
        <v>1.18</v>
      </c>
      <c r="AK31" s="4">
        <v>1.17</v>
      </c>
    </row>
    <row r="32" spans="1:37">
      <c r="A32" t="s">
        <v>1129</v>
      </c>
      <c r="B32" s="4">
        <v>1.18</v>
      </c>
      <c r="C32" s="4">
        <v>1.07</v>
      </c>
      <c r="D32" s="4">
        <v>1.2</v>
      </c>
      <c r="E32" s="4">
        <v>1.1399999999999999</v>
      </c>
      <c r="F32" s="4">
        <v>1.1200000000000001</v>
      </c>
      <c r="G32" s="4">
        <v>1.07</v>
      </c>
      <c r="H32" s="4">
        <v>1.08</v>
      </c>
      <c r="I32" s="4">
        <v>1.04</v>
      </c>
      <c r="J32" s="4">
        <v>1.05</v>
      </c>
      <c r="K32" s="4">
        <v>1.06</v>
      </c>
      <c r="L32" s="4">
        <v>1.05</v>
      </c>
      <c r="M32" s="4">
        <v>1.07</v>
      </c>
      <c r="N32" s="4">
        <v>1.31</v>
      </c>
      <c r="O32" s="4">
        <v>1.28</v>
      </c>
      <c r="P32" s="4">
        <v>1.36</v>
      </c>
      <c r="Q32" s="4">
        <v>1.5</v>
      </c>
      <c r="R32" s="4">
        <v>1.49</v>
      </c>
      <c r="S32" s="4">
        <v>1.48</v>
      </c>
      <c r="T32" s="4">
        <v>1.41</v>
      </c>
      <c r="U32" s="4">
        <v>1.38</v>
      </c>
      <c r="V32" s="4">
        <v>1.43</v>
      </c>
      <c r="W32" s="4">
        <v>1.43</v>
      </c>
      <c r="X32" s="4">
        <v>1.41</v>
      </c>
      <c r="Y32" s="49">
        <v>1.4</v>
      </c>
      <c r="Z32" s="4">
        <v>1.25</v>
      </c>
      <c r="AA32" s="4">
        <v>1.22</v>
      </c>
      <c r="AB32" s="4">
        <v>1.21</v>
      </c>
      <c r="AC32" s="4">
        <v>1.22</v>
      </c>
      <c r="AD32" s="4">
        <v>1.22</v>
      </c>
      <c r="AE32" s="4">
        <v>1.22</v>
      </c>
      <c r="AF32" s="4">
        <v>1.21</v>
      </c>
      <c r="AG32" s="4">
        <v>1.21</v>
      </c>
      <c r="AH32" s="4">
        <v>1.21</v>
      </c>
      <c r="AI32" s="4">
        <v>1.19</v>
      </c>
      <c r="AJ32" s="4">
        <v>1.18</v>
      </c>
      <c r="AK32" s="4">
        <v>1.17</v>
      </c>
    </row>
    <row r="33" spans="1:37">
      <c r="A33" t="s">
        <v>1130</v>
      </c>
      <c r="B33" s="4">
        <v>0.01</v>
      </c>
      <c r="C33" s="4">
        <v>0.08</v>
      </c>
      <c r="D33" s="4">
        <v>0.12</v>
      </c>
      <c r="E33" s="4">
        <v>0.11</v>
      </c>
      <c r="F33" s="4">
        <v>0.05</v>
      </c>
      <c r="G33" s="4">
        <v>0.38</v>
      </c>
      <c r="H33" s="4">
        <v>0.21</v>
      </c>
      <c r="I33" s="4">
        <v>0.39</v>
      </c>
      <c r="J33" s="4">
        <v>0.46</v>
      </c>
      <c r="K33" s="4">
        <v>0.21</v>
      </c>
      <c r="L33" s="4">
        <v>0.48</v>
      </c>
      <c r="M33" s="4">
        <v>0.56999999999999995</v>
      </c>
      <c r="N33" s="4">
        <v>0.26</v>
      </c>
      <c r="O33" s="4">
        <v>0.21</v>
      </c>
      <c r="P33" s="4">
        <v>0.39</v>
      </c>
      <c r="Q33" s="4">
        <v>0.19</v>
      </c>
      <c r="R33" s="4">
        <v>0.15</v>
      </c>
      <c r="S33" s="4">
        <v>0.03</v>
      </c>
      <c r="T33" s="4">
        <v>0.25</v>
      </c>
      <c r="U33" s="4">
        <v>1.08</v>
      </c>
      <c r="V33" s="4">
        <v>0.49</v>
      </c>
      <c r="W33" s="4">
        <v>0.23</v>
      </c>
      <c r="X33" s="4">
        <v>0.61</v>
      </c>
      <c r="Y33" s="49">
        <v>0.45</v>
      </c>
      <c r="Z33" s="4">
        <v>0.48</v>
      </c>
      <c r="AA33" s="4">
        <v>0.54</v>
      </c>
      <c r="AB33" s="4">
        <v>0.63</v>
      </c>
      <c r="AC33" s="4">
        <v>0.49</v>
      </c>
      <c r="AD33" s="4">
        <v>0.64</v>
      </c>
      <c r="AE33" s="4">
        <v>0.63</v>
      </c>
      <c r="AF33" s="4">
        <v>0.7</v>
      </c>
      <c r="AG33" s="4">
        <v>0.76</v>
      </c>
      <c r="AH33" s="4">
        <v>0.67</v>
      </c>
      <c r="AI33" s="4">
        <v>0.78</v>
      </c>
      <c r="AJ33" s="4">
        <v>0.76</v>
      </c>
      <c r="AK33" s="4">
        <v>0.84</v>
      </c>
    </row>
    <row r="34" spans="1:37">
      <c r="A34" t="s">
        <v>1131</v>
      </c>
      <c r="B34" s="4">
        <v>0.01</v>
      </c>
      <c r="C34" s="4">
        <v>0.05</v>
      </c>
      <c r="D34" s="4">
        <v>7.0000000000000007E-2</v>
      </c>
      <c r="E34" s="4">
        <v>0.08</v>
      </c>
      <c r="F34" s="4">
        <v>0.08</v>
      </c>
      <c r="G34" s="4">
        <v>0.13</v>
      </c>
      <c r="H34" s="4">
        <v>0.14000000000000001</v>
      </c>
      <c r="I34" s="4">
        <v>0.17</v>
      </c>
      <c r="J34" s="4">
        <v>0.2</v>
      </c>
      <c r="K34" s="4">
        <v>0.2</v>
      </c>
      <c r="L34" s="4">
        <v>0.23</v>
      </c>
      <c r="M34" s="4">
        <v>0.26</v>
      </c>
      <c r="N34" s="4">
        <v>0.26</v>
      </c>
      <c r="O34" s="4">
        <v>0.24</v>
      </c>
      <c r="P34" s="4">
        <v>0.28999999999999998</v>
      </c>
      <c r="Q34" s="4">
        <v>0.26</v>
      </c>
      <c r="R34" s="4">
        <v>0.24</v>
      </c>
      <c r="S34" s="4">
        <v>0.21</v>
      </c>
      <c r="T34" s="4">
        <v>0.21</v>
      </c>
      <c r="U34" s="4">
        <v>0.32</v>
      </c>
      <c r="V34" s="4">
        <v>0.34</v>
      </c>
      <c r="W34" s="4">
        <v>0.32</v>
      </c>
      <c r="X34" s="4">
        <v>0.35</v>
      </c>
      <c r="Y34" s="49">
        <v>0.36</v>
      </c>
      <c r="Z34" s="4">
        <v>0.48</v>
      </c>
      <c r="AA34" s="4">
        <v>0.51</v>
      </c>
      <c r="AB34" s="4">
        <v>0.55000000000000004</v>
      </c>
      <c r="AC34" s="4">
        <v>0.53</v>
      </c>
      <c r="AD34" s="4">
        <v>0.55000000000000004</v>
      </c>
      <c r="AE34" s="4">
        <v>0.56000000000000005</v>
      </c>
      <c r="AF34" s="4">
        <v>0.57999999999999996</v>
      </c>
      <c r="AG34" s="4">
        <v>0.6</v>
      </c>
      <c r="AH34" s="4">
        <v>0.61</v>
      </c>
      <c r="AI34" s="4">
        <v>0.62</v>
      </c>
      <c r="AJ34" s="4">
        <v>0.63</v>
      </c>
      <c r="AK34" s="4">
        <v>0.65</v>
      </c>
    </row>
    <row r="35" spans="1:37">
      <c r="A35" t="s">
        <v>1132</v>
      </c>
      <c r="B35" s="4">
        <v>0.01</v>
      </c>
      <c r="C35" s="4">
        <v>0.05</v>
      </c>
      <c r="D35" s="4">
        <v>7.0000000000000007E-2</v>
      </c>
      <c r="E35" s="4">
        <v>0.08</v>
      </c>
      <c r="F35" s="4">
        <v>0.08</v>
      </c>
      <c r="G35" s="4">
        <v>0.13</v>
      </c>
      <c r="H35" s="4">
        <v>0.14000000000000001</v>
      </c>
      <c r="I35" s="4">
        <v>0.17</v>
      </c>
      <c r="J35" s="4">
        <v>0.2</v>
      </c>
      <c r="K35" s="4">
        <v>0.2</v>
      </c>
      <c r="L35" s="4">
        <v>0.23</v>
      </c>
      <c r="M35" s="4">
        <v>0.26</v>
      </c>
      <c r="N35" s="4">
        <v>0.26</v>
      </c>
      <c r="O35" s="4">
        <v>0.24</v>
      </c>
      <c r="P35" s="4">
        <v>0.28999999999999998</v>
      </c>
      <c r="Q35" s="4">
        <v>0.26</v>
      </c>
      <c r="R35" s="4">
        <v>0.24</v>
      </c>
      <c r="S35" s="4">
        <v>0.21</v>
      </c>
      <c r="T35" s="4">
        <v>0.21</v>
      </c>
      <c r="U35" s="4">
        <v>0.32</v>
      </c>
      <c r="V35" s="4">
        <v>0.34</v>
      </c>
      <c r="W35" s="4">
        <v>0.32</v>
      </c>
      <c r="X35" s="4">
        <v>0.35</v>
      </c>
      <c r="Y35" s="49">
        <v>0.36</v>
      </c>
      <c r="Z35" s="4">
        <v>0.48</v>
      </c>
      <c r="AA35" s="4">
        <v>0.51</v>
      </c>
      <c r="AB35" s="4">
        <v>0.55000000000000004</v>
      </c>
      <c r="AC35" s="4">
        <v>0.53</v>
      </c>
      <c r="AD35" s="4">
        <v>0.55000000000000004</v>
      </c>
      <c r="AE35" s="4">
        <v>0.56000000000000005</v>
      </c>
      <c r="AF35" s="4">
        <v>0.57999999999999996</v>
      </c>
      <c r="AG35" s="4">
        <v>0.6</v>
      </c>
      <c r="AH35" s="4">
        <v>0.61</v>
      </c>
      <c r="AI35" s="4">
        <v>0.62</v>
      </c>
      <c r="AJ35" s="4">
        <v>0.63</v>
      </c>
      <c r="AK35" s="4">
        <v>0.65</v>
      </c>
    </row>
    <row r="36" spans="1:37">
      <c r="A36" t="s">
        <v>1133</v>
      </c>
      <c r="B36" s="4">
        <v>0.13</v>
      </c>
      <c r="C36" s="4">
        <v>1.01</v>
      </c>
      <c r="D36" s="4">
        <v>1.45</v>
      </c>
      <c r="E36" s="4">
        <v>1.32</v>
      </c>
      <c r="F36" s="4">
        <v>0.67</v>
      </c>
      <c r="G36" s="4">
        <v>4.75</v>
      </c>
      <c r="H36" s="4">
        <v>2.64</v>
      </c>
      <c r="I36" s="4">
        <v>4.87</v>
      </c>
      <c r="J36" s="4">
        <v>5.71</v>
      </c>
      <c r="K36" s="4">
        <v>2.63</v>
      </c>
      <c r="L36" s="4">
        <v>5.93</v>
      </c>
      <c r="M36" s="4">
        <v>6.99</v>
      </c>
      <c r="N36" s="4">
        <v>3.18</v>
      </c>
      <c r="O36" s="4">
        <v>2.5299999999999998</v>
      </c>
      <c r="P36" s="4">
        <v>4.75</v>
      </c>
      <c r="Q36" s="4">
        <v>2.2999999999999998</v>
      </c>
      <c r="R36" s="4">
        <v>1.85</v>
      </c>
      <c r="S36" s="4">
        <v>0.38</v>
      </c>
      <c r="T36" s="4">
        <v>3</v>
      </c>
      <c r="U36" s="4">
        <v>13.02</v>
      </c>
      <c r="V36" s="4">
        <v>5.93</v>
      </c>
      <c r="W36" s="4">
        <v>2.78</v>
      </c>
      <c r="X36" s="4">
        <v>7.3</v>
      </c>
      <c r="Y36" s="49">
        <v>5.44</v>
      </c>
      <c r="Z36" s="4">
        <v>5.91</v>
      </c>
      <c r="AA36" s="4">
        <v>6.69</v>
      </c>
      <c r="AB36" s="4">
        <v>7.75</v>
      </c>
      <c r="AC36" s="4">
        <v>6.02</v>
      </c>
      <c r="AD36" s="4">
        <v>7.74</v>
      </c>
      <c r="AE36" s="4">
        <v>7.6</v>
      </c>
      <c r="AF36" s="4">
        <v>8.42</v>
      </c>
      <c r="AG36" s="4">
        <v>9.15</v>
      </c>
      <c r="AH36" s="4">
        <v>8.09</v>
      </c>
      <c r="AI36" s="4">
        <v>9.31</v>
      </c>
      <c r="AJ36" s="4">
        <v>9.0500000000000007</v>
      </c>
      <c r="AK36" s="4">
        <v>9.93</v>
      </c>
    </row>
    <row r="37" spans="1:37">
      <c r="A37" t="s">
        <v>1134</v>
      </c>
      <c r="B37" s="4">
        <v>0.13</v>
      </c>
      <c r="C37" s="4">
        <v>0.56999999999999995</v>
      </c>
      <c r="D37" s="4">
        <v>0.86</v>
      </c>
      <c r="E37" s="4">
        <v>0.98</v>
      </c>
      <c r="F37" s="4">
        <v>0.92</v>
      </c>
      <c r="G37" s="4">
        <v>1.58</v>
      </c>
      <c r="H37" s="4">
        <v>1.73</v>
      </c>
      <c r="I37" s="4">
        <v>2.11</v>
      </c>
      <c r="J37" s="4">
        <v>2.5</v>
      </c>
      <c r="K37" s="4">
        <v>2.5099999999999998</v>
      </c>
      <c r="L37" s="4">
        <v>2.81</v>
      </c>
      <c r="M37" s="4">
        <v>3.14</v>
      </c>
      <c r="N37" s="4">
        <v>3.18</v>
      </c>
      <c r="O37" s="4">
        <v>2.85</v>
      </c>
      <c r="P37" s="4">
        <v>3.48</v>
      </c>
      <c r="Q37" s="4">
        <v>3.18</v>
      </c>
      <c r="R37" s="4">
        <v>2.91</v>
      </c>
      <c r="S37" s="4">
        <v>2.4900000000000002</v>
      </c>
      <c r="T37" s="4">
        <v>2.56</v>
      </c>
      <c r="U37" s="4">
        <v>3.84</v>
      </c>
      <c r="V37" s="4">
        <v>4.05</v>
      </c>
      <c r="W37" s="4">
        <v>3.92</v>
      </c>
      <c r="X37" s="4">
        <v>4.2</v>
      </c>
      <c r="Y37" s="49">
        <v>4.29</v>
      </c>
      <c r="Z37" s="4">
        <v>5.91</v>
      </c>
      <c r="AA37" s="4">
        <v>6.28</v>
      </c>
      <c r="AB37" s="4">
        <v>6.74</v>
      </c>
      <c r="AC37" s="4">
        <v>6.54</v>
      </c>
      <c r="AD37" s="4">
        <v>6.74</v>
      </c>
      <c r="AE37" s="4">
        <v>6.85</v>
      </c>
      <c r="AF37" s="4">
        <v>7.03</v>
      </c>
      <c r="AG37" s="4">
        <v>7.25</v>
      </c>
      <c r="AH37" s="4">
        <v>7.3</v>
      </c>
      <c r="AI37" s="4">
        <v>7.45</v>
      </c>
      <c r="AJ37" s="4">
        <v>7.55</v>
      </c>
      <c r="AK37" s="4">
        <v>7.69</v>
      </c>
    </row>
    <row r="38" spans="1:37">
      <c r="A38" t="s">
        <v>1135</v>
      </c>
      <c r="B38" s="4">
        <v>0.13</v>
      </c>
      <c r="C38" s="4">
        <v>1.01</v>
      </c>
      <c r="D38" s="4">
        <v>1.45</v>
      </c>
      <c r="E38" s="4">
        <v>1.32</v>
      </c>
      <c r="F38" s="4">
        <v>0.67</v>
      </c>
      <c r="G38" s="4">
        <v>4.75</v>
      </c>
      <c r="H38" s="4">
        <v>2.64</v>
      </c>
      <c r="I38" s="4">
        <v>4.87</v>
      </c>
      <c r="J38" s="4">
        <v>5.71</v>
      </c>
      <c r="K38" s="4">
        <v>2.63</v>
      </c>
      <c r="L38" s="4">
        <v>5.93</v>
      </c>
      <c r="M38" s="4">
        <v>6.99</v>
      </c>
      <c r="N38" s="4">
        <v>3.18</v>
      </c>
      <c r="O38" s="4">
        <v>2.5299999999999998</v>
      </c>
      <c r="P38" s="4">
        <v>4.75</v>
      </c>
      <c r="Q38" s="4">
        <v>2.2999999999999998</v>
      </c>
      <c r="R38" s="4">
        <v>1.85</v>
      </c>
      <c r="S38" s="4">
        <v>0.38</v>
      </c>
      <c r="T38" s="4">
        <v>3</v>
      </c>
      <c r="U38" s="4">
        <v>13.02</v>
      </c>
      <c r="V38" s="4">
        <v>5.93</v>
      </c>
      <c r="W38" s="4">
        <v>2.78</v>
      </c>
      <c r="X38" s="4">
        <v>7.3</v>
      </c>
      <c r="Y38" s="49">
        <v>5.44</v>
      </c>
      <c r="Z38" s="4">
        <v>5.91</v>
      </c>
      <c r="AA38" s="4">
        <v>6.69</v>
      </c>
      <c r="AB38" s="4">
        <v>7.75</v>
      </c>
      <c r="AC38" s="4">
        <v>6.02</v>
      </c>
      <c r="AD38" s="4">
        <v>7.74</v>
      </c>
      <c r="AE38" s="4">
        <v>7.6</v>
      </c>
      <c r="AF38" s="4">
        <v>8.42</v>
      </c>
      <c r="AG38" s="4">
        <v>9.15</v>
      </c>
      <c r="AH38" s="4">
        <v>8.09</v>
      </c>
      <c r="AI38" s="4">
        <v>9.31</v>
      </c>
      <c r="AJ38" s="4">
        <v>9.0500000000000007</v>
      </c>
      <c r="AK38" s="4">
        <v>9.93</v>
      </c>
    </row>
    <row r="39" spans="1:37">
      <c r="A39" t="s">
        <v>1136</v>
      </c>
      <c r="B39" s="4">
        <v>0.13</v>
      </c>
      <c r="C39" s="4">
        <v>0.56999999999999995</v>
      </c>
      <c r="D39" s="4">
        <v>0.86</v>
      </c>
      <c r="E39" s="4">
        <v>0.98</v>
      </c>
      <c r="F39" s="4">
        <v>0.92</v>
      </c>
      <c r="G39" s="4">
        <v>1.58</v>
      </c>
      <c r="H39" s="4">
        <v>1.73</v>
      </c>
      <c r="I39" s="4">
        <v>2.11</v>
      </c>
      <c r="J39" s="4">
        <v>2.5</v>
      </c>
      <c r="K39" s="4">
        <v>2.5099999999999998</v>
      </c>
      <c r="L39" s="4">
        <v>2.81</v>
      </c>
      <c r="M39" s="4">
        <v>3.14</v>
      </c>
      <c r="N39" s="4">
        <v>3.18</v>
      </c>
      <c r="O39" s="4">
        <v>2.85</v>
      </c>
      <c r="P39" s="4">
        <v>3.48</v>
      </c>
      <c r="Q39" s="4">
        <v>3.18</v>
      </c>
      <c r="R39" s="4">
        <v>2.91</v>
      </c>
      <c r="S39" s="4">
        <v>2.4900000000000002</v>
      </c>
      <c r="T39" s="4">
        <v>2.56</v>
      </c>
      <c r="U39" s="4">
        <v>3.84</v>
      </c>
      <c r="V39" s="4">
        <v>4.05</v>
      </c>
      <c r="W39" s="4">
        <v>3.92</v>
      </c>
      <c r="X39" s="4">
        <v>4.2</v>
      </c>
      <c r="Y39" s="49">
        <v>4.29</v>
      </c>
      <c r="Z39" s="4">
        <v>5.91</v>
      </c>
      <c r="AA39" s="4">
        <v>6.28</v>
      </c>
      <c r="AB39" s="4">
        <v>6.74</v>
      </c>
      <c r="AC39" s="4">
        <v>6.54</v>
      </c>
      <c r="AD39" s="4">
        <v>6.74</v>
      </c>
      <c r="AE39" s="4">
        <v>6.85</v>
      </c>
      <c r="AF39" s="4">
        <v>7.03</v>
      </c>
      <c r="AG39" s="4">
        <v>7.25</v>
      </c>
      <c r="AH39" s="4">
        <v>7.3</v>
      </c>
      <c r="AI39" s="4">
        <v>7.45</v>
      </c>
      <c r="AJ39" s="4">
        <v>7.55</v>
      </c>
      <c r="AK39" s="4">
        <v>7.69</v>
      </c>
    </row>
    <row r="40" spans="1:37">
      <c r="A40" t="s">
        <v>1137</v>
      </c>
      <c r="B40" s="4">
        <v>3.31</v>
      </c>
      <c r="C40" s="4">
        <v>3.26</v>
      </c>
      <c r="D40" s="4">
        <v>3.27</v>
      </c>
      <c r="E40" s="4">
        <v>3.28</v>
      </c>
      <c r="F40" s="4">
        <v>3.3</v>
      </c>
      <c r="G40" s="4">
        <v>3.29</v>
      </c>
      <c r="H40" s="4">
        <v>3.3</v>
      </c>
      <c r="I40" s="4">
        <v>3.31</v>
      </c>
      <c r="J40" s="4">
        <v>3.35</v>
      </c>
      <c r="K40" s="4">
        <v>3.37</v>
      </c>
      <c r="L40" s="4">
        <v>3.38</v>
      </c>
      <c r="M40" s="4">
        <v>3.41</v>
      </c>
      <c r="N40" s="4">
        <v>3.69</v>
      </c>
      <c r="O40" s="4">
        <v>3.59</v>
      </c>
      <c r="P40" s="4">
        <v>3.73</v>
      </c>
      <c r="Q40" s="4">
        <v>3.76</v>
      </c>
      <c r="R40" s="4">
        <v>3.82</v>
      </c>
      <c r="S40" s="4">
        <v>3.85</v>
      </c>
      <c r="T40" s="4">
        <v>3.85</v>
      </c>
      <c r="U40" s="4">
        <v>3.86</v>
      </c>
      <c r="V40" s="4">
        <v>3.85</v>
      </c>
      <c r="W40" s="4">
        <v>3.87</v>
      </c>
      <c r="X40" s="4">
        <v>3.87</v>
      </c>
      <c r="Y40" s="49">
        <v>3.88</v>
      </c>
      <c r="Z40" s="4">
        <v>3.93</v>
      </c>
      <c r="AA40" s="4">
        <v>3.82</v>
      </c>
      <c r="AB40" s="4">
        <v>3.87</v>
      </c>
      <c r="AC40" s="4">
        <v>3.87</v>
      </c>
      <c r="AD40" s="4">
        <v>3.89</v>
      </c>
      <c r="AE40" s="4">
        <v>3.9</v>
      </c>
      <c r="AF40" s="4">
        <v>3.93</v>
      </c>
      <c r="AG40" s="4">
        <v>3.95</v>
      </c>
      <c r="AH40" s="4">
        <v>3.95</v>
      </c>
      <c r="AI40" s="4">
        <v>3.97</v>
      </c>
      <c r="AJ40" s="4">
        <v>3.98</v>
      </c>
      <c r="AK40" s="4">
        <v>3.99</v>
      </c>
    </row>
    <row r="41" spans="1:37">
      <c r="A41" t="s">
        <v>1138</v>
      </c>
      <c r="B41" s="4">
        <v>4.24</v>
      </c>
      <c r="C41" s="4">
        <v>4.1500000000000004</v>
      </c>
      <c r="D41" s="4">
        <v>4.0599999999999996</v>
      </c>
      <c r="E41" s="4">
        <v>4.1399999999999997</v>
      </c>
      <c r="F41" s="4">
        <v>4.21</v>
      </c>
      <c r="G41" s="4">
        <v>4.2</v>
      </c>
      <c r="H41" s="4">
        <v>4.21</v>
      </c>
      <c r="I41" s="4">
        <v>4.21</v>
      </c>
      <c r="J41" s="4">
        <v>4.2</v>
      </c>
      <c r="K41" s="4">
        <v>4.21</v>
      </c>
      <c r="L41" s="4">
        <v>4.1900000000000004</v>
      </c>
      <c r="M41" s="4">
        <v>4.17</v>
      </c>
      <c r="N41" s="4">
        <v>4.0999999999999996</v>
      </c>
      <c r="O41" s="4">
        <v>3.93</v>
      </c>
      <c r="P41" s="4">
        <v>3.95</v>
      </c>
      <c r="Q41" s="4">
        <v>3.84</v>
      </c>
      <c r="R41" s="4">
        <v>3.96</v>
      </c>
      <c r="S41" s="4">
        <v>4.09</v>
      </c>
      <c r="T41" s="4">
        <v>4.21</v>
      </c>
      <c r="U41" s="4">
        <v>4.17</v>
      </c>
      <c r="V41" s="4">
        <v>4.0999999999999996</v>
      </c>
      <c r="W41" s="4">
        <v>4.17</v>
      </c>
      <c r="X41" s="4">
        <v>4.16</v>
      </c>
      <c r="Y41" s="49">
        <v>4.18</v>
      </c>
      <c r="Z41" s="4">
        <v>4.2699999999999996</v>
      </c>
      <c r="AA41" s="4">
        <v>4.04</v>
      </c>
      <c r="AB41" s="4">
        <v>4.08</v>
      </c>
      <c r="AC41" s="4">
        <v>4.07</v>
      </c>
      <c r="AD41" s="4">
        <v>4.09</v>
      </c>
      <c r="AE41" s="4">
        <v>4.07</v>
      </c>
      <c r="AF41" s="4">
        <v>4.08</v>
      </c>
      <c r="AG41" s="4">
        <v>4.07</v>
      </c>
      <c r="AH41" s="4">
        <v>4.0599999999999996</v>
      </c>
      <c r="AI41" s="4">
        <v>4.0599999999999996</v>
      </c>
      <c r="AJ41" s="4">
        <v>4.05</v>
      </c>
      <c r="AK41" s="4">
        <v>4.0599999999999996</v>
      </c>
    </row>
    <row r="42" spans="1:37">
      <c r="A42" t="s">
        <v>1139</v>
      </c>
      <c r="B42" s="4">
        <v>5.42</v>
      </c>
      <c r="C42" s="4">
        <v>5.22</v>
      </c>
      <c r="D42" s="4">
        <v>5.26</v>
      </c>
      <c r="E42" s="4">
        <v>5.28</v>
      </c>
      <c r="F42" s="4">
        <v>5.33</v>
      </c>
      <c r="G42" s="4">
        <v>5.27</v>
      </c>
      <c r="H42" s="4">
        <v>5.29</v>
      </c>
      <c r="I42" s="4">
        <v>5.25</v>
      </c>
      <c r="J42" s="4">
        <v>5.25</v>
      </c>
      <c r="K42" s="4">
        <v>5.27</v>
      </c>
      <c r="L42" s="4">
        <v>5.24</v>
      </c>
      <c r="M42" s="4">
        <v>5.25</v>
      </c>
      <c r="N42" s="4">
        <v>5.41</v>
      </c>
      <c r="O42" s="4">
        <v>5.22</v>
      </c>
      <c r="P42" s="4">
        <v>5.31</v>
      </c>
      <c r="Q42" s="4">
        <v>5.34</v>
      </c>
      <c r="R42" s="4">
        <v>5.45</v>
      </c>
      <c r="S42" s="4">
        <v>5.58</v>
      </c>
      <c r="T42" s="4">
        <v>5.63</v>
      </c>
      <c r="U42" s="4">
        <v>5.55</v>
      </c>
      <c r="V42" s="4">
        <v>5.53</v>
      </c>
      <c r="W42" s="4">
        <v>5.6</v>
      </c>
      <c r="X42" s="4">
        <v>5.57</v>
      </c>
      <c r="Y42" s="49">
        <v>5.57</v>
      </c>
      <c r="Z42" s="4">
        <v>5.52</v>
      </c>
      <c r="AA42" s="4">
        <v>5.26</v>
      </c>
      <c r="AB42" s="4">
        <v>5.29</v>
      </c>
      <c r="AC42" s="4">
        <v>5.3</v>
      </c>
      <c r="AD42" s="4">
        <v>5.31</v>
      </c>
      <c r="AE42" s="4">
        <v>5.29</v>
      </c>
      <c r="AF42" s="4">
        <v>5.29</v>
      </c>
      <c r="AG42" s="4">
        <v>5.28</v>
      </c>
      <c r="AH42" s="4">
        <v>5.26</v>
      </c>
      <c r="AI42" s="4">
        <v>5.25</v>
      </c>
      <c r="AJ42" s="4">
        <v>5.24</v>
      </c>
      <c r="AK42" s="4">
        <v>5.23</v>
      </c>
    </row>
    <row r="43" spans="1:37">
      <c r="A43" t="s">
        <v>1140</v>
      </c>
      <c r="B43" s="4">
        <v>111.65</v>
      </c>
      <c r="C43" s="4">
        <v>110.54</v>
      </c>
      <c r="D43" s="4">
        <v>109.93</v>
      </c>
      <c r="E43" s="4">
        <v>110.08</v>
      </c>
      <c r="F43" s="4">
        <v>110.02</v>
      </c>
      <c r="G43" s="4">
        <v>109.64</v>
      </c>
      <c r="H43" s="4">
        <v>109.59</v>
      </c>
      <c r="I43" s="4">
        <v>109.69</v>
      </c>
      <c r="J43" s="4">
        <v>109.71</v>
      </c>
      <c r="K43" s="4">
        <v>109.46</v>
      </c>
      <c r="L43" s="4">
        <v>109.67</v>
      </c>
      <c r="M43" s="4">
        <v>109.88</v>
      </c>
      <c r="N43" s="4">
        <v>107.81</v>
      </c>
      <c r="O43" s="4">
        <v>107.89</v>
      </c>
      <c r="P43" s="4">
        <v>107.77</v>
      </c>
      <c r="Q43" s="4">
        <v>107.62</v>
      </c>
      <c r="R43" s="4">
        <v>108.01</v>
      </c>
      <c r="S43" s="4">
        <v>107.66</v>
      </c>
      <c r="T43" s="4">
        <v>106.64</v>
      </c>
      <c r="U43" s="4">
        <v>106.88</v>
      </c>
      <c r="V43" s="4">
        <v>107.74</v>
      </c>
      <c r="W43" s="4">
        <v>107.99</v>
      </c>
      <c r="X43" s="4">
        <v>107.68</v>
      </c>
      <c r="Y43" s="49">
        <v>107.77</v>
      </c>
      <c r="Z43" s="4">
        <v>108.03</v>
      </c>
      <c r="AA43" s="4">
        <v>108.04</v>
      </c>
      <c r="AB43" s="4">
        <v>108.08</v>
      </c>
      <c r="AC43" s="4">
        <v>108.14</v>
      </c>
      <c r="AD43" s="4">
        <v>108.18</v>
      </c>
      <c r="AE43" s="4">
        <v>108.21</v>
      </c>
      <c r="AF43" s="4">
        <v>108.24</v>
      </c>
      <c r="AG43" s="4">
        <v>108.26</v>
      </c>
      <c r="AH43" s="4">
        <v>108.23</v>
      </c>
      <c r="AI43" s="4">
        <v>108.18</v>
      </c>
      <c r="AJ43" s="4">
        <v>108.16</v>
      </c>
      <c r="AK43" s="4">
        <v>108.16</v>
      </c>
    </row>
    <row r="44" spans="1:37">
      <c r="A44" t="s">
        <v>1141</v>
      </c>
      <c r="B44" s="1">
        <v>77778941</v>
      </c>
      <c r="C44" s="1">
        <v>77035027</v>
      </c>
      <c r="D44" s="1">
        <v>77384950</v>
      </c>
      <c r="E44" s="1">
        <v>76868835</v>
      </c>
      <c r="F44" s="1">
        <v>77403591</v>
      </c>
      <c r="G44" s="1">
        <v>77191315</v>
      </c>
      <c r="H44" s="1">
        <v>77395024</v>
      </c>
      <c r="I44" s="1">
        <v>78161620</v>
      </c>
      <c r="J44" s="1">
        <v>78619552</v>
      </c>
      <c r="K44" s="1">
        <v>79106367</v>
      </c>
      <c r="L44" s="1">
        <v>79428504</v>
      </c>
      <c r="M44" s="1">
        <v>80014441</v>
      </c>
      <c r="N44" s="1">
        <v>85951546</v>
      </c>
      <c r="O44" s="1">
        <v>83796419</v>
      </c>
      <c r="P44" s="1">
        <v>86723971</v>
      </c>
      <c r="Q44" s="1">
        <v>87603128</v>
      </c>
      <c r="R44" s="1">
        <v>89129132</v>
      </c>
      <c r="S44" s="1">
        <v>89791068</v>
      </c>
      <c r="T44" s="1">
        <v>90602777</v>
      </c>
      <c r="U44" s="1">
        <v>91241099</v>
      </c>
      <c r="V44" s="1">
        <v>91489378</v>
      </c>
      <c r="W44" s="1">
        <v>92403916</v>
      </c>
      <c r="X44" s="1">
        <v>92572974</v>
      </c>
      <c r="Y44" s="48">
        <v>92970814</v>
      </c>
      <c r="Z44" s="1">
        <v>97510053</v>
      </c>
      <c r="AA44" s="1">
        <v>94866770</v>
      </c>
      <c r="AB44" s="1">
        <v>96357531</v>
      </c>
      <c r="AC44" s="1">
        <v>96739747</v>
      </c>
      <c r="AD44" s="1">
        <v>97650445</v>
      </c>
      <c r="AE44" s="1">
        <v>98210438</v>
      </c>
      <c r="AF44" s="1">
        <v>99179102</v>
      </c>
      <c r="AG44" s="1">
        <v>100091911</v>
      </c>
      <c r="AH44" s="1">
        <v>100722178</v>
      </c>
      <c r="AI44" s="1">
        <v>101556776</v>
      </c>
      <c r="AJ44" s="1">
        <v>102059244</v>
      </c>
      <c r="AK44" s="1">
        <v>102709927</v>
      </c>
    </row>
    <row r="45" spans="1:37">
      <c r="A45" t="s">
        <v>1142</v>
      </c>
      <c r="B45" s="4">
        <v>2.4500000000000002</v>
      </c>
      <c r="C45" s="4">
        <v>2.33</v>
      </c>
      <c r="D45" s="4">
        <v>2.36</v>
      </c>
      <c r="E45" s="4">
        <v>2.37</v>
      </c>
      <c r="F45" s="4">
        <v>2.4</v>
      </c>
      <c r="G45" s="4">
        <v>2.4</v>
      </c>
      <c r="H45" s="4">
        <v>2.42</v>
      </c>
      <c r="I45" s="4">
        <v>2.42</v>
      </c>
      <c r="J45" s="4">
        <v>2.41</v>
      </c>
      <c r="K45" s="4">
        <v>2.4</v>
      </c>
      <c r="L45" s="4">
        <v>2.39</v>
      </c>
      <c r="M45" s="4">
        <v>2.39</v>
      </c>
      <c r="N45" s="4">
        <v>2.23</v>
      </c>
      <c r="O45" s="4">
        <v>2.09</v>
      </c>
      <c r="P45" s="4">
        <v>2.09</v>
      </c>
      <c r="Q45" s="4">
        <v>2.0699999999999998</v>
      </c>
      <c r="R45" s="4">
        <v>2.11</v>
      </c>
      <c r="S45" s="4">
        <v>2.17</v>
      </c>
      <c r="T45" s="4">
        <v>2.2200000000000002</v>
      </c>
      <c r="U45" s="4">
        <v>2.25</v>
      </c>
      <c r="V45" s="4">
        <v>2.2799999999999998</v>
      </c>
      <c r="W45" s="4">
        <v>2.31</v>
      </c>
      <c r="X45" s="4">
        <v>2.2999999999999998</v>
      </c>
      <c r="Y45" s="49">
        <v>2.31</v>
      </c>
      <c r="Z45" s="4">
        <v>2.34</v>
      </c>
      <c r="AA45" s="4">
        <v>2.2000000000000002</v>
      </c>
      <c r="AB45" s="4">
        <v>2.23</v>
      </c>
      <c r="AC45" s="4">
        <v>2.2200000000000002</v>
      </c>
      <c r="AD45" s="4">
        <v>2.23</v>
      </c>
      <c r="AE45" s="4">
        <v>2.21</v>
      </c>
      <c r="AF45" s="4">
        <v>2.2000000000000002</v>
      </c>
      <c r="AG45" s="4">
        <v>2.19</v>
      </c>
      <c r="AH45" s="4">
        <v>2.17</v>
      </c>
      <c r="AI45" s="4">
        <v>2.15</v>
      </c>
      <c r="AJ45" s="4">
        <v>2.14</v>
      </c>
      <c r="AK45" s="4">
        <v>2.13</v>
      </c>
    </row>
    <row r="46" spans="1:37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9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>
      <c r="A47" t="s">
        <v>1143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9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>
      <c r="A48" t="s">
        <v>1144</v>
      </c>
      <c r="B48" s="4">
        <v>91.8</v>
      </c>
      <c r="C48" s="4">
        <v>89.54</v>
      </c>
      <c r="D48" s="4">
        <v>88.59</v>
      </c>
      <c r="E48" s="4">
        <v>88.91</v>
      </c>
      <c r="F48" s="4">
        <v>88.25</v>
      </c>
      <c r="G48" s="4">
        <v>88.2</v>
      </c>
      <c r="H48" s="4">
        <v>88.78</v>
      </c>
      <c r="I48" s="4">
        <v>88.35</v>
      </c>
      <c r="J48" s="4">
        <v>88.77</v>
      </c>
      <c r="K48" s="4">
        <v>88.45</v>
      </c>
      <c r="L48" s="4">
        <v>88.56</v>
      </c>
      <c r="M48" s="4">
        <v>88.39</v>
      </c>
      <c r="N48" s="4">
        <v>87.79</v>
      </c>
      <c r="O48" s="4">
        <v>87.69</v>
      </c>
      <c r="P48" s="4">
        <v>88.28</v>
      </c>
      <c r="Q48" s="4">
        <v>89.42</v>
      </c>
      <c r="R48" s="4">
        <v>89.58</v>
      </c>
      <c r="S48" s="4">
        <v>89.38</v>
      </c>
      <c r="T48" s="4">
        <v>87.23</v>
      </c>
      <c r="U48" s="4">
        <v>86.73</v>
      </c>
      <c r="V48" s="4">
        <v>85.44</v>
      </c>
      <c r="W48" s="4">
        <v>87.9</v>
      </c>
      <c r="X48" s="4">
        <v>87</v>
      </c>
      <c r="Y48" s="49">
        <v>88.5</v>
      </c>
      <c r="Z48" s="4">
        <v>88.65</v>
      </c>
      <c r="AA48" s="4">
        <v>88.97</v>
      </c>
      <c r="AB48" s="4">
        <v>89.21</v>
      </c>
      <c r="AC48" s="4">
        <v>89.75</v>
      </c>
      <c r="AD48" s="4">
        <v>90.17</v>
      </c>
      <c r="AE48" s="4">
        <v>90.6</v>
      </c>
      <c r="AF48" s="4">
        <v>91.04</v>
      </c>
      <c r="AG48" s="4">
        <v>91.27</v>
      </c>
      <c r="AH48" s="4">
        <v>91.28</v>
      </c>
      <c r="AI48" s="4">
        <v>91.26</v>
      </c>
      <c r="AJ48" s="4">
        <v>91.19</v>
      </c>
      <c r="AK48" s="4">
        <v>91.12</v>
      </c>
    </row>
    <row r="49" spans="1:37">
      <c r="A49" t="s">
        <v>1145</v>
      </c>
      <c r="B49" s="4">
        <v>78.52</v>
      </c>
      <c r="C49" s="4">
        <v>77.290000000000006</v>
      </c>
      <c r="D49" s="4">
        <v>76.900000000000006</v>
      </c>
      <c r="E49" s="4">
        <v>78.16</v>
      </c>
      <c r="F49" s="4">
        <v>78.06</v>
      </c>
      <c r="G49" s="4">
        <v>78.040000000000006</v>
      </c>
      <c r="H49" s="4">
        <v>78.349999999999994</v>
      </c>
      <c r="I49" s="4">
        <v>77.23</v>
      </c>
      <c r="J49" s="4">
        <v>77.819999999999993</v>
      </c>
      <c r="K49" s="4">
        <v>77.98</v>
      </c>
      <c r="L49" s="4">
        <v>77.8</v>
      </c>
      <c r="M49" s="4">
        <v>78.27</v>
      </c>
      <c r="N49" s="4">
        <v>77.53</v>
      </c>
      <c r="O49" s="4">
        <v>77.650000000000006</v>
      </c>
      <c r="P49" s="4">
        <v>78.400000000000006</v>
      </c>
      <c r="Q49" s="4">
        <v>78.599999999999994</v>
      </c>
      <c r="R49" s="4">
        <v>78.569999999999993</v>
      </c>
      <c r="S49" s="4">
        <v>78.87</v>
      </c>
      <c r="T49" s="4">
        <v>77.64</v>
      </c>
      <c r="U49" s="4">
        <v>76.83</v>
      </c>
      <c r="V49" s="4">
        <v>75.73</v>
      </c>
      <c r="W49" s="4">
        <v>77.91</v>
      </c>
      <c r="X49" s="4">
        <v>77.89</v>
      </c>
      <c r="Y49" s="49">
        <v>78.2</v>
      </c>
      <c r="Z49" s="4">
        <v>78.290000000000006</v>
      </c>
      <c r="AA49" s="4">
        <v>78.55</v>
      </c>
      <c r="AB49" s="4">
        <v>78.73</v>
      </c>
      <c r="AC49" s="4">
        <v>79.180000000000007</v>
      </c>
      <c r="AD49" s="4">
        <v>79.540000000000006</v>
      </c>
      <c r="AE49" s="4">
        <v>79.91</v>
      </c>
      <c r="AF49" s="4">
        <v>80.3</v>
      </c>
      <c r="AG49" s="4">
        <v>80.510000000000005</v>
      </c>
      <c r="AH49" s="4">
        <v>80.53</v>
      </c>
      <c r="AI49" s="4">
        <v>80.52</v>
      </c>
      <c r="AJ49" s="4">
        <v>80.47</v>
      </c>
      <c r="AK49" s="4">
        <v>80.41</v>
      </c>
    </row>
    <row r="50" spans="1:37">
      <c r="A50" t="s">
        <v>1146</v>
      </c>
      <c r="B50" s="4">
        <v>85.54</v>
      </c>
      <c r="C50" s="4">
        <v>86.33</v>
      </c>
      <c r="D50" s="4">
        <v>86.8</v>
      </c>
      <c r="E50" s="4">
        <v>87.91</v>
      </c>
      <c r="F50" s="4">
        <v>88.46</v>
      </c>
      <c r="G50" s="4">
        <v>88.48</v>
      </c>
      <c r="H50" s="4">
        <v>88.25</v>
      </c>
      <c r="I50" s="4">
        <v>87.42</v>
      </c>
      <c r="J50" s="4">
        <v>87.67</v>
      </c>
      <c r="K50" s="4">
        <v>88.17</v>
      </c>
      <c r="L50" s="4">
        <v>87.85</v>
      </c>
      <c r="M50" s="4">
        <v>88.54</v>
      </c>
      <c r="N50" s="4">
        <v>88.32</v>
      </c>
      <c r="O50" s="4">
        <v>88.56</v>
      </c>
      <c r="P50" s="4">
        <v>88.82</v>
      </c>
      <c r="Q50" s="4">
        <v>87.91</v>
      </c>
      <c r="R50" s="4">
        <v>87.71</v>
      </c>
      <c r="S50" s="4">
        <v>88.24</v>
      </c>
      <c r="T50" s="4">
        <v>89.01</v>
      </c>
      <c r="U50" s="4">
        <v>88.59</v>
      </c>
      <c r="V50" s="4">
        <v>88.63</v>
      </c>
      <c r="W50" s="4">
        <v>88.63</v>
      </c>
      <c r="X50" s="4">
        <v>89.53</v>
      </c>
      <c r="Y50" s="49">
        <v>88.36</v>
      </c>
      <c r="Z50" s="4">
        <v>88.31</v>
      </c>
      <c r="AA50" s="4">
        <v>88.29</v>
      </c>
      <c r="AB50" s="4">
        <v>88.26</v>
      </c>
      <c r="AC50" s="4">
        <v>88.22</v>
      </c>
      <c r="AD50" s="4">
        <v>88.21</v>
      </c>
      <c r="AE50" s="4">
        <v>88.2</v>
      </c>
      <c r="AF50" s="4">
        <v>88.2</v>
      </c>
      <c r="AG50" s="4">
        <v>88.21</v>
      </c>
      <c r="AH50" s="4">
        <v>88.22</v>
      </c>
      <c r="AI50" s="4">
        <v>88.23</v>
      </c>
      <c r="AJ50" s="4">
        <v>88.24</v>
      </c>
      <c r="AK50" s="4">
        <v>88.24</v>
      </c>
    </row>
    <row r="51" spans="1:37">
      <c r="A51" t="s">
        <v>1147</v>
      </c>
      <c r="B51" s="4">
        <v>95.64</v>
      </c>
      <c r="C51" s="4">
        <v>97.74</v>
      </c>
      <c r="D51" s="4">
        <v>96.67</v>
      </c>
      <c r="E51" s="4">
        <v>95.89</v>
      </c>
      <c r="F51" s="4">
        <v>96.26</v>
      </c>
      <c r="G51" s="4">
        <v>96.08</v>
      </c>
      <c r="H51" s="4">
        <v>95.9</v>
      </c>
      <c r="I51" s="4">
        <v>96.57</v>
      </c>
      <c r="J51" s="4">
        <v>95.49</v>
      </c>
      <c r="K51" s="4">
        <v>96.5</v>
      </c>
      <c r="L51" s="4">
        <v>96.04</v>
      </c>
      <c r="M51" s="4">
        <v>95.6</v>
      </c>
      <c r="N51" s="4">
        <v>96.46</v>
      </c>
      <c r="O51" s="4">
        <v>95.71</v>
      </c>
      <c r="P51" s="4">
        <v>95.74</v>
      </c>
      <c r="Q51" s="4">
        <v>96.34</v>
      </c>
      <c r="R51" s="4">
        <v>95.94</v>
      </c>
      <c r="S51" s="4">
        <v>95.6</v>
      </c>
      <c r="T51" s="4">
        <v>97.33</v>
      </c>
      <c r="U51" s="4">
        <v>96.35</v>
      </c>
      <c r="V51" s="4">
        <v>96.19</v>
      </c>
      <c r="W51" s="4">
        <v>95.47</v>
      </c>
      <c r="X51" s="4">
        <v>95.3</v>
      </c>
      <c r="Y51" s="49">
        <v>94.94</v>
      </c>
      <c r="Z51" s="4">
        <v>94.99</v>
      </c>
      <c r="AA51" s="4">
        <v>94.96</v>
      </c>
      <c r="AB51" s="4">
        <v>94.86</v>
      </c>
      <c r="AC51" s="4">
        <v>94.78</v>
      </c>
      <c r="AD51" s="4">
        <v>94.69</v>
      </c>
      <c r="AE51" s="4">
        <v>94.65</v>
      </c>
      <c r="AF51" s="4">
        <v>94.63</v>
      </c>
      <c r="AG51" s="4">
        <v>94.57</v>
      </c>
      <c r="AH51" s="4">
        <v>94.6</v>
      </c>
      <c r="AI51" s="4">
        <v>94.63</v>
      </c>
      <c r="AJ51" s="4">
        <v>94.62</v>
      </c>
      <c r="AK51" s="4">
        <v>94.55</v>
      </c>
    </row>
    <row r="52" spans="1:37">
      <c r="A52" t="s">
        <v>1148</v>
      </c>
      <c r="B52" s="4">
        <v>8.64</v>
      </c>
      <c r="C52" s="4">
        <v>8.02</v>
      </c>
      <c r="D52" s="4">
        <v>7.09</v>
      </c>
      <c r="E52" s="4">
        <v>6.45</v>
      </c>
      <c r="F52" s="4">
        <v>5.61</v>
      </c>
      <c r="G52" s="4">
        <v>5.3</v>
      </c>
      <c r="H52" s="4">
        <v>5.42</v>
      </c>
      <c r="I52" s="4">
        <v>6.02</v>
      </c>
      <c r="J52" s="4">
        <v>5.64</v>
      </c>
      <c r="K52" s="4">
        <v>5.49</v>
      </c>
      <c r="L52" s="4">
        <v>5.54</v>
      </c>
      <c r="M52" s="4">
        <v>5.08</v>
      </c>
      <c r="N52" s="4">
        <v>5.48</v>
      </c>
      <c r="O52" s="4">
        <v>4.8499999999999996</v>
      </c>
      <c r="P52" s="4">
        <v>4.5999999999999996</v>
      </c>
      <c r="Q52" s="4">
        <v>5.57</v>
      </c>
      <c r="R52" s="4">
        <v>5.73</v>
      </c>
      <c r="S52" s="4">
        <v>5.04</v>
      </c>
      <c r="T52" s="4">
        <v>4.28</v>
      </c>
      <c r="U52" s="4">
        <v>4.25</v>
      </c>
      <c r="V52" s="4">
        <v>4.2</v>
      </c>
      <c r="W52" s="4">
        <v>4.17</v>
      </c>
      <c r="X52" s="4">
        <v>3.07</v>
      </c>
      <c r="Y52" s="49">
        <v>4.1500000000000004</v>
      </c>
      <c r="Z52" s="4">
        <v>4.13</v>
      </c>
      <c r="AA52" s="4">
        <v>4.1100000000000003</v>
      </c>
      <c r="AB52" s="4">
        <v>4.09</v>
      </c>
      <c r="AC52" s="4">
        <v>4.07</v>
      </c>
      <c r="AD52" s="4">
        <v>4.04</v>
      </c>
      <c r="AE52" s="4">
        <v>4.0199999999999996</v>
      </c>
      <c r="AF52" s="4">
        <v>3.99</v>
      </c>
      <c r="AG52" s="4">
        <v>3.95</v>
      </c>
      <c r="AH52" s="4">
        <v>3.92</v>
      </c>
      <c r="AI52" s="4">
        <v>3.89</v>
      </c>
      <c r="AJ52" s="4">
        <v>3.87</v>
      </c>
      <c r="AK52" s="4">
        <v>3.84</v>
      </c>
    </row>
    <row r="53" spans="1:37">
      <c r="A53" t="s">
        <v>1149</v>
      </c>
      <c r="B53" s="4">
        <v>7.84</v>
      </c>
      <c r="C53" s="4">
        <v>8.25</v>
      </c>
      <c r="D53" s="4">
        <v>8.44</v>
      </c>
      <c r="E53" s="4">
        <v>8.42</v>
      </c>
      <c r="F53" s="4">
        <v>8.49</v>
      </c>
      <c r="G53" s="4">
        <v>8.5399999999999991</v>
      </c>
      <c r="H53" s="4">
        <v>8.4499999999999993</v>
      </c>
      <c r="I53" s="4">
        <v>8.41</v>
      </c>
      <c r="J53" s="4">
        <v>8.39</v>
      </c>
      <c r="K53" s="4">
        <v>8.3000000000000007</v>
      </c>
      <c r="L53" s="4">
        <v>8.24</v>
      </c>
      <c r="M53" s="4">
        <v>8.23</v>
      </c>
      <c r="N53" s="4">
        <v>7.72</v>
      </c>
      <c r="O53" s="4">
        <v>7.91</v>
      </c>
      <c r="P53" s="4">
        <v>7.97</v>
      </c>
      <c r="Q53" s="4">
        <v>7.8</v>
      </c>
      <c r="R53" s="4">
        <v>8.4600000000000009</v>
      </c>
      <c r="S53" s="4">
        <v>9.65</v>
      </c>
      <c r="T53" s="4">
        <v>10.48</v>
      </c>
      <c r="U53" s="4">
        <v>10.88</v>
      </c>
      <c r="V53" s="4">
        <v>11.12</v>
      </c>
      <c r="W53" s="4">
        <v>11.63</v>
      </c>
      <c r="X53" s="4">
        <v>11.33</v>
      </c>
      <c r="Y53" s="49">
        <v>11.05</v>
      </c>
      <c r="Z53" s="4">
        <v>8.2200000000000006</v>
      </c>
      <c r="AA53" s="4">
        <v>8.33</v>
      </c>
      <c r="AB53" s="4">
        <v>8.15</v>
      </c>
      <c r="AC53" s="4">
        <v>8.06</v>
      </c>
      <c r="AD53" s="4">
        <v>7.94</v>
      </c>
      <c r="AE53" s="4">
        <v>7.82</v>
      </c>
      <c r="AF53" s="4">
        <v>7.69</v>
      </c>
      <c r="AG53" s="4">
        <v>7.57</v>
      </c>
      <c r="AH53" s="4">
        <v>7.47</v>
      </c>
      <c r="AI53" s="4">
        <v>7.38</v>
      </c>
      <c r="AJ53" s="4">
        <v>7.32</v>
      </c>
      <c r="AK53" s="4">
        <v>7.24</v>
      </c>
    </row>
    <row r="54" spans="1:37">
      <c r="A54" t="s">
        <v>1150</v>
      </c>
      <c r="B54" s="4">
        <v>92.16</v>
      </c>
      <c r="C54" s="4">
        <v>91.75</v>
      </c>
      <c r="D54" s="4">
        <v>91.56</v>
      </c>
      <c r="E54" s="4">
        <v>91.57</v>
      </c>
      <c r="F54" s="4">
        <v>91.51</v>
      </c>
      <c r="G54" s="4">
        <v>91.46</v>
      </c>
      <c r="H54" s="4">
        <v>91.54</v>
      </c>
      <c r="I54" s="4">
        <v>91.59</v>
      </c>
      <c r="J54" s="4">
        <v>91.61</v>
      </c>
      <c r="K54" s="4">
        <v>91.7</v>
      </c>
      <c r="L54" s="4">
        <v>91.76</v>
      </c>
      <c r="M54" s="4">
        <v>91.77</v>
      </c>
      <c r="N54" s="4">
        <v>92.28</v>
      </c>
      <c r="O54" s="4">
        <v>92.09</v>
      </c>
      <c r="P54" s="4">
        <v>92.03</v>
      </c>
      <c r="Q54" s="4">
        <v>92.2</v>
      </c>
      <c r="R54" s="4">
        <v>91.54</v>
      </c>
      <c r="S54" s="4">
        <v>90.35</v>
      </c>
      <c r="T54" s="4">
        <v>89.52</v>
      </c>
      <c r="U54" s="4">
        <v>89.12</v>
      </c>
      <c r="V54" s="4">
        <v>88.88</v>
      </c>
      <c r="W54" s="4">
        <v>88.37</v>
      </c>
      <c r="X54" s="4">
        <v>88.66</v>
      </c>
      <c r="Y54" s="49">
        <v>88.95</v>
      </c>
      <c r="Z54" s="4">
        <v>91.78</v>
      </c>
      <c r="AA54" s="4">
        <v>91.67</v>
      </c>
      <c r="AB54" s="4">
        <v>91.85</v>
      </c>
      <c r="AC54" s="4">
        <v>91.94</v>
      </c>
      <c r="AD54" s="4">
        <v>92.06</v>
      </c>
      <c r="AE54" s="4">
        <v>92.18</v>
      </c>
      <c r="AF54" s="4">
        <v>92.31</v>
      </c>
      <c r="AG54" s="4">
        <v>92.43</v>
      </c>
      <c r="AH54" s="4">
        <v>92.53</v>
      </c>
      <c r="AI54" s="4">
        <v>92.62</v>
      </c>
      <c r="AJ54" s="4">
        <v>92.68</v>
      </c>
      <c r="AK54" s="4">
        <v>92.76</v>
      </c>
    </row>
    <row r="55" spans="1:37">
      <c r="A55" t="s">
        <v>1151</v>
      </c>
      <c r="B55" s="4">
        <v>10.43</v>
      </c>
      <c r="C55" s="4">
        <v>9.5399999999999991</v>
      </c>
      <c r="D55" s="4">
        <v>9.0399999999999991</v>
      </c>
      <c r="E55" s="4">
        <v>9.15</v>
      </c>
      <c r="F55" s="4">
        <v>9.1</v>
      </c>
      <c r="G55" s="4">
        <v>8.7899999999999991</v>
      </c>
      <c r="H55" s="4">
        <v>8.75</v>
      </c>
      <c r="I55" s="4">
        <v>8.84</v>
      </c>
      <c r="J55" s="4">
        <v>8.85</v>
      </c>
      <c r="K55" s="4">
        <v>8.65</v>
      </c>
      <c r="L55" s="4">
        <v>8.82</v>
      </c>
      <c r="M55" s="4">
        <v>8.99</v>
      </c>
      <c r="N55" s="4">
        <v>7.25</v>
      </c>
      <c r="O55" s="4">
        <v>7.32</v>
      </c>
      <c r="P55" s="4">
        <v>7.21</v>
      </c>
      <c r="Q55" s="4">
        <v>7.08</v>
      </c>
      <c r="R55" s="4">
        <v>7.42</v>
      </c>
      <c r="S55" s="4">
        <v>7.12</v>
      </c>
      <c r="T55" s="4">
        <v>6.23</v>
      </c>
      <c r="U55" s="4">
        <v>6.43</v>
      </c>
      <c r="V55" s="4">
        <v>7.18</v>
      </c>
      <c r="W55" s="4">
        <v>7.4</v>
      </c>
      <c r="X55" s="4">
        <v>7.13</v>
      </c>
      <c r="Y55" s="49">
        <v>7.21</v>
      </c>
      <c r="Z55" s="4">
        <v>7.43</v>
      </c>
      <c r="AA55" s="4">
        <v>7.44</v>
      </c>
      <c r="AB55" s="4">
        <v>7.48</v>
      </c>
      <c r="AC55" s="4">
        <v>7.53</v>
      </c>
      <c r="AD55" s="4">
        <v>7.57</v>
      </c>
      <c r="AE55" s="4">
        <v>7.58</v>
      </c>
      <c r="AF55" s="4">
        <v>7.61</v>
      </c>
      <c r="AG55" s="4">
        <v>7.63</v>
      </c>
      <c r="AH55" s="4">
        <v>7.6</v>
      </c>
      <c r="AI55" s="4">
        <v>7.56</v>
      </c>
      <c r="AJ55" s="4">
        <v>7.55</v>
      </c>
      <c r="AK55" s="4">
        <v>7.55</v>
      </c>
    </row>
    <row r="56" spans="1:37">
      <c r="A56" t="s">
        <v>1152</v>
      </c>
      <c r="B56" s="4">
        <v>35.47</v>
      </c>
      <c r="C56" s="4">
        <v>47.13</v>
      </c>
      <c r="D56" s="4">
        <v>73.14</v>
      </c>
      <c r="E56" s="4">
        <v>31.04</v>
      </c>
      <c r="F56" s="4">
        <v>31.28</v>
      </c>
      <c r="G56" s="4">
        <v>0</v>
      </c>
      <c r="H56" s="4">
        <v>31.38</v>
      </c>
      <c r="I56" s="4">
        <v>47.91</v>
      </c>
      <c r="J56" s="4">
        <v>39.549999999999997</v>
      </c>
      <c r="K56" s="4">
        <v>28.76</v>
      </c>
      <c r="L56" s="4">
        <v>28.19</v>
      </c>
      <c r="M56" s="4">
        <v>23.4</v>
      </c>
      <c r="N56" s="4">
        <v>26.42</v>
      </c>
      <c r="O56" s="4">
        <v>41.21</v>
      </c>
      <c r="P56" s="4">
        <v>47.69</v>
      </c>
      <c r="Q56" s="4">
        <v>36.35</v>
      </c>
      <c r="R56" s="4">
        <v>28.67</v>
      </c>
      <c r="S56" s="4">
        <v>27.53</v>
      </c>
      <c r="T56" s="4">
        <v>29.72</v>
      </c>
      <c r="U56" s="4">
        <v>88.84</v>
      </c>
      <c r="V56" s="4">
        <v>0</v>
      </c>
      <c r="W56" s="4">
        <v>0</v>
      </c>
      <c r="X56" s="4">
        <v>0</v>
      </c>
      <c r="Y56" s="49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</row>
    <row r="57" spans="1:37">
      <c r="A57" t="s">
        <v>1153</v>
      </c>
      <c r="B57" s="4">
        <v>22.01</v>
      </c>
      <c r="C57" s="4">
        <v>23.14</v>
      </c>
      <c r="D57" s="4">
        <v>26.81</v>
      </c>
      <c r="E57" s="4">
        <v>20.84</v>
      </c>
      <c r="F57" s="4">
        <v>21.16</v>
      </c>
      <c r="G57" s="4">
        <v>0</v>
      </c>
      <c r="H57" s="4">
        <v>21.2</v>
      </c>
      <c r="I57" s="4">
        <v>24.63</v>
      </c>
      <c r="J57" s="4">
        <v>22.53</v>
      </c>
      <c r="K57" s="4">
        <v>20.63</v>
      </c>
      <c r="L57" s="4">
        <v>20.82</v>
      </c>
      <c r="M57" s="4">
        <v>19.399999999999999</v>
      </c>
      <c r="N57" s="4">
        <v>20.28</v>
      </c>
      <c r="O57" s="4">
        <v>22.81</v>
      </c>
      <c r="P57" s="4">
        <v>22.73</v>
      </c>
      <c r="Q57" s="4">
        <v>21.8</v>
      </c>
      <c r="R57" s="4">
        <v>20.53</v>
      </c>
      <c r="S57" s="4">
        <v>20.11</v>
      </c>
      <c r="T57" s="4">
        <v>20.13</v>
      </c>
      <c r="U57" s="4">
        <v>33.299999999999997</v>
      </c>
      <c r="V57" s="4">
        <v>0</v>
      </c>
      <c r="W57" s="4">
        <v>0</v>
      </c>
      <c r="X57" s="4">
        <v>0</v>
      </c>
      <c r="Y57" s="49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</row>
    <row r="58" spans="1:37">
      <c r="A58" t="s">
        <v>1154</v>
      </c>
      <c r="B58" s="4">
        <v>33.42</v>
      </c>
      <c r="C58" s="4">
        <v>33.46</v>
      </c>
      <c r="D58" s="4">
        <v>36.28</v>
      </c>
      <c r="E58" s="4">
        <v>27.7</v>
      </c>
      <c r="F58" s="4">
        <v>33.119999999999997</v>
      </c>
      <c r="G58" s="4">
        <v>0</v>
      </c>
      <c r="H58" s="4">
        <v>32.14</v>
      </c>
      <c r="I58" s="4">
        <v>35.53</v>
      </c>
      <c r="J58" s="4">
        <v>34.369999999999997</v>
      </c>
      <c r="K58" s="4">
        <v>33.200000000000003</v>
      </c>
      <c r="L58" s="4">
        <v>35.659999999999997</v>
      </c>
      <c r="M58" s="4">
        <v>34.619999999999997</v>
      </c>
      <c r="N58" s="4">
        <v>31.65</v>
      </c>
      <c r="O58" s="4">
        <v>36.94</v>
      </c>
      <c r="P58" s="4">
        <v>35.6</v>
      </c>
      <c r="Q58" s="4">
        <v>35.229999999999997</v>
      </c>
      <c r="R58" s="4">
        <v>31.58</v>
      </c>
      <c r="S58" s="4">
        <v>35.39</v>
      </c>
      <c r="T58" s="4">
        <v>31.02</v>
      </c>
      <c r="U58" s="4">
        <v>46.26</v>
      </c>
      <c r="V58" s="4">
        <v>0</v>
      </c>
      <c r="W58" s="4">
        <v>0</v>
      </c>
      <c r="X58" s="4">
        <v>0</v>
      </c>
      <c r="Y58" s="49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</row>
    <row r="59" spans="1:37">
      <c r="A59" t="s">
        <v>1155</v>
      </c>
      <c r="B59" s="4">
        <v>28.03</v>
      </c>
      <c r="C59" s="4">
        <v>27.7</v>
      </c>
      <c r="D59" s="4">
        <v>30</v>
      </c>
      <c r="E59" s="4">
        <v>25.22</v>
      </c>
      <c r="F59" s="4">
        <v>27.76</v>
      </c>
      <c r="G59" s="4">
        <v>0</v>
      </c>
      <c r="H59" s="4">
        <v>27.36</v>
      </c>
      <c r="I59" s="4">
        <v>29.13</v>
      </c>
      <c r="J59" s="4">
        <v>28.24</v>
      </c>
      <c r="K59" s="4">
        <v>27.6</v>
      </c>
      <c r="L59" s="4">
        <v>28.85</v>
      </c>
      <c r="M59" s="4">
        <v>28.15</v>
      </c>
      <c r="N59" s="4">
        <v>26.91</v>
      </c>
      <c r="O59" s="4">
        <v>28.92</v>
      </c>
      <c r="P59" s="4">
        <v>28.16</v>
      </c>
      <c r="Q59" s="4">
        <v>28.21</v>
      </c>
      <c r="R59" s="4">
        <v>26.7</v>
      </c>
      <c r="S59" s="4">
        <v>28.26</v>
      </c>
      <c r="T59" s="4">
        <v>26.09</v>
      </c>
      <c r="U59" s="4">
        <v>37.049999999999997</v>
      </c>
      <c r="V59" s="4">
        <v>0</v>
      </c>
      <c r="W59" s="4">
        <v>0</v>
      </c>
      <c r="X59" s="4">
        <v>0</v>
      </c>
      <c r="Y59" s="49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</row>
    <row r="60" spans="1:37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9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>
      <c r="A61" t="s">
        <v>1156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9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>
      <c r="A62" t="s">
        <v>1157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9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>
      <c r="A63" t="s">
        <v>1158</v>
      </c>
      <c r="B63" s="4">
        <v>6.41</v>
      </c>
      <c r="C63" s="4">
        <v>6.25</v>
      </c>
      <c r="D63" s="4">
        <v>6.32</v>
      </c>
      <c r="E63" s="4">
        <v>6.3</v>
      </c>
      <c r="F63" s="4">
        <v>6.36</v>
      </c>
      <c r="G63" s="4">
        <v>6.34</v>
      </c>
      <c r="H63" s="4">
        <v>6.38</v>
      </c>
      <c r="I63" s="4">
        <v>6.42</v>
      </c>
      <c r="J63" s="4">
        <v>6.43</v>
      </c>
      <c r="K63" s="4">
        <v>6.46</v>
      </c>
      <c r="L63" s="4">
        <v>6.46</v>
      </c>
      <c r="M63" s="4">
        <v>6.49</v>
      </c>
      <c r="N63" s="4">
        <v>6.72</v>
      </c>
      <c r="O63" s="4">
        <v>6.44</v>
      </c>
      <c r="P63" s="4">
        <v>6.57</v>
      </c>
      <c r="Q63" s="4">
        <v>6.59</v>
      </c>
      <c r="R63" s="4">
        <v>6.64</v>
      </c>
      <c r="S63" s="4">
        <v>6.65</v>
      </c>
      <c r="T63" s="4">
        <v>6.7</v>
      </c>
      <c r="U63" s="4">
        <v>6.75</v>
      </c>
      <c r="V63" s="4">
        <v>6.78</v>
      </c>
      <c r="W63" s="4">
        <v>6.7</v>
      </c>
      <c r="X63" s="4">
        <v>6.72</v>
      </c>
      <c r="Y63" s="49">
        <v>6.75</v>
      </c>
      <c r="Z63" s="4">
        <v>7.04</v>
      </c>
      <c r="AA63" s="4">
        <v>6.74</v>
      </c>
      <c r="AB63" s="4">
        <v>6.83</v>
      </c>
      <c r="AC63" s="4">
        <v>6.82</v>
      </c>
      <c r="AD63" s="4">
        <v>6.84</v>
      </c>
      <c r="AE63" s="4">
        <v>6.83</v>
      </c>
      <c r="AF63" s="4">
        <v>6.83</v>
      </c>
      <c r="AG63" s="4">
        <v>6.85</v>
      </c>
      <c r="AH63" s="4">
        <v>6.84</v>
      </c>
      <c r="AI63" s="4">
        <v>6.85</v>
      </c>
      <c r="AJ63" s="4">
        <v>6.85</v>
      </c>
      <c r="AK63" s="4">
        <v>6.87</v>
      </c>
    </row>
    <row r="64" spans="1:37">
      <c r="A64" t="s">
        <v>1159</v>
      </c>
      <c r="B64" s="4">
        <v>5.57</v>
      </c>
      <c r="C64" s="4">
        <v>5.46</v>
      </c>
      <c r="D64" s="4">
        <v>5.5</v>
      </c>
      <c r="E64" s="4">
        <v>5.49</v>
      </c>
      <c r="F64" s="4">
        <v>5.56</v>
      </c>
      <c r="G64" s="4">
        <v>5.55</v>
      </c>
      <c r="H64" s="4">
        <v>5.58</v>
      </c>
      <c r="I64" s="4">
        <v>5.6</v>
      </c>
      <c r="J64" s="4">
        <v>5.61</v>
      </c>
      <c r="K64" s="4">
        <v>5.65</v>
      </c>
      <c r="L64" s="4">
        <v>5.64</v>
      </c>
      <c r="M64" s="4">
        <v>5.65</v>
      </c>
      <c r="N64" s="4">
        <v>5.82</v>
      </c>
      <c r="O64" s="4">
        <v>5.59</v>
      </c>
      <c r="P64" s="4">
        <v>5.73</v>
      </c>
      <c r="Q64" s="4">
        <v>5.76</v>
      </c>
      <c r="R64" s="4">
        <v>5.84</v>
      </c>
      <c r="S64" s="4">
        <v>5.93</v>
      </c>
      <c r="T64" s="4">
        <v>6.04</v>
      </c>
      <c r="U64" s="4">
        <v>6.05</v>
      </c>
      <c r="V64" s="4">
        <v>6.05</v>
      </c>
      <c r="W64" s="4">
        <v>6.08</v>
      </c>
      <c r="X64" s="4">
        <v>6.07</v>
      </c>
      <c r="Y64" s="49">
        <v>6.08</v>
      </c>
      <c r="Z64" s="4">
        <v>6.17</v>
      </c>
      <c r="AA64" s="4">
        <v>5.93</v>
      </c>
      <c r="AB64" s="4">
        <v>6</v>
      </c>
      <c r="AC64" s="4">
        <v>6</v>
      </c>
      <c r="AD64" s="4">
        <v>6.03</v>
      </c>
      <c r="AE64" s="4">
        <v>6.02</v>
      </c>
      <c r="AF64" s="4">
        <v>6.03</v>
      </c>
      <c r="AG64" s="4">
        <v>6.04</v>
      </c>
      <c r="AH64" s="4">
        <v>6.03</v>
      </c>
      <c r="AI64" s="4">
        <v>6.04</v>
      </c>
      <c r="AJ64" s="4">
        <v>6.03</v>
      </c>
      <c r="AK64" s="4">
        <v>6.04</v>
      </c>
    </row>
    <row r="65" spans="1:37">
      <c r="A65" t="s">
        <v>1160</v>
      </c>
      <c r="B65" s="4">
        <v>2.04</v>
      </c>
      <c r="C65" s="4">
        <v>1.98</v>
      </c>
      <c r="D65" s="4">
        <v>2.0299999999999998</v>
      </c>
      <c r="E65" s="4">
        <v>2.06</v>
      </c>
      <c r="F65" s="4">
        <v>2.09</v>
      </c>
      <c r="G65" s="4">
        <v>2.11</v>
      </c>
      <c r="H65" s="4">
        <v>2.15</v>
      </c>
      <c r="I65" s="4">
        <v>2.15</v>
      </c>
      <c r="J65" s="4">
        <v>2.15</v>
      </c>
      <c r="K65" s="4">
        <v>2.15</v>
      </c>
      <c r="L65" s="4">
        <v>2.14</v>
      </c>
      <c r="M65" s="4">
        <v>2.14</v>
      </c>
      <c r="N65" s="4">
        <v>2.0099999999999998</v>
      </c>
      <c r="O65" s="4">
        <v>1.88</v>
      </c>
      <c r="P65" s="4">
        <v>1.88</v>
      </c>
      <c r="Q65" s="4">
        <v>1.86</v>
      </c>
      <c r="R65" s="4">
        <v>1.85</v>
      </c>
      <c r="S65" s="4">
        <v>1.84</v>
      </c>
      <c r="T65" s="4">
        <v>1.83</v>
      </c>
      <c r="U65" s="4">
        <v>1.84</v>
      </c>
      <c r="V65" s="4">
        <v>1.86</v>
      </c>
      <c r="W65" s="4">
        <v>1.89</v>
      </c>
      <c r="X65" s="4">
        <v>1.89</v>
      </c>
      <c r="Y65" s="49">
        <v>1.93</v>
      </c>
      <c r="Z65" s="4">
        <v>2.16</v>
      </c>
      <c r="AA65" s="4">
        <v>2.0299999999999998</v>
      </c>
      <c r="AB65" s="4">
        <v>2.0499999999999998</v>
      </c>
      <c r="AC65" s="4">
        <v>2.0499999999999998</v>
      </c>
      <c r="AD65" s="4">
        <v>2.0499999999999998</v>
      </c>
      <c r="AE65" s="4">
        <v>2.0299999999999998</v>
      </c>
      <c r="AF65" s="4">
        <v>2.02</v>
      </c>
      <c r="AG65" s="4">
        <v>2.02</v>
      </c>
      <c r="AH65" s="4">
        <v>2</v>
      </c>
      <c r="AI65" s="4">
        <v>1.99</v>
      </c>
      <c r="AJ65" s="4">
        <v>1.98</v>
      </c>
      <c r="AK65" s="4">
        <v>1.98</v>
      </c>
    </row>
    <row r="66" spans="1:37">
      <c r="A66" t="s">
        <v>1161</v>
      </c>
      <c r="B66" s="1">
        <v>12480</v>
      </c>
      <c r="C66" s="1">
        <v>12618</v>
      </c>
      <c r="D66" s="1">
        <v>12646</v>
      </c>
      <c r="E66" s="1">
        <v>12613</v>
      </c>
      <c r="F66" s="1">
        <v>12653</v>
      </c>
      <c r="G66" s="1">
        <v>12674</v>
      </c>
      <c r="H66" s="1">
        <v>12625</v>
      </c>
      <c r="I66" s="1">
        <v>12658</v>
      </c>
      <c r="J66" s="1">
        <v>12615</v>
      </c>
      <c r="K66" s="1">
        <v>12633</v>
      </c>
      <c r="L66" s="1">
        <v>12624</v>
      </c>
      <c r="M66" s="1">
        <v>12657</v>
      </c>
      <c r="N66" s="1">
        <v>13166</v>
      </c>
      <c r="O66" s="1">
        <v>13165</v>
      </c>
      <c r="P66" s="1">
        <v>13130</v>
      </c>
      <c r="Q66" s="1">
        <v>13067</v>
      </c>
      <c r="R66" s="1">
        <v>13068</v>
      </c>
      <c r="S66" s="1">
        <v>13094</v>
      </c>
      <c r="T66" s="1">
        <v>13243</v>
      </c>
      <c r="U66" s="1">
        <v>13269</v>
      </c>
      <c r="V66" s="1">
        <v>13344</v>
      </c>
      <c r="W66" s="1">
        <v>13386</v>
      </c>
      <c r="X66" s="1">
        <v>13488</v>
      </c>
      <c r="Y66" s="48">
        <v>13405</v>
      </c>
      <c r="Z66" s="1">
        <v>13549</v>
      </c>
      <c r="AA66" s="1">
        <v>13581</v>
      </c>
      <c r="AB66" s="1">
        <v>13614</v>
      </c>
      <c r="AC66" s="1">
        <v>13653</v>
      </c>
      <c r="AD66" s="1">
        <v>13695</v>
      </c>
      <c r="AE66" s="1">
        <v>13741</v>
      </c>
      <c r="AF66" s="1">
        <v>13798</v>
      </c>
      <c r="AG66" s="1">
        <v>13854</v>
      </c>
      <c r="AH66" s="1">
        <v>13912</v>
      </c>
      <c r="AI66" s="1">
        <v>13966</v>
      </c>
      <c r="AJ66" s="1">
        <v>14017</v>
      </c>
      <c r="AK66" s="1">
        <v>14060</v>
      </c>
    </row>
    <row r="67" spans="1:37">
      <c r="A67" t="s">
        <v>1162</v>
      </c>
      <c r="B67" s="4">
        <v>2.0499999999999998</v>
      </c>
      <c r="C67" s="4">
        <v>2.0499999999999998</v>
      </c>
      <c r="D67" s="4">
        <v>2.0499999999999998</v>
      </c>
      <c r="E67" s="4">
        <v>2.0499999999999998</v>
      </c>
      <c r="F67" s="4">
        <v>2.0499999999999998</v>
      </c>
      <c r="G67" s="4">
        <v>2.0499999999999998</v>
      </c>
      <c r="H67" s="4">
        <v>2.06</v>
      </c>
      <c r="I67" s="4">
        <v>2.06</v>
      </c>
      <c r="J67" s="4">
        <v>2.06</v>
      </c>
      <c r="K67" s="4">
        <v>2.06</v>
      </c>
      <c r="L67" s="4">
        <v>2.06</v>
      </c>
      <c r="M67" s="4">
        <v>1.96</v>
      </c>
      <c r="N67" s="4">
        <v>1.98</v>
      </c>
      <c r="O67" s="4">
        <v>1.99</v>
      </c>
      <c r="P67" s="4">
        <v>1.99</v>
      </c>
      <c r="Q67" s="4">
        <v>2</v>
      </c>
      <c r="R67" s="4">
        <v>2.0099999999999998</v>
      </c>
      <c r="S67" s="4">
        <v>2.02</v>
      </c>
      <c r="T67" s="4">
        <v>2.02</v>
      </c>
      <c r="U67" s="4">
        <v>2.0099999999999998</v>
      </c>
      <c r="V67" s="4">
        <v>2.0099999999999998</v>
      </c>
      <c r="W67" s="4">
        <v>2.0099999999999998</v>
      </c>
      <c r="X67" s="4">
        <v>2.0099999999999998</v>
      </c>
      <c r="Y67" s="49">
        <v>2.0099999999999998</v>
      </c>
      <c r="Z67" s="4">
        <v>2.0099999999999998</v>
      </c>
      <c r="AA67" s="4">
        <v>2.0099999999999998</v>
      </c>
      <c r="AB67" s="4">
        <v>2.0099999999999998</v>
      </c>
      <c r="AC67" s="4">
        <v>2.0099999999999998</v>
      </c>
      <c r="AD67" s="4">
        <v>2.0099999999999998</v>
      </c>
      <c r="AE67" s="4">
        <v>2.0099999999999998</v>
      </c>
      <c r="AF67" s="4">
        <v>2.0099999999999998</v>
      </c>
      <c r="AG67" s="4">
        <v>2.0099999999999998</v>
      </c>
      <c r="AH67" s="4">
        <v>2.0099999999999998</v>
      </c>
      <c r="AI67" s="4">
        <v>2.0099999999999998</v>
      </c>
      <c r="AJ67" s="4">
        <v>2.0099999999999998</v>
      </c>
      <c r="AK67" s="4">
        <v>2.0099999999999998</v>
      </c>
    </row>
    <row r="68" spans="1:37">
      <c r="A68" t="s">
        <v>1163</v>
      </c>
      <c r="B68" s="4">
        <v>503</v>
      </c>
      <c r="C68" s="4">
        <v>497</v>
      </c>
      <c r="D68" s="4">
        <v>490</v>
      </c>
      <c r="E68" s="4">
        <v>496</v>
      </c>
      <c r="F68" s="4">
        <v>503</v>
      </c>
      <c r="G68" s="4">
        <v>505</v>
      </c>
      <c r="H68" s="4">
        <v>505</v>
      </c>
      <c r="I68" s="4">
        <v>506</v>
      </c>
      <c r="J68" s="4">
        <v>504</v>
      </c>
      <c r="K68" s="4">
        <v>491</v>
      </c>
      <c r="L68" s="4">
        <v>498</v>
      </c>
      <c r="M68" s="4">
        <v>487</v>
      </c>
      <c r="N68" s="4">
        <v>494</v>
      </c>
      <c r="O68" s="4">
        <v>483</v>
      </c>
      <c r="P68" s="4">
        <v>483</v>
      </c>
      <c r="Q68" s="4">
        <v>474</v>
      </c>
      <c r="R68" s="4">
        <v>477</v>
      </c>
      <c r="S68" s="4">
        <v>484</v>
      </c>
      <c r="T68" s="4">
        <v>492</v>
      </c>
      <c r="U68" s="4">
        <v>482</v>
      </c>
      <c r="V68" s="4">
        <v>482</v>
      </c>
      <c r="W68" s="4">
        <v>482</v>
      </c>
      <c r="X68" s="4">
        <v>482</v>
      </c>
      <c r="Y68" s="49">
        <v>482</v>
      </c>
      <c r="Z68" s="4">
        <v>482</v>
      </c>
      <c r="AA68" s="4">
        <v>477</v>
      </c>
      <c r="AB68" s="4">
        <v>473</v>
      </c>
      <c r="AC68" s="4">
        <v>469</v>
      </c>
      <c r="AD68" s="4">
        <v>465</v>
      </c>
      <c r="AE68" s="4">
        <v>461</v>
      </c>
      <c r="AF68" s="4">
        <v>457</v>
      </c>
      <c r="AG68" s="4">
        <v>453</v>
      </c>
      <c r="AH68" s="4">
        <v>450</v>
      </c>
      <c r="AI68" s="4">
        <v>446</v>
      </c>
      <c r="AJ68" s="4">
        <v>442</v>
      </c>
      <c r="AK68" s="4">
        <v>439</v>
      </c>
    </row>
    <row r="69" spans="1:37">
      <c r="A69" t="s">
        <v>1164</v>
      </c>
      <c r="B69" s="1">
        <v>12471</v>
      </c>
      <c r="C69" s="1">
        <v>12748</v>
      </c>
      <c r="D69" s="1">
        <v>12790</v>
      </c>
      <c r="E69" s="1">
        <v>12739</v>
      </c>
      <c r="F69" s="1">
        <v>12815</v>
      </c>
      <c r="G69" s="1">
        <v>12860</v>
      </c>
      <c r="H69" s="1">
        <v>12718</v>
      </c>
      <c r="I69" s="1">
        <v>12779</v>
      </c>
      <c r="J69" s="1">
        <v>12682</v>
      </c>
      <c r="K69" s="1">
        <v>12721</v>
      </c>
      <c r="L69" s="1">
        <v>12698</v>
      </c>
      <c r="M69" s="1">
        <v>13166</v>
      </c>
      <c r="N69" s="1">
        <v>13165</v>
      </c>
      <c r="O69" s="1">
        <v>13113</v>
      </c>
      <c r="P69" s="1">
        <v>13055</v>
      </c>
      <c r="Q69" s="1">
        <v>12914</v>
      </c>
      <c r="R69" s="1">
        <v>12868</v>
      </c>
      <c r="S69" s="1">
        <v>12887</v>
      </c>
      <c r="T69" s="1">
        <v>13161</v>
      </c>
      <c r="U69" s="1">
        <v>13195</v>
      </c>
      <c r="V69" s="1">
        <v>13361</v>
      </c>
      <c r="W69" s="1">
        <v>13459</v>
      </c>
      <c r="X69" s="1">
        <v>13672</v>
      </c>
      <c r="Y69" s="48">
        <v>13519</v>
      </c>
      <c r="Z69" s="1">
        <v>13579</v>
      </c>
      <c r="AA69" s="1">
        <v>13644</v>
      </c>
      <c r="AB69" s="1">
        <v>13708</v>
      </c>
      <c r="AC69" s="1">
        <v>13787</v>
      </c>
      <c r="AD69" s="1">
        <v>13871</v>
      </c>
      <c r="AE69" s="1">
        <v>13963</v>
      </c>
      <c r="AF69" s="1">
        <v>14076</v>
      </c>
      <c r="AG69" s="1">
        <v>14189</v>
      </c>
      <c r="AH69" s="1">
        <v>14305</v>
      </c>
      <c r="AI69" s="1">
        <v>14413</v>
      </c>
      <c r="AJ69" s="1">
        <v>14516</v>
      </c>
      <c r="AK69" s="1">
        <v>14601</v>
      </c>
    </row>
    <row r="70" spans="1:37">
      <c r="A70" t="s">
        <v>1165</v>
      </c>
      <c r="B70" s="4">
        <v>2</v>
      </c>
      <c r="C70" s="4">
        <v>7</v>
      </c>
      <c r="D70" s="4">
        <v>10</v>
      </c>
      <c r="E70" s="4">
        <v>12</v>
      </c>
      <c r="F70" s="4">
        <v>11</v>
      </c>
      <c r="G70" s="4">
        <v>18</v>
      </c>
      <c r="H70" s="4">
        <v>20</v>
      </c>
      <c r="I70" s="4">
        <v>25</v>
      </c>
      <c r="J70" s="4">
        <v>30</v>
      </c>
      <c r="K70" s="4">
        <v>30</v>
      </c>
      <c r="L70" s="4">
        <v>33</v>
      </c>
      <c r="M70" s="4">
        <v>38</v>
      </c>
      <c r="N70" s="4">
        <v>39</v>
      </c>
      <c r="O70" s="4">
        <v>35</v>
      </c>
      <c r="P70" s="4">
        <v>43</v>
      </c>
      <c r="Q70" s="4">
        <v>39</v>
      </c>
      <c r="R70" s="4">
        <v>36</v>
      </c>
      <c r="S70" s="4">
        <v>31</v>
      </c>
      <c r="T70" s="4">
        <v>32</v>
      </c>
      <c r="U70" s="4">
        <v>48</v>
      </c>
      <c r="V70" s="4">
        <v>51</v>
      </c>
      <c r="W70" s="4">
        <v>49</v>
      </c>
      <c r="X70" s="4">
        <v>53</v>
      </c>
      <c r="Y70" s="49">
        <v>54</v>
      </c>
      <c r="Z70" s="4">
        <v>73</v>
      </c>
      <c r="AA70" s="4">
        <v>79</v>
      </c>
      <c r="AB70" s="4">
        <v>85</v>
      </c>
      <c r="AC70" s="4">
        <v>83</v>
      </c>
      <c r="AD70" s="4">
        <v>86</v>
      </c>
      <c r="AE70" s="4">
        <v>88</v>
      </c>
      <c r="AF70" s="4">
        <v>91</v>
      </c>
      <c r="AG70" s="4">
        <v>94</v>
      </c>
      <c r="AH70" s="4">
        <v>96</v>
      </c>
      <c r="AI70" s="4">
        <v>98</v>
      </c>
      <c r="AJ70" s="4">
        <v>100</v>
      </c>
      <c r="AK70" s="4">
        <v>103</v>
      </c>
    </row>
    <row r="71" spans="1:37">
      <c r="A71" t="s">
        <v>1166</v>
      </c>
      <c r="B71" s="4">
        <v>1.1399999999999999</v>
      </c>
      <c r="C71" s="4">
        <v>1.1299999999999999</v>
      </c>
      <c r="D71" s="4">
        <v>1.1299999999999999</v>
      </c>
      <c r="E71" s="4">
        <v>1.17</v>
      </c>
      <c r="F71" s="4">
        <v>1.1599999999999999</v>
      </c>
      <c r="G71" s="4">
        <v>1.1599999999999999</v>
      </c>
      <c r="H71" s="4">
        <v>1.17</v>
      </c>
      <c r="I71" s="4">
        <v>1.1599999999999999</v>
      </c>
      <c r="J71" s="4">
        <v>1.1599999999999999</v>
      </c>
      <c r="K71" s="4">
        <v>1.17</v>
      </c>
      <c r="L71" s="4">
        <v>1.1599999999999999</v>
      </c>
      <c r="M71" s="4">
        <v>1.1599999999999999</v>
      </c>
      <c r="N71" s="4">
        <v>1.1399999999999999</v>
      </c>
      <c r="O71" s="4">
        <v>1.1399999999999999</v>
      </c>
      <c r="P71" s="4">
        <v>1.1399999999999999</v>
      </c>
      <c r="Q71" s="4">
        <v>1.1399999999999999</v>
      </c>
      <c r="R71" s="4">
        <v>1.1399999999999999</v>
      </c>
      <c r="S71" s="4">
        <v>1.1399999999999999</v>
      </c>
      <c r="T71" s="4">
        <v>1.1299999999999999</v>
      </c>
      <c r="U71" s="4">
        <v>1.1100000000000001</v>
      </c>
      <c r="V71" s="4">
        <v>1.1000000000000001</v>
      </c>
      <c r="W71" s="4">
        <v>1.08</v>
      </c>
      <c r="X71" s="4">
        <v>1.07</v>
      </c>
      <c r="Y71" s="49">
        <v>1.07</v>
      </c>
      <c r="Z71" s="4">
        <v>1.1599999999999999</v>
      </c>
      <c r="AA71" s="4">
        <v>1.17</v>
      </c>
      <c r="AB71" s="4">
        <v>1.19</v>
      </c>
      <c r="AC71" s="4">
        <v>1.18</v>
      </c>
      <c r="AD71" s="4">
        <v>1.22</v>
      </c>
      <c r="AE71" s="4">
        <v>1.22</v>
      </c>
      <c r="AF71" s="4">
        <v>1.2</v>
      </c>
      <c r="AG71" s="4">
        <v>1.2</v>
      </c>
      <c r="AH71" s="4">
        <v>1.3</v>
      </c>
      <c r="AI71" s="4">
        <v>1.34</v>
      </c>
      <c r="AJ71" s="4">
        <v>1.33</v>
      </c>
      <c r="AK71" s="4">
        <v>1.31</v>
      </c>
    </row>
    <row r="72" spans="1:37">
      <c r="A72" t="s">
        <v>1167</v>
      </c>
      <c r="B72" s="4">
        <v>2.12</v>
      </c>
      <c r="C72" s="4">
        <v>2.14</v>
      </c>
      <c r="D72" s="4">
        <v>2</v>
      </c>
      <c r="E72" s="4">
        <v>2.06</v>
      </c>
      <c r="F72" s="4">
        <v>2.11</v>
      </c>
      <c r="G72" s="4">
        <v>2.09</v>
      </c>
      <c r="H72" s="4">
        <v>2.09</v>
      </c>
      <c r="I72" s="4">
        <v>2.1</v>
      </c>
      <c r="J72" s="4">
        <v>2.09</v>
      </c>
      <c r="K72" s="4">
        <v>2.11</v>
      </c>
      <c r="L72" s="4">
        <v>2.11</v>
      </c>
      <c r="M72" s="4">
        <v>2.08</v>
      </c>
      <c r="N72" s="4">
        <v>2.11</v>
      </c>
      <c r="O72" s="4">
        <v>2.0699999999999998</v>
      </c>
      <c r="P72" s="4">
        <v>2.09</v>
      </c>
      <c r="Q72" s="4">
        <v>2</v>
      </c>
      <c r="R72" s="4">
        <v>2.09</v>
      </c>
      <c r="S72" s="4">
        <v>2.16</v>
      </c>
      <c r="T72" s="4">
        <v>2.23</v>
      </c>
      <c r="U72" s="4">
        <v>2.16</v>
      </c>
      <c r="V72" s="4">
        <v>2.08</v>
      </c>
      <c r="W72" s="4">
        <v>2.12</v>
      </c>
      <c r="X72" s="4">
        <v>2.11</v>
      </c>
      <c r="Y72" s="49">
        <v>2.12</v>
      </c>
      <c r="Z72" s="4">
        <v>2.2000000000000002</v>
      </c>
      <c r="AA72" s="4">
        <v>2.09</v>
      </c>
      <c r="AB72" s="4">
        <v>2.11</v>
      </c>
      <c r="AC72" s="4">
        <v>2.11</v>
      </c>
      <c r="AD72" s="4">
        <v>2.13</v>
      </c>
      <c r="AE72" s="4">
        <v>2.12</v>
      </c>
      <c r="AF72" s="4">
        <v>2.13</v>
      </c>
      <c r="AG72" s="4">
        <v>2.14</v>
      </c>
      <c r="AH72" s="4">
        <v>2.14</v>
      </c>
      <c r="AI72" s="4">
        <v>2.16</v>
      </c>
      <c r="AJ72" s="4">
        <v>2.16</v>
      </c>
      <c r="AK72" s="4">
        <v>2.17</v>
      </c>
    </row>
    <row r="73" spans="1:37">
      <c r="A73" t="s">
        <v>1168</v>
      </c>
      <c r="B73" s="4">
        <v>58.52</v>
      </c>
      <c r="C73" s="4">
        <v>58.39</v>
      </c>
      <c r="D73" s="4">
        <v>49.56</v>
      </c>
      <c r="E73" s="4">
        <v>60.87</v>
      </c>
      <c r="F73" s="4">
        <v>60.38</v>
      </c>
      <c r="G73" s="4">
        <v>55.39</v>
      </c>
      <c r="H73" s="4">
        <v>60.03</v>
      </c>
      <c r="I73" s="4">
        <v>59.33</v>
      </c>
      <c r="J73" s="4">
        <v>53.34</v>
      </c>
      <c r="K73" s="4">
        <v>58.17</v>
      </c>
      <c r="L73" s="4">
        <v>56.95</v>
      </c>
      <c r="M73" s="4">
        <v>58.37</v>
      </c>
      <c r="N73" s="4">
        <v>56.71</v>
      </c>
      <c r="O73" s="4">
        <v>56.96</v>
      </c>
      <c r="P73" s="4">
        <v>55.17</v>
      </c>
      <c r="Q73" s="4">
        <v>50.06</v>
      </c>
      <c r="R73" s="4">
        <v>59.64</v>
      </c>
      <c r="S73" s="4">
        <v>57.62</v>
      </c>
      <c r="T73" s="4">
        <v>61.26</v>
      </c>
      <c r="U73" s="4">
        <v>51.78</v>
      </c>
      <c r="V73" s="4">
        <v>51.28</v>
      </c>
      <c r="W73" s="4">
        <v>55.64</v>
      </c>
      <c r="X73" s="4">
        <v>51.56</v>
      </c>
      <c r="Y73" s="49">
        <v>55.84</v>
      </c>
      <c r="Z73" s="4">
        <v>55.79</v>
      </c>
      <c r="AA73" s="4">
        <v>54.6</v>
      </c>
      <c r="AB73" s="4">
        <v>56.37</v>
      </c>
      <c r="AC73" s="4">
        <v>57.36</v>
      </c>
      <c r="AD73" s="4">
        <v>58.08</v>
      </c>
      <c r="AE73" s="4">
        <v>58.56</v>
      </c>
      <c r="AF73" s="4">
        <v>61.45</v>
      </c>
      <c r="AG73" s="4">
        <v>58.84</v>
      </c>
      <c r="AH73" s="4">
        <v>60.14</v>
      </c>
      <c r="AI73" s="4">
        <v>61.19</v>
      </c>
      <c r="AJ73" s="4">
        <v>60.16</v>
      </c>
      <c r="AK73" s="4">
        <v>61.22</v>
      </c>
    </row>
    <row r="74" spans="1:37">
      <c r="A74" t="s">
        <v>1169</v>
      </c>
      <c r="B74" s="4">
        <v>-2.4300000000000002</v>
      </c>
      <c r="C74" s="4">
        <v>11.98</v>
      </c>
      <c r="D74" s="4">
        <v>9.92</v>
      </c>
      <c r="E74" s="4">
        <v>5.82</v>
      </c>
      <c r="F74" s="4">
        <v>6.19</v>
      </c>
      <c r="G74" s="4">
        <v>5.84</v>
      </c>
      <c r="H74" s="4">
        <v>3.76</v>
      </c>
      <c r="I74" s="4">
        <v>4.17</v>
      </c>
      <c r="J74" s="4">
        <v>2.87</v>
      </c>
      <c r="K74" s="4">
        <v>2.98</v>
      </c>
      <c r="L74" s="4">
        <v>2.61</v>
      </c>
      <c r="M74" s="4">
        <v>2.68</v>
      </c>
      <c r="N74" s="4">
        <v>8.84</v>
      </c>
      <c r="O74" s="4">
        <v>6.69</v>
      </c>
      <c r="P74" s="4">
        <v>2.94</v>
      </c>
      <c r="Q74" s="4">
        <v>-0.26</v>
      </c>
      <c r="R74" s="4">
        <v>0.31</v>
      </c>
      <c r="S74" s="4">
        <v>1.49</v>
      </c>
      <c r="T74" s="4">
        <v>5.55</v>
      </c>
      <c r="U74" s="4">
        <v>5.73</v>
      </c>
      <c r="V74" s="4">
        <v>6.83</v>
      </c>
      <c r="W74" s="4">
        <v>7.08</v>
      </c>
      <c r="X74" s="4">
        <v>8.26</v>
      </c>
      <c r="Y74" s="49">
        <v>6.37</v>
      </c>
      <c r="Z74" s="4">
        <v>5.35</v>
      </c>
      <c r="AA74" s="4">
        <v>5.53</v>
      </c>
      <c r="AB74" s="4">
        <v>5.59</v>
      </c>
      <c r="AC74" s="4">
        <v>5.95</v>
      </c>
      <c r="AD74" s="4">
        <v>6.25</v>
      </c>
      <c r="AE74" s="4">
        <v>6.57</v>
      </c>
      <c r="AF74" s="4">
        <v>7.06</v>
      </c>
      <c r="AG74" s="4">
        <v>7.43</v>
      </c>
      <c r="AH74" s="4">
        <v>7.75</v>
      </c>
      <c r="AI74" s="4">
        <v>7.93</v>
      </c>
      <c r="AJ74" s="4">
        <v>8.0399999999999991</v>
      </c>
      <c r="AK74" s="4">
        <v>8</v>
      </c>
    </row>
    <row r="75" spans="1:37">
      <c r="A75" t="s">
        <v>1170</v>
      </c>
      <c r="B75" s="4">
        <v>0.13</v>
      </c>
      <c r="C75" s="4">
        <v>0.56999999999999995</v>
      </c>
      <c r="D75" s="4">
        <v>0.86</v>
      </c>
      <c r="E75" s="4">
        <v>0.98</v>
      </c>
      <c r="F75" s="4">
        <v>0.92</v>
      </c>
      <c r="G75" s="4">
        <v>-4.71</v>
      </c>
      <c r="H75" s="4">
        <v>-3.67</v>
      </c>
      <c r="I75" s="4">
        <v>-2.61</v>
      </c>
      <c r="J75" s="4">
        <v>-1.7</v>
      </c>
      <c r="K75" s="4">
        <v>-1.27</v>
      </c>
      <c r="L75" s="4">
        <v>-0.61</v>
      </c>
      <c r="M75" s="4">
        <v>0.02</v>
      </c>
      <c r="N75" s="4">
        <v>3.19</v>
      </c>
      <c r="O75" s="4">
        <v>2.87</v>
      </c>
      <c r="P75" s="4">
        <v>3.51</v>
      </c>
      <c r="Q75" s="4">
        <v>3.21</v>
      </c>
      <c r="R75" s="4">
        <v>2.95</v>
      </c>
      <c r="S75" s="4">
        <v>2.52</v>
      </c>
      <c r="T75" s="4">
        <v>2.59</v>
      </c>
      <c r="U75" s="4">
        <v>3.94</v>
      </c>
      <c r="V75" s="4">
        <v>4.18</v>
      </c>
      <c r="W75" s="4">
        <v>4.05</v>
      </c>
      <c r="X75" s="4">
        <v>4.37</v>
      </c>
      <c r="Y75" s="49">
        <v>4.4800000000000004</v>
      </c>
      <c r="Z75" s="4">
        <v>5.94</v>
      </c>
      <c r="AA75" s="4">
        <v>6.35</v>
      </c>
      <c r="AB75" s="4">
        <v>6.86</v>
      </c>
      <c r="AC75" s="4">
        <v>6.68</v>
      </c>
      <c r="AD75" s="4">
        <v>6.94</v>
      </c>
      <c r="AE75" s="4">
        <v>7.09</v>
      </c>
      <c r="AF75" s="4">
        <v>7.34</v>
      </c>
      <c r="AG75" s="4">
        <v>7.62</v>
      </c>
      <c r="AH75" s="4">
        <v>7.73</v>
      </c>
      <c r="AI75" s="4">
        <v>7.95</v>
      </c>
      <c r="AJ75" s="4">
        <v>8.11</v>
      </c>
      <c r="AK75" s="4">
        <v>8.33</v>
      </c>
    </row>
    <row r="76" spans="1:37">
      <c r="A76" t="s">
        <v>1171</v>
      </c>
      <c r="B76" s="4">
        <v>0.13</v>
      </c>
      <c r="C76" s="4">
        <v>0.56999999999999995</v>
      </c>
      <c r="D76" s="4">
        <v>0.86</v>
      </c>
      <c r="E76" s="4">
        <v>0.98</v>
      </c>
      <c r="F76" s="4">
        <v>0.92</v>
      </c>
      <c r="G76" s="4">
        <v>-4.71</v>
      </c>
      <c r="H76" s="4">
        <v>-3.67</v>
      </c>
      <c r="I76" s="4">
        <v>-2.61</v>
      </c>
      <c r="J76" s="4">
        <v>-1.7</v>
      </c>
      <c r="K76" s="4">
        <v>-1.27</v>
      </c>
      <c r="L76" s="4">
        <v>-0.61</v>
      </c>
      <c r="M76" s="4">
        <v>0.02</v>
      </c>
      <c r="N76" s="4">
        <v>3.19</v>
      </c>
      <c r="O76" s="4">
        <v>2.87</v>
      </c>
      <c r="P76" s="4">
        <v>3.51</v>
      </c>
      <c r="Q76" s="4">
        <v>3.21</v>
      </c>
      <c r="R76" s="4">
        <v>2.95</v>
      </c>
      <c r="S76" s="4">
        <v>2.52</v>
      </c>
      <c r="T76" s="4">
        <v>2.59</v>
      </c>
      <c r="U76" s="4">
        <v>3.94</v>
      </c>
      <c r="V76" s="4">
        <v>4.18</v>
      </c>
      <c r="W76" s="4">
        <v>4.05</v>
      </c>
      <c r="X76" s="4">
        <v>4.37</v>
      </c>
      <c r="Y76" s="49">
        <v>4.4800000000000004</v>
      </c>
      <c r="Z76" s="4">
        <v>5.94</v>
      </c>
      <c r="AA76" s="4">
        <v>6.35</v>
      </c>
      <c r="AB76" s="4">
        <v>6.86</v>
      </c>
      <c r="AC76" s="4">
        <v>6.68</v>
      </c>
      <c r="AD76" s="4">
        <v>6.94</v>
      </c>
      <c r="AE76" s="4">
        <v>7.09</v>
      </c>
      <c r="AF76" s="4">
        <v>7.34</v>
      </c>
      <c r="AG76" s="4">
        <v>7.62</v>
      </c>
      <c r="AH76" s="4">
        <v>7.73</v>
      </c>
      <c r="AI76" s="4">
        <v>7.95</v>
      </c>
      <c r="AJ76" s="4">
        <v>8.11</v>
      </c>
      <c r="AK76" s="4">
        <v>8.33</v>
      </c>
    </row>
    <row r="77" spans="1:37">
      <c r="A77" t="s">
        <v>1172</v>
      </c>
      <c r="B77" s="4">
        <v>-1.27</v>
      </c>
      <c r="C77" s="4">
        <v>-2.5</v>
      </c>
      <c r="D77" s="4">
        <v>-4</v>
      </c>
      <c r="E77" s="4">
        <v>-3.51</v>
      </c>
      <c r="F77" s="4">
        <v>-3.08</v>
      </c>
      <c r="G77" s="4">
        <v>-2.0299999999999998</v>
      </c>
      <c r="H77" s="4">
        <v>-1.84</v>
      </c>
      <c r="I77" s="4">
        <v>-1.48</v>
      </c>
      <c r="J77" s="4">
        <v>-1.5</v>
      </c>
      <c r="K77" s="4">
        <v>-1.38</v>
      </c>
      <c r="L77" s="4">
        <v>-1.23</v>
      </c>
      <c r="M77" s="4">
        <v>-1.02</v>
      </c>
      <c r="N77" s="4">
        <v>0.61</v>
      </c>
      <c r="O77" s="4">
        <v>1.84</v>
      </c>
      <c r="P77" s="4">
        <v>2.41</v>
      </c>
      <c r="Q77" s="4">
        <v>3.21</v>
      </c>
      <c r="R77" s="4">
        <v>3.54</v>
      </c>
      <c r="S77" s="4">
        <v>3.72</v>
      </c>
      <c r="T77" s="4">
        <v>3.22</v>
      </c>
      <c r="U77" s="4">
        <v>2.8</v>
      </c>
      <c r="V77" s="4">
        <v>2.15</v>
      </c>
      <c r="W77" s="4">
        <v>6.37</v>
      </c>
      <c r="X77" s="4">
        <v>6.41</v>
      </c>
      <c r="Y77" s="49">
        <v>6.5</v>
      </c>
      <c r="Z77" s="4">
        <v>7.4</v>
      </c>
      <c r="AA77" s="4">
        <v>8.7200000000000006</v>
      </c>
      <c r="AB77" s="4">
        <v>8.82</v>
      </c>
      <c r="AC77" s="4">
        <v>10.28</v>
      </c>
      <c r="AD77" s="4">
        <v>10.89</v>
      </c>
      <c r="AE77" s="4">
        <v>11.48</v>
      </c>
      <c r="AF77" s="4">
        <v>12.18</v>
      </c>
      <c r="AG77" s="4">
        <v>12.36</v>
      </c>
      <c r="AH77" s="4">
        <v>12.18</v>
      </c>
      <c r="AI77" s="4">
        <v>11.93</v>
      </c>
      <c r="AJ77" s="4">
        <v>11.61</v>
      </c>
      <c r="AK77" s="4">
        <v>11.2</v>
      </c>
    </row>
    <row r="78" spans="1:37">
      <c r="A78" t="s">
        <v>1173</v>
      </c>
      <c r="B78" s="4">
        <v>-17.600000000000001</v>
      </c>
      <c r="C78" s="4">
        <v>-1.27</v>
      </c>
      <c r="D78" s="4">
        <v>-1.1499999999999999</v>
      </c>
      <c r="E78" s="4">
        <v>-6.2</v>
      </c>
      <c r="F78" s="4">
        <v>-4.93</v>
      </c>
      <c r="G78" s="4">
        <v>-3.52</v>
      </c>
      <c r="H78" s="4">
        <v>-3.77</v>
      </c>
      <c r="I78" s="4">
        <v>-1.04</v>
      </c>
      <c r="J78" s="4">
        <v>-2.12</v>
      </c>
      <c r="K78" s="4">
        <v>-2.19</v>
      </c>
      <c r="L78" s="4">
        <v>-1.71</v>
      </c>
      <c r="M78" s="4">
        <v>-2.0499999999999998</v>
      </c>
      <c r="N78" s="4">
        <v>11.95</v>
      </c>
      <c r="O78" s="4">
        <v>6.59</v>
      </c>
      <c r="P78" s="4">
        <v>1.7</v>
      </c>
      <c r="Q78" s="4">
        <v>1.91</v>
      </c>
      <c r="R78" s="4">
        <v>2.59</v>
      </c>
      <c r="S78" s="4">
        <v>2.1800000000000002</v>
      </c>
      <c r="T78" s="4">
        <v>4.62</v>
      </c>
      <c r="U78" s="4">
        <v>5.65</v>
      </c>
      <c r="V78" s="4">
        <v>6.69</v>
      </c>
      <c r="W78" s="4">
        <v>6.95</v>
      </c>
      <c r="X78" s="4">
        <v>6.97</v>
      </c>
      <c r="Y78" s="49">
        <v>6.59</v>
      </c>
      <c r="Z78" s="4">
        <v>6.01</v>
      </c>
      <c r="AA78" s="4">
        <v>5.99</v>
      </c>
      <c r="AB78" s="4">
        <v>6.05</v>
      </c>
      <c r="AC78" s="4">
        <v>6.42</v>
      </c>
      <c r="AD78" s="4">
        <v>6.66</v>
      </c>
      <c r="AE78" s="4">
        <v>6.94</v>
      </c>
      <c r="AF78" s="4">
        <v>7.38</v>
      </c>
      <c r="AG78" s="4">
        <v>7.69</v>
      </c>
      <c r="AH78" s="4">
        <v>7.96</v>
      </c>
      <c r="AI78" s="4">
        <v>8.1199999999999992</v>
      </c>
      <c r="AJ78" s="4">
        <v>8.19</v>
      </c>
      <c r="AK78" s="4">
        <v>8.14</v>
      </c>
    </row>
    <row r="79" spans="1:37">
      <c r="A79" t="s">
        <v>1174</v>
      </c>
      <c r="B79" s="4">
        <v>-102.53</v>
      </c>
      <c r="C79" s="4">
        <v>-37.520000000000003</v>
      </c>
      <c r="D79" s="4">
        <v>3.8</v>
      </c>
      <c r="E79" s="4">
        <v>-24.05</v>
      </c>
      <c r="F79" s="4">
        <v>-11.72</v>
      </c>
      <c r="G79" s="4">
        <v>-9.82</v>
      </c>
      <c r="H79" s="4">
        <v>-12.93</v>
      </c>
      <c r="I79" s="4">
        <v>3.47</v>
      </c>
      <c r="J79" s="4">
        <v>-5.56</v>
      </c>
      <c r="K79" s="4">
        <v>-8.76</v>
      </c>
      <c r="L79" s="4">
        <v>-1.02</v>
      </c>
      <c r="M79" s="4">
        <v>-5.72</v>
      </c>
      <c r="N79" s="4">
        <v>73.569999999999993</v>
      </c>
      <c r="O79" s="4">
        <v>36.090000000000003</v>
      </c>
      <c r="P79" s="4">
        <v>-7.95</v>
      </c>
      <c r="Q79" s="4">
        <v>-4.96</v>
      </c>
      <c r="R79" s="4">
        <v>6.62</v>
      </c>
      <c r="S79" s="4">
        <v>-4.3</v>
      </c>
      <c r="T79" s="4">
        <v>-0.21</v>
      </c>
      <c r="U79" s="4">
        <v>23.7</v>
      </c>
      <c r="V79" s="4">
        <v>32.409999999999997</v>
      </c>
      <c r="W79" s="4">
        <v>15.12</v>
      </c>
      <c r="X79" s="4">
        <v>14.73</v>
      </c>
      <c r="Y79" s="49">
        <v>12.02</v>
      </c>
      <c r="Z79" s="4">
        <v>-4.55</v>
      </c>
      <c r="AA79" s="4">
        <v>-7.39</v>
      </c>
      <c r="AB79" s="4">
        <v>-6.65</v>
      </c>
      <c r="AC79" s="4">
        <v>-9.85</v>
      </c>
      <c r="AD79" s="4">
        <v>-11.28</v>
      </c>
      <c r="AE79" s="4">
        <v>-11.83</v>
      </c>
      <c r="AF79" s="4">
        <v>-12.14</v>
      </c>
      <c r="AG79" s="4">
        <v>-10.98</v>
      </c>
      <c r="AH79" s="4">
        <v>-9.5</v>
      </c>
      <c r="AI79" s="4">
        <v>-7.83</v>
      </c>
      <c r="AJ79" s="4">
        <v>-5.89</v>
      </c>
      <c r="AK79" s="4">
        <v>-4.33</v>
      </c>
    </row>
    <row r="80" spans="1:37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9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spans="1:37">
      <c r="A81" t="s">
        <v>1175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9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spans="1:37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9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1:37">
      <c r="A83" t="s">
        <v>1176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9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1:37">
      <c r="A84" t="s">
        <v>1177</v>
      </c>
      <c r="B84" s="4">
        <v>9.24</v>
      </c>
      <c r="C84" s="4">
        <v>9.15</v>
      </c>
      <c r="D84" s="4">
        <v>9.2200000000000006</v>
      </c>
      <c r="E84" s="4">
        <v>9.4</v>
      </c>
      <c r="F84" s="4">
        <v>9.41</v>
      </c>
      <c r="G84" s="4">
        <v>9.41</v>
      </c>
      <c r="H84" s="4">
        <v>9.48</v>
      </c>
      <c r="I84" s="4">
        <v>9.35</v>
      </c>
      <c r="J84" s="4">
        <v>9.48</v>
      </c>
      <c r="K84" s="4">
        <v>9.51</v>
      </c>
      <c r="L84" s="4">
        <v>9.52</v>
      </c>
      <c r="M84" s="4">
        <v>9.64</v>
      </c>
      <c r="N84" s="4">
        <v>9.58</v>
      </c>
      <c r="O84" s="4">
        <v>9.6199999999999992</v>
      </c>
      <c r="P84" s="4">
        <v>9.75</v>
      </c>
      <c r="Q84" s="4">
        <v>9.81</v>
      </c>
      <c r="R84" s="4">
        <v>9.8000000000000007</v>
      </c>
      <c r="S84" s="4">
        <v>9.83</v>
      </c>
      <c r="T84" s="4">
        <v>9.69</v>
      </c>
      <c r="U84" s="4">
        <v>9.69</v>
      </c>
      <c r="V84" s="4">
        <v>9.6300000000000008</v>
      </c>
      <c r="W84" s="4">
        <v>9.6199999999999992</v>
      </c>
      <c r="X84" s="4">
        <v>9.6</v>
      </c>
      <c r="Y84" s="49">
        <v>9.64</v>
      </c>
      <c r="Z84" s="4">
        <v>9.64</v>
      </c>
      <c r="AA84" s="4">
        <v>9.64</v>
      </c>
      <c r="AB84" s="4">
        <v>9.66</v>
      </c>
      <c r="AC84" s="4">
        <v>9.67</v>
      </c>
      <c r="AD84" s="4">
        <v>9.66</v>
      </c>
      <c r="AE84" s="4">
        <v>9.67</v>
      </c>
      <c r="AF84" s="4">
        <v>9.66</v>
      </c>
      <c r="AG84" s="4">
        <v>9.65</v>
      </c>
      <c r="AH84" s="4">
        <v>9.65</v>
      </c>
      <c r="AI84" s="4">
        <v>9.64</v>
      </c>
      <c r="AJ84" s="4">
        <v>9.65</v>
      </c>
      <c r="AK84" s="4">
        <v>9.65</v>
      </c>
    </row>
    <row r="85" spans="1:37">
      <c r="A85" t="s">
        <v>1178</v>
      </c>
      <c r="B85" s="4">
        <v>8.1999999999999993</v>
      </c>
      <c r="C85" s="4">
        <v>8.11</v>
      </c>
      <c r="D85" s="4">
        <v>8.1199999999999992</v>
      </c>
      <c r="E85" s="4">
        <v>8.2799999999999994</v>
      </c>
      <c r="F85" s="4">
        <v>8.2799999999999994</v>
      </c>
      <c r="G85" s="4">
        <v>8.0299999999999994</v>
      </c>
      <c r="H85" s="4">
        <v>8.09</v>
      </c>
      <c r="I85" s="4">
        <v>8</v>
      </c>
      <c r="J85" s="4">
        <v>8.11</v>
      </c>
      <c r="K85" s="4">
        <v>8.15</v>
      </c>
      <c r="L85" s="4">
        <v>8.17</v>
      </c>
      <c r="M85" s="4">
        <v>8.25</v>
      </c>
      <c r="N85" s="4">
        <v>8.19</v>
      </c>
      <c r="O85" s="4">
        <v>8.1999999999999993</v>
      </c>
      <c r="P85" s="4">
        <v>8.2899999999999991</v>
      </c>
      <c r="Q85" s="4">
        <v>8.2899999999999991</v>
      </c>
      <c r="R85" s="4">
        <v>8.27</v>
      </c>
      <c r="S85" s="4">
        <v>8.27</v>
      </c>
      <c r="T85" s="4">
        <v>8.16</v>
      </c>
      <c r="U85" s="4">
        <v>8.16</v>
      </c>
      <c r="V85" s="4">
        <v>8.07</v>
      </c>
      <c r="W85" s="4">
        <v>8.0500000000000007</v>
      </c>
      <c r="X85" s="4">
        <v>8.02</v>
      </c>
      <c r="Y85" s="49">
        <v>8.0500000000000007</v>
      </c>
      <c r="Z85" s="4">
        <v>8.0500000000000007</v>
      </c>
      <c r="AA85" s="4">
        <v>8.0500000000000007</v>
      </c>
      <c r="AB85" s="4">
        <v>8.0500000000000007</v>
      </c>
      <c r="AC85" s="4">
        <v>8.06</v>
      </c>
      <c r="AD85" s="4">
        <v>8.0500000000000007</v>
      </c>
      <c r="AE85" s="4">
        <v>8.0500000000000007</v>
      </c>
      <c r="AF85" s="4">
        <v>8.0299999999999994</v>
      </c>
      <c r="AG85" s="4">
        <v>8.0299999999999994</v>
      </c>
      <c r="AH85" s="4">
        <v>8.02</v>
      </c>
      <c r="AI85" s="4">
        <v>8.02</v>
      </c>
      <c r="AJ85" s="4">
        <v>8.02</v>
      </c>
      <c r="AK85" s="4">
        <v>8.0399999999999991</v>
      </c>
    </row>
    <row r="86" spans="1:37">
      <c r="A86" t="s">
        <v>1179</v>
      </c>
      <c r="B86" s="4">
        <v>107.77</v>
      </c>
      <c r="C86" s="4">
        <v>107.35</v>
      </c>
      <c r="D86" s="4">
        <v>107.52</v>
      </c>
      <c r="E86" s="4">
        <v>107.18</v>
      </c>
      <c r="F86" s="4">
        <v>107.37</v>
      </c>
      <c r="G86" s="4">
        <v>107.58</v>
      </c>
      <c r="H86" s="4">
        <v>107.94</v>
      </c>
      <c r="I86" s="4">
        <v>108.14</v>
      </c>
      <c r="J86" s="4">
        <v>108.39</v>
      </c>
      <c r="K86" s="4">
        <v>107.94</v>
      </c>
      <c r="L86" s="4">
        <v>108.11</v>
      </c>
      <c r="M86" s="4">
        <v>107.91</v>
      </c>
      <c r="N86" s="4">
        <v>107.97</v>
      </c>
      <c r="O86" s="4">
        <v>108.26</v>
      </c>
      <c r="P86" s="4">
        <v>108.38</v>
      </c>
      <c r="Q86" s="4">
        <v>108.64</v>
      </c>
      <c r="R86" s="4">
        <v>108.51</v>
      </c>
      <c r="S86" s="4">
        <v>108.68</v>
      </c>
      <c r="T86" s="4">
        <v>108.4</v>
      </c>
      <c r="U86" s="4">
        <v>108.65</v>
      </c>
      <c r="V86" s="4">
        <v>108.72</v>
      </c>
      <c r="W86" s="4">
        <v>108.78</v>
      </c>
      <c r="X86" s="4">
        <v>108.85</v>
      </c>
      <c r="Y86" s="49">
        <v>109.17</v>
      </c>
      <c r="Z86" s="4">
        <v>109.26</v>
      </c>
      <c r="AA86" s="4">
        <v>109.32</v>
      </c>
      <c r="AB86" s="4">
        <v>109.39</v>
      </c>
      <c r="AC86" s="4">
        <v>109.49</v>
      </c>
      <c r="AD86" s="4">
        <v>109.54</v>
      </c>
      <c r="AE86" s="4">
        <v>109.6</v>
      </c>
      <c r="AF86" s="4">
        <v>109.65</v>
      </c>
      <c r="AG86" s="4">
        <v>109.69</v>
      </c>
      <c r="AH86" s="4">
        <v>109.71</v>
      </c>
      <c r="AI86" s="4">
        <v>109.74</v>
      </c>
      <c r="AJ86" s="4">
        <v>109.75</v>
      </c>
      <c r="AK86" s="4">
        <v>109.78</v>
      </c>
    </row>
    <row r="87" spans="1:37">
      <c r="A87" t="s">
        <v>1180</v>
      </c>
      <c r="B87" s="4">
        <v>9.5399999999999991</v>
      </c>
      <c r="C87" s="4">
        <v>7.26</v>
      </c>
      <c r="D87" s="4">
        <v>7.09</v>
      </c>
      <c r="E87" s="4">
        <v>7.56</v>
      </c>
      <c r="F87" s="4">
        <v>7.71</v>
      </c>
      <c r="G87" s="4">
        <v>8.01</v>
      </c>
      <c r="H87" s="4">
        <v>8.14</v>
      </c>
      <c r="I87" s="4">
        <v>8.2200000000000006</v>
      </c>
      <c r="J87" s="4">
        <v>8.68</v>
      </c>
      <c r="K87" s="4">
        <v>8.56</v>
      </c>
      <c r="L87" s="4">
        <v>8.74</v>
      </c>
      <c r="M87" s="4">
        <v>9.09</v>
      </c>
      <c r="N87" s="4">
        <v>9.01</v>
      </c>
      <c r="O87" s="4">
        <v>9.08</v>
      </c>
      <c r="P87" s="4">
        <v>8.31</v>
      </c>
      <c r="Q87" s="4">
        <v>8.36</v>
      </c>
      <c r="R87" s="4">
        <v>8.6999999999999993</v>
      </c>
      <c r="S87" s="4">
        <v>9.25</v>
      </c>
      <c r="T87" s="4">
        <v>8.4</v>
      </c>
      <c r="U87" s="4">
        <v>8.49</v>
      </c>
      <c r="V87" s="4">
        <v>8.49</v>
      </c>
      <c r="W87" s="4">
        <v>8.4499999999999993</v>
      </c>
      <c r="X87" s="4">
        <v>8.43</v>
      </c>
      <c r="Y87" s="49">
        <v>8.3800000000000008</v>
      </c>
      <c r="Z87" s="4">
        <v>8.34</v>
      </c>
      <c r="AA87" s="4">
        <v>8.3000000000000007</v>
      </c>
      <c r="AB87" s="4">
        <v>8.26</v>
      </c>
      <c r="AC87" s="4">
        <v>8.1999999999999993</v>
      </c>
      <c r="AD87" s="4">
        <v>8.16</v>
      </c>
      <c r="AE87" s="4">
        <v>8.11</v>
      </c>
      <c r="AF87" s="4">
        <v>8.06</v>
      </c>
      <c r="AG87" s="4">
        <v>8</v>
      </c>
      <c r="AH87" s="4">
        <v>7.94</v>
      </c>
      <c r="AI87" s="4">
        <v>7.88</v>
      </c>
      <c r="AJ87" s="4">
        <v>7.82</v>
      </c>
      <c r="AK87" s="4">
        <v>7.76</v>
      </c>
    </row>
    <row r="88" spans="1:37">
      <c r="A88" t="s">
        <v>1181</v>
      </c>
      <c r="B88" s="4">
        <v>7.72</v>
      </c>
      <c r="C88" s="4">
        <v>7.27</v>
      </c>
      <c r="D88" s="4">
        <v>7.4</v>
      </c>
      <c r="E88" s="4">
        <v>7.02</v>
      </c>
      <c r="F88" s="4">
        <v>7.17</v>
      </c>
      <c r="G88" s="4">
        <v>7.34</v>
      </c>
      <c r="H88" s="4">
        <v>7.65</v>
      </c>
      <c r="I88" s="4">
        <v>7.81</v>
      </c>
      <c r="J88" s="4">
        <v>8.02</v>
      </c>
      <c r="K88" s="4">
        <v>7.54</v>
      </c>
      <c r="L88" s="4">
        <v>7.67</v>
      </c>
      <c r="M88" s="4">
        <v>7.43</v>
      </c>
      <c r="N88" s="4">
        <v>7.92</v>
      </c>
      <c r="O88" s="4">
        <v>8.18</v>
      </c>
      <c r="P88" s="4">
        <v>8.25</v>
      </c>
      <c r="Q88" s="4">
        <v>8.4700000000000006</v>
      </c>
      <c r="R88" s="4">
        <v>8.2899999999999991</v>
      </c>
      <c r="S88" s="4">
        <v>8.42</v>
      </c>
      <c r="T88" s="4">
        <v>8.11</v>
      </c>
      <c r="U88" s="4">
        <v>8.32</v>
      </c>
      <c r="V88" s="4">
        <v>8.39</v>
      </c>
      <c r="W88" s="4">
        <v>8.4499999999999993</v>
      </c>
      <c r="X88" s="4">
        <v>8.52</v>
      </c>
      <c r="Y88" s="49">
        <v>8.84</v>
      </c>
      <c r="Z88" s="4">
        <v>8.93</v>
      </c>
      <c r="AA88" s="4">
        <v>8.99</v>
      </c>
      <c r="AB88" s="4">
        <v>9.07</v>
      </c>
      <c r="AC88" s="4">
        <v>9.17</v>
      </c>
      <c r="AD88" s="4">
        <v>9.2200000000000006</v>
      </c>
      <c r="AE88" s="4">
        <v>9.2899999999999991</v>
      </c>
      <c r="AF88" s="4">
        <v>9.33</v>
      </c>
      <c r="AG88" s="4">
        <v>9.3699999999999992</v>
      </c>
      <c r="AH88" s="4">
        <v>9.4</v>
      </c>
      <c r="AI88" s="4">
        <v>9.43</v>
      </c>
      <c r="AJ88" s="4">
        <v>9.4499999999999993</v>
      </c>
      <c r="AK88" s="4">
        <v>9.48</v>
      </c>
    </row>
    <row r="89" spans="1:37">
      <c r="A89" t="s">
        <v>1182</v>
      </c>
      <c r="B89" s="4">
        <v>8.4600000000000009</v>
      </c>
      <c r="C89" s="4">
        <v>8.2100000000000009</v>
      </c>
      <c r="D89" s="4">
        <v>8.49</v>
      </c>
      <c r="E89" s="4">
        <v>8.07</v>
      </c>
      <c r="F89" s="4">
        <v>8.35</v>
      </c>
      <c r="G89" s="4">
        <v>8.59</v>
      </c>
      <c r="H89" s="4">
        <v>8.94</v>
      </c>
      <c r="I89" s="4">
        <v>9.2100000000000009</v>
      </c>
      <c r="J89" s="4">
        <v>9.4499999999999993</v>
      </c>
      <c r="K89" s="4">
        <v>8.98</v>
      </c>
      <c r="L89" s="4">
        <v>9.16</v>
      </c>
      <c r="M89" s="4">
        <v>8.9499999999999993</v>
      </c>
      <c r="N89" s="4">
        <v>9.07</v>
      </c>
      <c r="O89" s="4">
        <v>9.42</v>
      </c>
      <c r="P89" s="4">
        <v>9.49</v>
      </c>
      <c r="Q89" s="4">
        <v>9.67</v>
      </c>
      <c r="R89" s="4">
        <v>9.5</v>
      </c>
      <c r="S89" s="4">
        <v>9.7100000000000009</v>
      </c>
      <c r="T89" s="4">
        <v>9.6300000000000008</v>
      </c>
      <c r="U89" s="4">
        <v>9.98</v>
      </c>
      <c r="V89" s="4">
        <v>10.199999999999999</v>
      </c>
      <c r="W89" s="4">
        <v>9.98</v>
      </c>
      <c r="X89" s="4">
        <v>10.17</v>
      </c>
      <c r="Y89" s="49">
        <v>10.36</v>
      </c>
      <c r="Z89" s="4">
        <v>10.44</v>
      </c>
      <c r="AA89" s="4">
        <v>10.47</v>
      </c>
      <c r="AB89" s="4">
        <v>10.53</v>
      </c>
      <c r="AC89" s="4">
        <v>10.57</v>
      </c>
      <c r="AD89" s="4">
        <v>10.58</v>
      </c>
      <c r="AE89" s="4">
        <v>10.6</v>
      </c>
      <c r="AF89" s="4">
        <v>10.59</v>
      </c>
      <c r="AG89" s="4">
        <v>10.61</v>
      </c>
      <c r="AH89" s="4">
        <v>10.64</v>
      </c>
      <c r="AI89" s="4">
        <v>10.67</v>
      </c>
      <c r="AJ89" s="4">
        <v>10.7</v>
      </c>
      <c r="AK89" s="4">
        <v>10.73</v>
      </c>
    </row>
    <row r="90" spans="1:37">
      <c r="A90" t="s">
        <v>1183</v>
      </c>
      <c r="B90" s="4">
        <v>153.86000000000001</v>
      </c>
      <c r="C90" s="4">
        <v>117.14</v>
      </c>
      <c r="D90" s="4">
        <v>114.6</v>
      </c>
      <c r="E90" s="4">
        <v>122.37</v>
      </c>
      <c r="F90" s="4">
        <v>124.87</v>
      </c>
      <c r="G90" s="4">
        <v>126.17</v>
      </c>
      <c r="H90" s="4">
        <v>128.38999999999999</v>
      </c>
      <c r="I90" s="4">
        <v>130.24</v>
      </c>
      <c r="J90" s="4">
        <v>138.16999999999999</v>
      </c>
      <c r="K90" s="4">
        <v>136.63</v>
      </c>
      <c r="L90" s="4">
        <v>140.13</v>
      </c>
      <c r="M90" s="4">
        <v>146.69999999999999</v>
      </c>
      <c r="N90" s="4">
        <v>145.79</v>
      </c>
      <c r="O90" s="4">
        <v>147.22999999999999</v>
      </c>
      <c r="P90" s="4">
        <v>135.19999999999999</v>
      </c>
      <c r="Q90" s="4">
        <v>136.37</v>
      </c>
      <c r="R90" s="4">
        <v>142.05000000000001</v>
      </c>
      <c r="S90" s="4">
        <v>151.03</v>
      </c>
      <c r="T90" s="4">
        <v>137.53</v>
      </c>
      <c r="U90" s="4">
        <v>140.66</v>
      </c>
      <c r="V90" s="4">
        <v>140.66</v>
      </c>
      <c r="W90" s="4">
        <v>140.66</v>
      </c>
      <c r="X90" s="4">
        <v>140.66</v>
      </c>
      <c r="Y90" s="49">
        <v>140.66</v>
      </c>
      <c r="Z90" s="4">
        <v>140.66</v>
      </c>
      <c r="AA90" s="4">
        <v>140.66</v>
      </c>
      <c r="AB90" s="4">
        <v>140.66</v>
      </c>
      <c r="AC90" s="4">
        <v>140.66</v>
      </c>
      <c r="AD90" s="4">
        <v>140.66</v>
      </c>
      <c r="AE90" s="4">
        <v>140.66</v>
      </c>
      <c r="AF90" s="4">
        <v>140.66</v>
      </c>
      <c r="AG90" s="4">
        <v>140.66</v>
      </c>
      <c r="AH90" s="4">
        <v>140.66</v>
      </c>
      <c r="AI90" s="4">
        <v>140.66</v>
      </c>
      <c r="AJ90" s="4">
        <v>140.66</v>
      </c>
      <c r="AK90" s="4">
        <v>140.66</v>
      </c>
    </row>
    <row r="91" spans="1:37">
      <c r="A91" t="s">
        <v>1184</v>
      </c>
      <c r="B91" s="4">
        <v>71.3</v>
      </c>
      <c r="C91" s="4">
        <v>53.65</v>
      </c>
      <c r="D91" s="4">
        <v>50.07</v>
      </c>
      <c r="E91" s="4">
        <v>52.97</v>
      </c>
      <c r="F91" s="4">
        <v>53.9</v>
      </c>
      <c r="G91" s="4">
        <v>44.75</v>
      </c>
      <c r="H91" s="4">
        <v>45.38</v>
      </c>
      <c r="I91" s="4">
        <v>46.61</v>
      </c>
      <c r="J91" s="4">
        <v>49.16</v>
      </c>
      <c r="K91" s="4">
        <v>48.9</v>
      </c>
      <c r="L91" s="4">
        <v>50.6</v>
      </c>
      <c r="M91" s="4">
        <v>52.08</v>
      </c>
      <c r="N91" s="4">
        <v>50.96</v>
      </c>
      <c r="O91" s="4">
        <v>50.58</v>
      </c>
      <c r="P91" s="4">
        <v>45.45</v>
      </c>
      <c r="Q91" s="4">
        <v>43.74</v>
      </c>
      <c r="R91" s="4">
        <v>45.16</v>
      </c>
      <c r="S91" s="4">
        <v>46.98</v>
      </c>
      <c r="T91" s="4">
        <v>43.15</v>
      </c>
      <c r="U91" s="4">
        <v>43.85</v>
      </c>
      <c r="V91" s="4">
        <v>42.32</v>
      </c>
      <c r="W91" s="4">
        <v>41.66</v>
      </c>
      <c r="X91" s="4">
        <v>41.41</v>
      </c>
      <c r="Y91" s="49">
        <v>41.14</v>
      </c>
      <c r="Z91" s="4">
        <v>40.85</v>
      </c>
      <c r="AA91" s="4">
        <v>40.5</v>
      </c>
      <c r="AB91" s="4">
        <v>40.119999999999997</v>
      </c>
      <c r="AC91" s="4">
        <v>39.590000000000003</v>
      </c>
      <c r="AD91" s="4">
        <v>39.24</v>
      </c>
      <c r="AE91" s="4">
        <v>38.82</v>
      </c>
      <c r="AF91" s="4">
        <v>38.479999999999997</v>
      </c>
      <c r="AG91" s="4">
        <v>38.11</v>
      </c>
      <c r="AH91" s="4">
        <v>37.79</v>
      </c>
      <c r="AI91" s="4">
        <v>37.630000000000003</v>
      </c>
      <c r="AJ91" s="4">
        <v>37.46</v>
      </c>
      <c r="AK91" s="4">
        <v>37.42</v>
      </c>
    </row>
    <row r="92" spans="1:37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9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spans="1:37">
      <c r="A93" t="s">
        <v>1185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9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spans="1:37">
      <c r="A94" t="s">
        <v>1186</v>
      </c>
      <c r="B94" s="4">
        <v>0.99</v>
      </c>
      <c r="C94" s="4">
        <v>0.76</v>
      </c>
      <c r="D94" s="4">
        <v>0.74</v>
      </c>
      <c r="E94" s="4">
        <v>0.8</v>
      </c>
      <c r="F94" s="4">
        <v>0.81</v>
      </c>
      <c r="G94" s="4">
        <v>0.82</v>
      </c>
      <c r="H94" s="4">
        <v>0.83</v>
      </c>
      <c r="I94" s="4">
        <v>0.85</v>
      </c>
      <c r="J94" s="4">
        <v>0.9</v>
      </c>
      <c r="K94" s="4">
        <v>0.89</v>
      </c>
      <c r="L94" s="4">
        <v>0.91</v>
      </c>
      <c r="M94" s="4">
        <v>0.95</v>
      </c>
      <c r="N94" s="4">
        <v>0.95</v>
      </c>
      <c r="O94" s="4">
        <v>0.95</v>
      </c>
      <c r="P94" s="4">
        <v>0.87</v>
      </c>
      <c r="Q94" s="4">
        <v>0.88</v>
      </c>
      <c r="R94" s="4">
        <v>0.91</v>
      </c>
      <c r="S94" s="4">
        <v>0.96</v>
      </c>
      <c r="T94" s="4">
        <v>0.88</v>
      </c>
      <c r="U94" s="4">
        <v>0.9</v>
      </c>
      <c r="V94" s="4">
        <v>0.9</v>
      </c>
      <c r="W94" s="4">
        <v>0.87</v>
      </c>
      <c r="X94" s="4">
        <v>0.86</v>
      </c>
      <c r="Y94" s="49">
        <v>0.86</v>
      </c>
      <c r="Z94" s="4">
        <v>0.85</v>
      </c>
      <c r="AA94" s="4">
        <v>0.85</v>
      </c>
      <c r="AB94" s="4">
        <v>0.84</v>
      </c>
      <c r="AC94" s="4">
        <v>0.83</v>
      </c>
      <c r="AD94" s="4">
        <v>0.82</v>
      </c>
      <c r="AE94" s="4">
        <v>0.81</v>
      </c>
      <c r="AF94" s="4">
        <v>0.8</v>
      </c>
      <c r="AG94" s="4">
        <v>0.79</v>
      </c>
      <c r="AH94" s="4">
        <v>0.79</v>
      </c>
      <c r="AI94" s="4">
        <v>0.78</v>
      </c>
      <c r="AJ94" s="4">
        <v>0.78</v>
      </c>
      <c r="AK94" s="4">
        <v>0.77</v>
      </c>
    </row>
    <row r="95" spans="1:37">
      <c r="A95" t="s">
        <v>1187</v>
      </c>
      <c r="B95" s="4">
        <v>1.04</v>
      </c>
      <c r="C95" s="4">
        <v>1.04</v>
      </c>
      <c r="D95" s="4">
        <v>1.03</v>
      </c>
      <c r="E95" s="4">
        <v>1.02</v>
      </c>
      <c r="F95" s="4">
        <v>1.03</v>
      </c>
      <c r="G95" s="4">
        <v>1.05</v>
      </c>
      <c r="H95" s="4">
        <v>1.08</v>
      </c>
      <c r="I95" s="4">
        <v>1.1000000000000001</v>
      </c>
      <c r="J95" s="4">
        <v>1.1299999999999999</v>
      </c>
      <c r="K95" s="4">
        <v>1.1399999999999999</v>
      </c>
      <c r="L95" s="4">
        <v>1.17</v>
      </c>
      <c r="M95" s="4">
        <v>1.18</v>
      </c>
      <c r="N95" s="4">
        <v>1.34</v>
      </c>
      <c r="O95" s="4">
        <v>1.38</v>
      </c>
      <c r="P95" s="4">
        <v>1.44</v>
      </c>
      <c r="Q95" s="4">
        <v>1.42</v>
      </c>
      <c r="R95" s="4">
        <v>1.45</v>
      </c>
      <c r="S95" s="4">
        <v>1.49</v>
      </c>
      <c r="T95" s="4">
        <v>1.52</v>
      </c>
      <c r="U95" s="4">
        <v>1.52</v>
      </c>
      <c r="V95" s="4">
        <v>1.53</v>
      </c>
      <c r="W95" s="4">
        <v>1.5</v>
      </c>
      <c r="X95" s="4">
        <v>1.49</v>
      </c>
      <c r="Y95" s="49">
        <v>1.49</v>
      </c>
      <c r="Z95" s="4">
        <v>1.48</v>
      </c>
      <c r="AA95" s="4">
        <v>1.48</v>
      </c>
      <c r="AB95" s="4">
        <v>1.47</v>
      </c>
      <c r="AC95" s="4">
        <v>1.46</v>
      </c>
      <c r="AD95" s="4">
        <v>1.46</v>
      </c>
      <c r="AE95" s="4">
        <v>1.45</v>
      </c>
      <c r="AF95" s="4">
        <v>1.44</v>
      </c>
      <c r="AG95" s="4">
        <v>1.43</v>
      </c>
      <c r="AH95" s="4">
        <v>1.42</v>
      </c>
      <c r="AI95" s="4">
        <v>1.42</v>
      </c>
      <c r="AJ95" s="4">
        <v>1.41</v>
      </c>
      <c r="AK95" s="4">
        <v>1.41</v>
      </c>
    </row>
    <row r="96" spans="1:37">
      <c r="A96" t="s">
        <v>1188</v>
      </c>
      <c r="B96" s="4">
        <v>1.25</v>
      </c>
      <c r="C96" s="4">
        <v>1.25</v>
      </c>
      <c r="D96" s="4">
        <v>1.24</v>
      </c>
      <c r="E96" s="4">
        <v>1.27</v>
      </c>
      <c r="F96" s="4">
        <v>1.29</v>
      </c>
      <c r="G96" s="4">
        <v>1.27</v>
      </c>
      <c r="H96" s="4">
        <v>1.28</v>
      </c>
      <c r="I96" s="4">
        <v>1.28</v>
      </c>
      <c r="J96" s="4">
        <v>1.29</v>
      </c>
      <c r="K96" s="4">
        <v>1.28</v>
      </c>
      <c r="L96" s="4">
        <v>1.28</v>
      </c>
      <c r="M96" s="4">
        <v>1.29</v>
      </c>
      <c r="N96" s="4">
        <v>1.27</v>
      </c>
      <c r="O96" s="4">
        <v>1.28</v>
      </c>
      <c r="P96" s="4">
        <v>1.3</v>
      </c>
      <c r="Q96" s="4">
        <v>1.29</v>
      </c>
      <c r="R96" s="4">
        <v>1.26</v>
      </c>
      <c r="S96" s="4">
        <v>1.28</v>
      </c>
      <c r="T96" s="4">
        <v>1.28</v>
      </c>
      <c r="U96" s="4">
        <v>1.27</v>
      </c>
      <c r="V96" s="4">
        <v>1.25</v>
      </c>
      <c r="W96" s="4">
        <v>1.24</v>
      </c>
      <c r="X96" s="4">
        <v>1.22</v>
      </c>
      <c r="Y96" s="49">
        <v>1.22</v>
      </c>
      <c r="Z96" s="4">
        <v>1.31</v>
      </c>
      <c r="AA96" s="4">
        <v>1.32</v>
      </c>
      <c r="AB96" s="4">
        <v>1.34</v>
      </c>
      <c r="AC96" s="4">
        <v>1.33</v>
      </c>
      <c r="AD96" s="4">
        <v>1.37</v>
      </c>
      <c r="AE96" s="4">
        <v>1.36</v>
      </c>
      <c r="AF96" s="4">
        <v>1.35</v>
      </c>
      <c r="AG96" s="4">
        <v>1.34</v>
      </c>
      <c r="AH96" s="4">
        <v>1.44</v>
      </c>
      <c r="AI96" s="4">
        <v>1.49</v>
      </c>
      <c r="AJ96" s="4">
        <v>1.47</v>
      </c>
      <c r="AK96" s="4">
        <v>1.45</v>
      </c>
    </row>
    <row r="97" spans="1:37">
      <c r="A97" t="s">
        <v>1189</v>
      </c>
      <c r="B97" s="4">
        <v>0.78</v>
      </c>
      <c r="C97" s="4">
        <v>0.57999999999999996</v>
      </c>
      <c r="D97" s="4">
        <v>0.56999999999999995</v>
      </c>
      <c r="E97" s="4">
        <v>0.62</v>
      </c>
      <c r="F97" s="4">
        <v>0.64</v>
      </c>
      <c r="G97" s="4">
        <v>0.64</v>
      </c>
      <c r="H97" s="4">
        <v>0.65</v>
      </c>
      <c r="I97" s="4">
        <v>0.65</v>
      </c>
      <c r="J97" s="4">
        <v>0.7</v>
      </c>
      <c r="K97" s="4">
        <v>0.69</v>
      </c>
      <c r="L97" s="4">
        <v>0.71</v>
      </c>
      <c r="M97" s="4">
        <v>0.75</v>
      </c>
      <c r="N97" s="4">
        <v>0.73</v>
      </c>
      <c r="O97" s="4">
        <v>0.74</v>
      </c>
      <c r="P97" s="4">
        <v>0.68</v>
      </c>
      <c r="Q97" s="4">
        <v>0.69</v>
      </c>
      <c r="R97" s="4">
        <v>0.71</v>
      </c>
      <c r="S97" s="4">
        <v>0.76</v>
      </c>
      <c r="T97" s="4">
        <v>0.68</v>
      </c>
      <c r="U97" s="4">
        <v>0.69</v>
      </c>
      <c r="V97" s="4">
        <v>0.68</v>
      </c>
      <c r="W97" s="4">
        <v>0.68</v>
      </c>
      <c r="X97" s="4">
        <v>0.67</v>
      </c>
      <c r="Y97" s="49">
        <v>0.67</v>
      </c>
      <c r="Z97" s="4">
        <v>0.67</v>
      </c>
      <c r="AA97" s="4">
        <v>0.66</v>
      </c>
      <c r="AB97" s="4">
        <v>0.66</v>
      </c>
      <c r="AC97" s="4">
        <v>0.66</v>
      </c>
      <c r="AD97" s="4">
        <v>0.65</v>
      </c>
      <c r="AE97" s="4">
        <v>0.65</v>
      </c>
      <c r="AF97" s="4">
        <v>0.64</v>
      </c>
      <c r="AG97" s="4">
        <v>0.64</v>
      </c>
      <c r="AH97" s="4">
        <v>0.63</v>
      </c>
      <c r="AI97" s="4">
        <v>0.63</v>
      </c>
      <c r="AJ97" s="4">
        <v>0.62</v>
      </c>
      <c r="AK97" s="4">
        <v>0.62</v>
      </c>
    </row>
    <row r="98" spans="1:37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9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spans="1:37">
      <c r="A99" t="s">
        <v>1190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9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spans="1:37">
      <c r="A100" t="s">
        <v>1191</v>
      </c>
      <c r="B100" s="4">
        <v>-2.4300000000000002</v>
      </c>
      <c r="C100" s="4">
        <v>11.98</v>
      </c>
      <c r="D100" s="4">
        <v>9.92</v>
      </c>
      <c r="E100" s="4">
        <v>5.82</v>
      </c>
      <c r="F100" s="4">
        <v>6.19</v>
      </c>
      <c r="G100" s="4">
        <v>5.84</v>
      </c>
      <c r="H100" s="4">
        <v>3.76</v>
      </c>
      <c r="I100" s="4">
        <v>4.17</v>
      </c>
      <c r="J100" s="4">
        <v>2.87</v>
      </c>
      <c r="K100" s="4">
        <v>2.98</v>
      </c>
      <c r="L100" s="4">
        <v>2.61</v>
      </c>
      <c r="M100" s="4">
        <v>2.68</v>
      </c>
      <c r="N100" s="4">
        <v>8.84</v>
      </c>
      <c r="O100" s="4">
        <v>6.69</v>
      </c>
      <c r="P100" s="4">
        <v>2.94</v>
      </c>
      <c r="Q100" s="4">
        <v>-0.26</v>
      </c>
      <c r="R100" s="4">
        <v>0.31</v>
      </c>
      <c r="S100" s="4">
        <v>1.49</v>
      </c>
      <c r="T100" s="4">
        <v>5.55</v>
      </c>
      <c r="U100" s="4">
        <v>5.73</v>
      </c>
      <c r="V100" s="4">
        <v>7.68</v>
      </c>
      <c r="W100" s="4">
        <v>8.85</v>
      </c>
      <c r="X100" s="4">
        <v>11.36</v>
      </c>
      <c r="Y100" s="49">
        <v>9.5500000000000007</v>
      </c>
      <c r="Z100" s="4">
        <v>10.27</v>
      </c>
      <c r="AA100" s="4">
        <v>11.03</v>
      </c>
      <c r="AB100" s="4">
        <v>11.78</v>
      </c>
      <c r="AC100" s="4">
        <v>12.72</v>
      </c>
      <c r="AD100" s="4">
        <v>13.71</v>
      </c>
      <c r="AE100" s="4">
        <v>14.8</v>
      </c>
      <c r="AF100" s="4">
        <v>16.13</v>
      </c>
      <c r="AG100" s="4">
        <v>17.46</v>
      </c>
      <c r="AH100" s="4">
        <v>18.829999999999998</v>
      </c>
      <c r="AI100" s="4">
        <v>20.100000000000001</v>
      </c>
      <c r="AJ100" s="4">
        <v>21.32</v>
      </c>
      <c r="AK100" s="4">
        <v>22.32</v>
      </c>
    </row>
    <row r="101" spans="1:37">
      <c r="A101" t="s">
        <v>1192</v>
      </c>
      <c r="B101" s="4">
        <v>78.52</v>
      </c>
      <c r="C101" s="4">
        <v>77.290000000000006</v>
      </c>
      <c r="D101" s="4">
        <v>76.900000000000006</v>
      </c>
      <c r="E101" s="4">
        <v>78.16</v>
      </c>
      <c r="F101" s="4">
        <v>78.06</v>
      </c>
      <c r="G101" s="4">
        <v>78.040000000000006</v>
      </c>
      <c r="H101" s="4">
        <v>78.349999999999994</v>
      </c>
      <c r="I101" s="4">
        <v>77.23</v>
      </c>
      <c r="J101" s="4">
        <v>77.819999999999993</v>
      </c>
      <c r="K101" s="4">
        <v>77.98</v>
      </c>
      <c r="L101" s="4">
        <v>77.8</v>
      </c>
      <c r="M101" s="4">
        <v>78.27</v>
      </c>
      <c r="N101" s="4">
        <v>77.53</v>
      </c>
      <c r="O101" s="4">
        <v>77.650000000000006</v>
      </c>
      <c r="P101" s="4">
        <v>78.400000000000006</v>
      </c>
      <c r="Q101" s="4">
        <v>78.599999999999994</v>
      </c>
      <c r="R101" s="4">
        <v>78.569999999999993</v>
      </c>
      <c r="S101" s="4">
        <v>78.87</v>
      </c>
      <c r="T101" s="4">
        <v>77.64</v>
      </c>
      <c r="U101" s="4">
        <v>76.83</v>
      </c>
      <c r="V101" s="4">
        <v>75.73</v>
      </c>
      <c r="W101" s="4">
        <v>77.91</v>
      </c>
      <c r="X101" s="4">
        <v>77.89</v>
      </c>
      <c r="Y101" s="49">
        <v>78.2</v>
      </c>
      <c r="Z101" s="4">
        <v>78.290000000000006</v>
      </c>
      <c r="AA101" s="4">
        <v>78.55</v>
      </c>
      <c r="AB101" s="4">
        <v>78.73</v>
      </c>
      <c r="AC101" s="4">
        <v>79.180000000000007</v>
      </c>
      <c r="AD101" s="4">
        <v>79.540000000000006</v>
      </c>
      <c r="AE101" s="4">
        <v>79.91</v>
      </c>
      <c r="AF101" s="4">
        <v>80.3</v>
      </c>
      <c r="AG101" s="4">
        <v>80.510000000000005</v>
      </c>
      <c r="AH101" s="4">
        <v>80.53</v>
      </c>
      <c r="AI101" s="4">
        <v>80.52</v>
      </c>
      <c r="AJ101" s="4">
        <v>80.47</v>
      </c>
      <c r="AK101" s="4">
        <v>80.41</v>
      </c>
    </row>
    <row r="102" spans="1:37">
      <c r="A102" t="s">
        <v>1193</v>
      </c>
      <c r="B102" s="4">
        <v>4.66</v>
      </c>
      <c r="C102" s="4">
        <v>5.34</v>
      </c>
      <c r="D102" s="4">
        <v>6.69</v>
      </c>
      <c r="E102" s="4">
        <v>5.47</v>
      </c>
      <c r="F102" s="4">
        <v>5.85</v>
      </c>
      <c r="G102" s="4">
        <v>5.91</v>
      </c>
      <c r="H102" s="4">
        <v>5.23</v>
      </c>
      <c r="I102" s="4">
        <v>6.79</v>
      </c>
      <c r="J102" s="4">
        <v>5.66</v>
      </c>
      <c r="K102" s="4">
        <v>5.51</v>
      </c>
      <c r="L102" s="4">
        <v>6.55</v>
      </c>
      <c r="M102" s="4">
        <v>6.05</v>
      </c>
      <c r="N102" s="4">
        <v>6.75</v>
      </c>
      <c r="O102" s="4">
        <v>6.47</v>
      </c>
      <c r="P102" s="4">
        <v>5.37</v>
      </c>
      <c r="Q102" s="4">
        <v>5.19</v>
      </c>
      <c r="R102" s="4">
        <v>6.1</v>
      </c>
      <c r="S102" s="4">
        <v>5.21</v>
      </c>
      <c r="T102" s="4">
        <v>5.49</v>
      </c>
      <c r="U102" s="4">
        <v>8.11</v>
      </c>
      <c r="V102" s="4">
        <v>8.01</v>
      </c>
      <c r="W102" s="4">
        <v>7.95</v>
      </c>
      <c r="X102" s="4">
        <v>7.91</v>
      </c>
      <c r="Y102" s="49">
        <v>7.89</v>
      </c>
      <c r="Z102" s="4">
        <v>7.85</v>
      </c>
      <c r="AA102" s="4">
        <v>7.82</v>
      </c>
      <c r="AB102" s="4">
        <v>7.78</v>
      </c>
      <c r="AC102" s="4">
        <v>7.73</v>
      </c>
      <c r="AD102" s="4">
        <v>7.68</v>
      </c>
      <c r="AE102" s="4">
        <v>7.63</v>
      </c>
      <c r="AF102" s="4">
        <v>7.57</v>
      </c>
      <c r="AG102" s="4">
        <v>7.51</v>
      </c>
      <c r="AH102" s="4">
        <v>7.45</v>
      </c>
      <c r="AI102" s="4">
        <v>7.39</v>
      </c>
      <c r="AJ102" s="4">
        <v>7.34</v>
      </c>
      <c r="AK102" s="4">
        <v>7.3</v>
      </c>
    </row>
    <row r="103" spans="1:37">
      <c r="A103" t="s">
        <v>1194</v>
      </c>
      <c r="B103" s="4">
        <v>8.64</v>
      </c>
      <c r="C103" s="4">
        <v>8.02</v>
      </c>
      <c r="D103" s="4">
        <v>7.09</v>
      </c>
      <c r="E103" s="4">
        <v>6.45</v>
      </c>
      <c r="F103" s="4">
        <v>5.61</v>
      </c>
      <c r="G103" s="4">
        <v>5.3</v>
      </c>
      <c r="H103" s="4">
        <v>5.42</v>
      </c>
      <c r="I103" s="4">
        <v>6.02</v>
      </c>
      <c r="J103" s="4">
        <v>5.64</v>
      </c>
      <c r="K103" s="4">
        <v>5.49</v>
      </c>
      <c r="L103" s="4">
        <v>5.54</v>
      </c>
      <c r="M103" s="4">
        <v>5.08</v>
      </c>
      <c r="N103" s="4">
        <v>5.48</v>
      </c>
      <c r="O103" s="4">
        <v>4.8499999999999996</v>
      </c>
      <c r="P103" s="4">
        <v>4.5999999999999996</v>
      </c>
      <c r="Q103" s="4">
        <v>5.57</v>
      </c>
      <c r="R103" s="4">
        <v>5.73</v>
      </c>
      <c r="S103" s="4">
        <v>5.04</v>
      </c>
      <c r="T103" s="4">
        <v>4.28</v>
      </c>
      <c r="U103" s="4">
        <v>4.25</v>
      </c>
      <c r="V103" s="4">
        <v>4.2</v>
      </c>
      <c r="W103" s="4">
        <v>4.17</v>
      </c>
      <c r="X103" s="4">
        <v>3.07</v>
      </c>
      <c r="Y103" s="49">
        <v>4.1500000000000004</v>
      </c>
      <c r="Z103" s="4">
        <v>4.13</v>
      </c>
      <c r="AA103" s="4">
        <v>4.1100000000000003</v>
      </c>
      <c r="AB103" s="4">
        <v>4.09</v>
      </c>
      <c r="AC103" s="4">
        <v>4.07</v>
      </c>
      <c r="AD103" s="4">
        <v>4.04</v>
      </c>
      <c r="AE103" s="4">
        <v>4.0199999999999996</v>
      </c>
      <c r="AF103" s="4">
        <v>3.99</v>
      </c>
      <c r="AG103" s="4">
        <v>3.95</v>
      </c>
      <c r="AH103" s="4">
        <v>3.92</v>
      </c>
      <c r="AI103" s="4">
        <v>3.89</v>
      </c>
      <c r="AJ103" s="4">
        <v>3.87</v>
      </c>
      <c r="AK103" s="4">
        <v>3.84</v>
      </c>
    </row>
    <row r="104" spans="1:37">
      <c r="A104" t="s">
        <v>1195</v>
      </c>
      <c r="B104" s="4">
        <v>8.1</v>
      </c>
      <c r="C104" s="4">
        <v>7.57</v>
      </c>
      <c r="D104" s="4">
        <v>6.73</v>
      </c>
      <c r="E104" s="4">
        <v>6.21</v>
      </c>
      <c r="F104" s="4">
        <v>5.43</v>
      </c>
      <c r="G104" s="4">
        <v>5.1100000000000003</v>
      </c>
      <c r="H104" s="4">
        <v>5.22</v>
      </c>
      <c r="I104" s="4">
        <v>5.74</v>
      </c>
      <c r="J104" s="4">
        <v>5.4</v>
      </c>
      <c r="K104" s="4">
        <v>5.29</v>
      </c>
      <c r="L104" s="4">
        <v>5.32</v>
      </c>
      <c r="M104" s="4">
        <v>4.91</v>
      </c>
      <c r="N104" s="4">
        <v>5.29</v>
      </c>
      <c r="O104" s="4">
        <v>4.6900000000000004</v>
      </c>
      <c r="P104" s="4">
        <v>4.46</v>
      </c>
      <c r="Q104" s="4">
        <v>5.35</v>
      </c>
      <c r="R104" s="4">
        <v>5.5</v>
      </c>
      <c r="S104" s="4">
        <v>4.8600000000000003</v>
      </c>
      <c r="T104" s="4">
        <v>4.1500000000000004</v>
      </c>
      <c r="U104" s="4">
        <v>4.1100000000000003</v>
      </c>
      <c r="V104" s="4">
        <v>4.0599999999999996</v>
      </c>
      <c r="W104" s="4">
        <v>4.03</v>
      </c>
      <c r="X104" s="4">
        <v>3</v>
      </c>
      <c r="Y104" s="49">
        <v>4</v>
      </c>
      <c r="Z104" s="4">
        <v>3.98</v>
      </c>
      <c r="AA104" s="4">
        <v>3.96</v>
      </c>
      <c r="AB104" s="4">
        <v>3.94</v>
      </c>
      <c r="AC104" s="4">
        <v>3.92</v>
      </c>
      <c r="AD104" s="4">
        <v>3.89</v>
      </c>
      <c r="AE104" s="4">
        <v>3.87</v>
      </c>
      <c r="AF104" s="4">
        <v>3.84</v>
      </c>
      <c r="AG104" s="4">
        <v>3.81</v>
      </c>
      <c r="AH104" s="4">
        <v>3.78</v>
      </c>
      <c r="AI104" s="4">
        <v>3.75</v>
      </c>
      <c r="AJ104" s="4">
        <v>3.72</v>
      </c>
      <c r="AK104" s="4">
        <v>3.7</v>
      </c>
    </row>
    <row r="105" spans="1:37">
      <c r="A105" t="s">
        <v>1196</v>
      </c>
      <c r="B105" s="4">
        <v>5.52</v>
      </c>
      <c r="C105" s="4">
        <v>5.66</v>
      </c>
      <c r="D105" s="4">
        <v>5.52</v>
      </c>
      <c r="E105" s="4">
        <v>5.95</v>
      </c>
      <c r="F105" s="4">
        <v>5.72</v>
      </c>
      <c r="G105" s="4">
        <v>5.5</v>
      </c>
      <c r="H105" s="4">
        <v>5.29</v>
      </c>
      <c r="I105" s="4">
        <v>5.03</v>
      </c>
      <c r="J105" s="4">
        <v>4.9400000000000004</v>
      </c>
      <c r="K105" s="4">
        <v>5.32</v>
      </c>
      <c r="L105" s="4">
        <v>5.2</v>
      </c>
      <c r="M105" s="4">
        <v>5.38</v>
      </c>
      <c r="N105" s="4">
        <v>5.49</v>
      </c>
      <c r="O105" s="4">
        <v>5.21</v>
      </c>
      <c r="P105" s="4">
        <v>5.22</v>
      </c>
      <c r="Q105" s="4">
        <v>5.17</v>
      </c>
      <c r="R105" s="4">
        <v>5.28</v>
      </c>
      <c r="S105" s="4">
        <v>5.09</v>
      </c>
      <c r="T105" s="4">
        <v>5.05</v>
      </c>
      <c r="U105" s="4">
        <v>4.83</v>
      </c>
      <c r="V105" s="4">
        <v>7.01</v>
      </c>
      <c r="W105" s="4">
        <v>4.3899999999999997</v>
      </c>
      <c r="X105" s="4">
        <v>4.17</v>
      </c>
      <c r="Y105" s="49">
        <v>4.3499999999999996</v>
      </c>
      <c r="Z105" s="4">
        <v>4.29</v>
      </c>
      <c r="AA105" s="4">
        <v>4.3499999999999996</v>
      </c>
      <c r="AB105" s="4">
        <v>4.37</v>
      </c>
      <c r="AC105" s="4">
        <v>4.42</v>
      </c>
      <c r="AD105" s="4">
        <v>4.46</v>
      </c>
      <c r="AE105" s="4">
        <v>4.46</v>
      </c>
      <c r="AF105" s="4">
        <v>4.4800000000000004</v>
      </c>
      <c r="AG105" s="4">
        <v>4.43</v>
      </c>
      <c r="AH105" s="4">
        <v>4.37</v>
      </c>
      <c r="AI105" s="4">
        <v>4.3</v>
      </c>
      <c r="AJ105" s="4">
        <v>4.24</v>
      </c>
      <c r="AK105" s="4">
        <v>4.1500000000000004</v>
      </c>
    </row>
    <row r="106" spans="1:37">
      <c r="A106" t="s">
        <v>1197</v>
      </c>
      <c r="B106" s="4">
        <v>51.12</v>
      </c>
      <c r="C106" s="4">
        <v>49.59</v>
      </c>
      <c r="D106" s="4">
        <v>50.41</v>
      </c>
      <c r="E106" s="4">
        <v>50.36</v>
      </c>
      <c r="F106" s="4">
        <v>50.49</v>
      </c>
      <c r="G106" s="4">
        <v>50.46</v>
      </c>
      <c r="H106" s="4">
        <v>51.35</v>
      </c>
      <c r="I106" s="4">
        <v>50.71</v>
      </c>
      <c r="J106" s="4">
        <v>30.01</v>
      </c>
      <c r="K106" s="4">
        <v>28.89</v>
      </c>
      <c r="L106" s="4">
        <v>49.99</v>
      </c>
      <c r="M106" s="4">
        <v>50.17</v>
      </c>
      <c r="N106" s="4">
        <v>49.62</v>
      </c>
      <c r="O106" s="4">
        <v>44.72</v>
      </c>
      <c r="P106" s="4">
        <v>48.79</v>
      </c>
      <c r="Q106" s="4">
        <v>45.14</v>
      </c>
      <c r="R106" s="4">
        <v>44.67</v>
      </c>
      <c r="S106" s="4">
        <v>44.89</v>
      </c>
      <c r="T106" s="4">
        <v>44.25</v>
      </c>
      <c r="U106" s="4">
        <v>43.93</v>
      </c>
      <c r="V106" s="4">
        <v>43.41</v>
      </c>
      <c r="W106" s="4">
        <v>43.09</v>
      </c>
      <c r="X106" s="4">
        <v>42.85</v>
      </c>
      <c r="Y106" s="49">
        <v>42.77</v>
      </c>
      <c r="Z106" s="4">
        <v>42.55</v>
      </c>
      <c r="AA106" s="4">
        <v>42.34</v>
      </c>
      <c r="AB106" s="4">
        <v>42.13</v>
      </c>
      <c r="AC106" s="4">
        <v>41.87</v>
      </c>
      <c r="AD106" s="4">
        <v>41.61</v>
      </c>
      <c r="AE106" s="4">
        <v>41.33</v>
      </c>
      <c r="AF106" s="4">
        <v>41</v>
      </c>
      <c r="AG106" s="4">
        <v>40.68</v>
      </c>
      <c r="AH106" s="4">
        <v>40.36</v>
      </c>
      <c r="AI106" s="4">
        <v>40.06</v>
      </c>
      <c r="AJ106" s="4">
        <v>39.78</v>
      </c>
      <c r="AK106" s="4">
        <v>39.549999999999997</v>
      </c>
    </row>
    <row r="107" spans="1:37">
      <c r="A107" t="s">
        <v>1198</v>
      </c>
      <c r="B107" s="4">
        <v>182.82</v>
      </c>
      <c r="C107" s="4">
        <v>183.65</v>
      </c>
      <c r="D107" s="4">
        <v>183.03</v>
      </c>
      <c r="E107" s="4">
        <v>185.81</v>
      </c>
      <c r="F107" s="4">
        <v>188.99</v>
      </c>
      <c r="G107" s="4">
        <v>198.93</v>
      </c>
      <c r="H107" s="4">
        <v>198.38</v>
      </c>
      <c r="I107" s="4">
        <v>197.76</v>
      </c>
      <c r="J107" s="4">
        <v>196.49</v>
      </c>
      <c r="K107" s="4">
        <v>196.15</v>
      </c>
      <c r="L107" s="4">
        <v>194.08</v>
      </c>
      <c r="M107" s="4">
        <v>192.11</v>
      </c>
      <c r="N107" s="4">
        <v>191.35</v>
      </c>
      <c r="O107" s="4">
        <v>189.18</v>
      </c>
      <c r="P107" s="4">
        <v>186.39</v>
      </c>
      <c r="Q107" s="4">
        <v>186.01</v>
      </c>
      <c r="R107" s="4">
        <v>185.77</v>
      </c>
      <c r="S107" s="4">
        <v>183.37</v>
      </c>
      <c r="T107" s="4">
        <v>181.94</v>
      </c>
      <c r="U107" s="4">
        <v>179.2</v>
      </c>
      <c r="V107" s="4">
        <v>0</v>
      </c>
      <c r="W107" s="4">
        <v>0</v>
      </c>
      <c r="X107" s="4">
        <v>0</v>
      </c>
      <c r="Y107" s="49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</row>
    <row r="108" spans="1:37">
      <c r="A108" t="s">
        <v>1199</v>
      </c>
      <c r="B108" s="4">
        <v>1327.49</v>
      </c>
      <c r="C108" s="4">
        <v>1094.28</v>
      </c>
      <c r="D108" s="4">
        <v>852.98</v>
      </c>
      <c r="E108" s="4">
        <v>1077.3800000000001</v>
      </c>
      <c r="F108" s="4">
        <v>995.32</v>
      </c>
      <c r="G108" s="4">
        <v>1002.31</v>
      </c>
      <c r="H108" s="4">
        <v>1190.45</v>
      </c>
      <c r="I108" s="4">
        <v>857.48</v>
      </c>
      <c r="J108" s="4">
        <v>628.04999999999995</v>
      </c>
      <c r="K108" s="4">
        <v>646.63</v>
      </c>
      <c r="L108" s="4">
        <v>876.46</v>
      </c>
      <c r="M108" s="4">
        <v>953.91</v>
      </c>
      <c r="N108" s="4">
        <v>830.36</v>
      </c>
      <c r="O108" s="4">
        <v>782.86</v>
      </c>
      <c r="P108" s="4">
        <v>1062.6600000000001</v>
      </c>
      <c r="Q108" s="4">
        <v>983.37</v>
      </c>
      <c r="R108" s="4">
        <v>790.53</v>
      </c>
      <c r="S108" s="4">
        <v>942.17</v>
      </c>
      <c r="T108" s="4">
        <v>876.22</v>
      </c>
      <c r="U108" s="4">
        <v>571.58000000000004</v>
      </c>
      <c r="V108" s="4">
        <v>678.79</v>
      </c>
      <c r="W108" s="4">
        <v>631.29999999999995</v>
      </c>
      <c r="X108" s="4">
        <v>624.59</v>
      </c>
      <c r="Y108" s="49">
        <v>633.29</v>
      </c>
      <c r="Z108" s="4">
        <v>638.46</v>
      </c>
      <c r="AA108" s="4">
        <v>645.67999999999995</v>
      </c>
      <c r="AB108" s="4">
        <v>646</v>
      </c>
      <c r="AC108" s="4">
        <v>667.9</v>
      </c>
      <c r="AD108" s="4">
        <v>685.22</v>
      </c>
      <c r="AE108" s="4">
        <v>704.57</v>
      </c>
      <c r="AF108" s="4">
        <v>722.8</v>
      </c>
      <c r="AG108" s="4">
        <v>725.02</v>
      </c>
      <c r="AH108" s="4">
        <v>718.76</v>
      </c>
      <c r="AI108" s="4">
        <v>697.05</v>
      </c>
      <c r="AJ108" s="4">
        <v>672.63</v>
      </c>
      <c r="AK108" s="4">
        <v>653.30999999999995</v>
      </c>
    </row>
    <row r="109" spans="1:37">
      <c r="A109" t="s">
        <v>1200</v>
      </c>
      <c r="B109" s="4">
        <v>68.430000000000007</v>
      </c>
      <c r="C109" s="4">
        <v>57.43</v>
      </c>
      <c r="D109" s="4">
        <v>44.07</v>
      </c>
      <c r="E109" s="4">
        <v>56.73</v>
      </c>
      <c r="F109" s="4">
        <v>52.28</v>
      </c>
      <c r="G109" s="4">
        <v>52.52</v>
      </c>
      <c r="H109" s="4">
        <v>61.58</v>
      </c>
      <c r="I109" s="4">
        <v>44.24</v>
      </c>
      <c r="J109" s="4">
        <v>55.25</v>
      </c>
      <c r="K109" s="4">
        <v>59.23</v>
      </c>
      <c r="L109" s="4">
        <v>46.29</v>
      </c>
      <c r="M109" s="4">
        <v>49.62</v>
      </c>
      <c r="N109" s="4">
        <v>43.25</v>
      </c>
      <c r="O109" s="4">
        <v>45.2</v>
      </c>
      <c r="P109" s="4">
        <v>56.62</v>
      </c>
      <c r="Q109" s="4">
        <v>56.51</v>
      </c>
      <c r="R109" s="4">
        <v>45.72</v>
      </c>
      <c r="S109" s="4">
        <v>54.21</v>
      </c>
      <c r="T109" s="4">
        <v>50.35</v>
      </c>
      <c r="U109" s="4">
        <v>32.75</v>
      </c>
      <c r="V109" s="4">
        <v>77.790000000000006</v>
      </c>
      <c r="W109" s="4">
        <v>36.17</v>
      </c>
      <c r="X109" s="4">
        <v>35.79</v>
      </c>
      <c r="Y109" s="49">
        <v>36.29</v>
      </c>
      <c r="Z109" s="4">
        <v>36.590000000000003</v>
      </c>
      <c r="AA109" s="4">
        <v>37.01</v>
      </c>
      <c r="AB109" s="4">
        <v>37.03</v>
      </c>
      <c r="AC109" s="4">
        <v>38.29</v>
      </c>
      <c r="AD109" s="4">
        <v>39.29</v>
      </c>
      <c r="AE109" s="4">
        <v>40.4</v>
      </c>
      <c r="AF109" s="4">
        <v>41.45</v>
      </c>
      <c r="AG109" s="4">
        <v>41.58</v>
      </c>
      <c r="AH109" s="4">
        <v>41.22</v>
      </c>
      <c r="AI109" s="4">
        <v>39.979999999999997</v>
      </c>
      <c r="AJ109" s="4">
        <v>38.58</v>
      </c>
      <c r="AK109" s="4">
        <v>37.479999999999997</v>
      </c>
    </row>
    <row r="110" spans="1:37">
      <c r="A110" t="s">
        <v>1201</v>
      </c>
      <c r="B110" s="4">
        <v>413.15</v>
      </c>
      <c r="C110" s="4">
        <v>409.92</v>
      </c>
      <c r="D110" s="4">
        <v>407.03</v>
      </c>
      <c r="E110" s="4">
        <v>402.38</v>
      </c>
      <c r="F110" s="4">
        <v>399.92</v>
      </c>
      <c r="G110" s="4">
        <v>407.55</v>
      </c>
      <c r="H110" s="4">
        <v>407.61</v>
      </c>
      <c r="I110" s="4">
        <v>406.49</v>
      </c>
      <c r="J110" s="4">
        <v>404.96</v>
      </c>
      <c r="K110" s="4">
        <v>406.61</v>
      </c>
      <c r="L110" s="4">
        <v>405.39</v>
      </c>
      <c r="M110" s="4">
        <v>404.91</v>
      </c>
      <c r="N110" s="4">
        <v>407.7</v>
      </c>
      <c r="O110" s="4">
        <v>410.24</v>
      </c>
      <c r="P110" s="4">
        <v>412.37</v>
      </c>
      <c r="Q110" s="4">
        <v>415.59</v>
      </c>
      <c r="R110" s="4">
        <v>418.62</v>
      </c>
      <c r="S110" s="4">
        <v>420.44</v>
      </c>
      <c r="T110" s="4">
        <v>422.61</v>
      </c>
      <c r="U110" s="4">
        <v>418.13</v>
      </c>
      <c r="V110" s="4">
        <v>371.17</v>
      </c>
      <c r="W110" s="4">
        <v>374.43</v>
      </c>
      <c r="X110" s="4">
        <v>378.49</v>
      </c>
      <c r="Y110" s="49">
        <v>380.96</v>
      </c>
      <c r="Z110" s="4">
        <v>384.83</v>
      </c>
      <c r="AA110" s="4">
        <v>389.81</v>
      </c>
      <c r="AB110" s="4">
        <v>394.03</v>
      </c>
      <c r="AC110" s="4">
        <v>398.66</v>
      </c>
      <c r="AD110" s="4">
        <v>402.65</v>
      </c>
      <c r="AE110" s="4">
        <v>406.34</v>
      </c>
      <c r="AF110" s="4">
        <v>409.14</v>
      </c>
      <c r="AG110" s="4">
        <v>411.56</v>
      </c>
      <c r="AH110" s="4">
        <v>413.23</v>
      </c>
      <c r="AI110" s="4">
        <v>414.39</v>
      </c>
      <c r="AJ110" s="4">
        <v>414.83</v>
      </c>
      <c r="AK110" s="4">
        <v>414.55</v>
      </c>
    </row>
    <row r="111" spans="1:37">
      <c r="A111" t="s">
        <v>1202</v>
      </c>
      <c r="B111" s="4">
        <v>43.38</v>
      </c>
      <c r="C111" s="4">
        <v>43.27</v>
      </c>
      <c r="D111" s="4">
        <v>43.22</v>
      </c>
      <c r="E111" s="4">
        <v>42.88</v>
      </c>
      <c r="F111" s="4">
        <v>42.61</v>
      </c>
      <c r="G111" s="4">
        <v>42.23</v>
      </c>
      <c r="H111" s="4">
        <v>42.29</v>
      </c>
      <c r="I111" s="4">
        <v>42.28</v>
      </c>
      <c r="J111" s="4">
        <v>42.49</v>
      </c>
      <c r="K111" s="4">
        <v>42.62</v>
      </c>
      <c r="L111" s="4">
        <v>42.83</v>
      </c>
      <c r="M111" s="4">
        <v>42.92</v>
      </c>
      <c r="N111" s="4">
        <v>43.34</v>
      </c>
      <c r="O111" s="4">
        <v>43.66</v>
      </c>
      <c r="P111" s="4">
        <v>43.91</v>
      </c>
      <c r="Q111" s="4">
        <v>44.09</v>
      </c>
      <c r="R111" s="4">
        <v>44.26</v>
      </c>
      <c r="S111" s="4">
        <v>44.47</v>
      </c>
      <c r="T111" s="4">
        <v>44.7</v>
      </c>
      <c r="U111" s="4">
        <v>44.74</v>
      </c>
      <c r="V111" s="4">
        <v>39.76</v>
      </c>
      <c r="W111" s="4">
        <v>38.9</v>
      </c>
      <c r="X111" s="4">
        <v>39.200000000000003</v>
      </c>
      <c r="Y111" s="49">
        <v>39.46</v>
      </c>
      <c r="Z111" s="4">
        <v>39.799999999999997</v>
      </c>
      <c r="AA111" s="4">
        <v>40.18</v>
      </c>
      <c r="AB111" s="4">
        <v>40.54</v>
      </c>
      <c r="AC111" s="4">
        <v>40.79</v>
      </c>
      <c r="AD111" s="4">
        <v>40.97</v>
      </c>
      <c r="AE111" s="4">
        <v>41.14</v>
      </c>
      <c r="AF111" s="4">
        <v>41.15</v>
      </c>
      <c r="AG111" s="4">
        <v>41.25</v>
      </c>
      <c r="AH111" s="4">
        <v>41.39</v>
      </c>
      <c r="AI111" s="4">
        <v>41.48</v>
      </c>
      <c r="AJ111" s="4">
        <v>41.58</v>
      </c>
      <c r="AK111" s="4">
        <v>41.66</v>
      </c>
    </row>
    <row r="112" spans="1:37">
      <c r="A112" t="s">
        <v>1203</v>
      </c>
      <c r="B112" s="4">
        <v>55.52</v>
      </c>
      <c r="C112" s="4">
        <v>54.89</v>
      </c>
      <c r="D112" s="4">
        <v>55.83</v>
      </c>
      <c r="E112" s="4">
        <v>57.12</v>
      </c>
      <c r="F112" s="4">
        <v>57.79</v>
      </c>
      <c r="G112" s="4">
        <v>58.48</v>
      </c>
      <c r="H112" s="4">
        <v>58.48</v>
      </c>
      <c r="I112" s="4">
        <v>58.08</v>
      </c>
      <c r="J112" s="4">
        <v>58.29</v>
      </c>
      <c r="K112" s="4">
        <v>58.57</v>
      </c>
      <c r="L112" s="4">
        <v>59.11</v>
      </c>
      <c r="M112" s="4">
        <v>59.72</v>
      </c>
      <c r="N112" s="4">
        <v>59.06</v>
      </c>
      <c r="O112" s="4">
        <v>58.41</v>
      </c>
      <c r="P112" s="4">
        <v>58.22</v>
      </c>
      <c r="Q112" s="4">
        <v>58.76</v>
      </c>
      <c r="R112" s="4">
        <v>59.22</v>
      </c>
      <c r="S112" s="4">
        <v>59.95</v>
      </c>
      <c r="T112" s="4">
        <v>60.12</v>
      </c>
      <c r="U112" s="4">
        <v>60.92</v>
      </c>
      <c r="V112" s="4">
        <v>61.58</v>
      </c>
      <c r="W112" s="4">
        <v>61.91</v>
      </c>
      <c r="X112" s="4">
        <v>62.58</v>
      </c>
      <c r="Y112" s="49">
        <v>62.25</v>
      </c>
      <c r="Z112" s="4">
        <v>62.51</v>
      </c>
      <c r="AA112" s="4">
        <v>62.8</v>
      </c>
      <c r="AB112" s="4">
        <v>63.12</v>
      </c>
      <c r="AC112" s="4">
        <v>63.42</v>
      </c>
      <c r="AD112" s="4">
        <v>63.66</v>
      </c>
      <c r="AE112" s="4">
        <v>63.86</v>
      </c>
      <c r="AF112" s="4">
        <v>64.010000000000005</v>
      </c>
      <c r="AG112" s="4">
        <v>64.14</v>
      </c>
      <c r="AH112" s="4">
        <v>64.260000000000005</v>
      </c>
      <c r="AI112" s="4">
        <v>64.38</v>
      </c>
      <c r="AJ112" s="4">
        <v>64.489999999999995</v>
      </c>
      <c r="AK112" s="4">
        <v>64.540000000000006</v>
      </c>
    </row>
    <row r="113" spans="1:37">
      <c r="A113" t="s">
        <v>1204</v>
      </c>
      <c r="B113" s="4">
        <v>307.10000000000002</v>
      </c>
      <c r="C113" s="4">
        <v>304.87</v>
      </c>
      <c r="D113" s="4">
        <v>305.02</v>
      </c>
      <c r="E113" s="4">
        <v>303.33999999999997</v>
      </c>
      <c r="F113" s="4">
        <v>308.20999999999998</v>
      </c>
      <c r="G113" s="4">
        <v>322.72000000000003</v>
      </c>
      <c r="H113" s="4">
        <v>323.92</v>
      </c>
      <c r="I113" s="4">
        <v>324.45</v>
      </c>
      <c r="J113" s="4">
        <v>323</v>
      </c>
      <c r="K113" s="4">
        <v>318.31</v>
      </c>
      <c r="L113" s="4">
        <v>316.04000000000002</v>
      </c>
      <c r="M113" s="4">
        <v>310.64</v>
      </c>
      <c r="N113" s="4">
        <v>309.56</v>
      </c>
      <c r="O113" s="4">
        <v>309.2</v>
      </c>
      <c r="P113" s="4">
        <v>305.47000000000003</v>
      </c>
      <c r="Q113" s="4">
        <v>303.2</v>
      </c>
      <c r="R113" s="4">
        <v>299.37</v>
      </c>
      <c r="S113" s="4">
        <v>297.77999999999997</v>
      </c>
      <c r="T113" s="4">
        <v>295.11</v>
      </c>
      <c r="U113" s="4">
        <v>292.37</v>
      </c>
      <c r="V113" s="4">
        <v>113.3</v>
      </c>
      <c r="W113" s="4">
        <v>112.74</v>
      </c>
      <c r="X113" s="4">
        <v>112.48</v>
      </c>
      <c r="Y113" s="49">
        <v>111.8</v>
      </c>
      <c r="Z113" s="4">
        <v>111.3</v>
      </c>
      <c r="AA113" s="4">
        <v>110.75</v>
      </c>
      <c r="AB113" s="4">
        <v>110.14</v>
      </c>
      <c r="AC113" s="4">
        <v>109.43</v>
      </c>
      <c r="AD113" s="4">
        <v>108.88</v>
      </c>
      <c r="AE113" s="4">
        <v>108.19</v>
      </c>
      <c r="AF113" s="4">
        <v>107.5</v>
      </c>
      <c r="AG113" s="4">
        <v>106.75</v>
      </c>
      <c r="AH113" s="4">
        <v>105.94</v>
      </c>
      <c r="AI113" s="4">
        <v>105.23</v>
      </c>
      <c r="AJ113" s="4">
        <v>104.42</v>
      </c>
      <c r="AK113" s="4">
        <v>103.64</v>
      </c>
    </row>
    <row r="114" spans="1:37">
      <c r="A114" t="s">
        <v>1205</v>
      </c>
      <c r="B114" s="4">
        <v>25.32</v>
      </c>
      <c r="C114" s="4">
        <v>24.87</v>
      </c>
      <c r="D114" s="4">
        <v>24.91</v>
      </c>
      <c r="E114" s="4">
        <v>25.27</v>
      </c>
      <c r="F114" s="4">
        <v>25.64</v>
      </c>
      <c r="G114" s="4">
        <v>26.1</v>
      </c>
      <c r="H114" s="4">
        <v>26.33</v>
      </c>
      <c r="I114" s="4">
        <v>26.07</v>
      </c>
      <c r="J114" s="4">
        <v>26.38</v>
      </c>
      <c r="K114" s="4">
        <v>26.02</v>
      </c>
      <c r="L114" s="4">
        <v>25.98</v>
      </c>
      <c r="M114" s="4">
        <v>25.77</v>
      </c>
      <c r="N114" s="4">
        <v>25.52</v>
      </c>
      <c r="O114" s="4">
        <v>25.56</v>
      </c>
      <c r="P114" s="4">
        <v>25.5</v>
      </c>
      <c r="Q114" s="4">
        <v>25.28</v>
      </c>
      <c r="R114" s="4">
        <v>24.87</v>
      </c>
      <c r="S114" s="4">
        <v>24.84</v>
      </c>
      <c r="T114" s="4">
        <v>24.24</v>
      </c>
      <c r="U114" s="4">
        <v>24.03</v>
      </c>
      <c r="V114" s="4">
        <v>9.19</v>
      </c>
      <c r="W114" s="4">
        <v>9.1199999999999992</v>
      </c>
      <c r="X114" s="4">
        <v>9.07</v>
      </c>
      <c r="Y114" s="49">
        <v>9.06</v>
      </c>
      <c r="Z114" s="4">
        <v>9.01</v>
      </c>
      <c r="AA114" s="4">
        <v>8.9700000000000006</v>
      </c>
      <c r="AB114" s="4">
        <v>8.92</v>
      </c>
      <c r="AC114" s="4">
        <v>8.8699999999999992</v>
      </c>
      <c r="AD114" s="4">
        <v>8.81</v>
      </c>
      <c r="AE114" s="4">
        <v>8.75</v>
      </c>
      <c r="AF114" s="4">
        <v>8.68</v>
      </c>
      <c r="AG114" s="4">
        <v>8.61</v>
      </c>
      <c r="AH114" s="4">
        <v>8.5500000000000007</v>
      </c>
      <c r="AI114" s="4">
        <v>8.48</v>
      </c>
      <c r="AJ114" s="4">
        <v>8.42</v>
      </c>
      <c r="AK114" s="4">
        <v>8.3699999999999992</v>
      </c>
    </row>
    <row r="115" spans="1:37">
      <c r="A115" t="s">
        <v>1206</v>
      </c>
      <c r="B115" s="4">
        <v>452.73</v>
      </c>
      <c r="C115" s="4">
        <v>450.73</v>
      </c>
      <c r="D115" s="4">
        <v>450.73</v>
      </c>
      <c r="E115" s="4">
        <v>450.06</v>
      </c>
      <c r="F115" s="4">
        <v>455.64</v>
      </c>
      <c r="G115" s="4">
        <v>475.08</v>
      </c>
      <c r="H115" s="4">
        <v>476.63</v>
      </c>
      <c r="I115" s="4">
        <v>478.06</v>
      </c>
      <c r="J115" s="4">
        <v>473.67</v>
      </c>
      <c r="K115" s="4">
        <v>469.55</v>
      </c>
      <c r="L115" s="4">
        <v>465.48</v>
      </c>
      <c r="M115" s="4">
        <v>460.5</v>
      </c>
      <c r="N115" s="4">
        <v>456.21</v>
      </c>
      <c r="O115" s="4">
        <v>455</v>
      </c>
      <c r="P115" s="4">
        <v>452.03</v>
      </c>
      <c r="Q115" s="4">
        <v>449.82</v>
      </c>
      <c r="R115" s="4">
        <v>446.48</v>
      </c>
      <c r="S115" s="4">
        <v>445.3</v>
      </c>
      <c r="T115" s="4">
        <v>442.4</v>
      </c>
      <c r="U115" s="4">
        <v>438.1</v>
      </c>
      <c r="V115" s="4">
        <v>493.89</v>
      </c>
      <c r="W115" s="4">
        <v>518.13</v>
      </c>
      <c r="X115" s="4">
        <v>517.42999999999995</v>
      </c>
      <c r="Y115" s="49">
        <v>515.37</v>
      </c>
      <c r="Z115" s="4">
        <v>513.29</v>
      </c>
      <c r="AA115" s="4">
        <v>512.48</v>
      </c>
      <c r="AB115" s="4">
        <v>510.22</v>
      </c>
      <c r="AC115" s="4">
        <v>509.9</v>
      </c>
      <c r="AD115" s="4">
        <v>511.64</v>
      </c>
      <c r="AE115" s="4">
        <v>512.62</v>
      </c>
      <c r="AF115" s="4">
        <v>515.94000000000005</v>
      </c>
      <c r="AG115" s="4">
        <v>516.53</v>
      </c>
      <c r="AH115" s="4">
        <v>515.03</v>
      </c>
      <c r="AI115" s="4">
        <v>515.29</v>
      </c>
      <c r="AJ115" s="4">
        <v>514.12</v>
      </c>
      <c r="AK115" s="4">
        <v>513.19000000000005</v>
      </c>
    </row>
    <row r="116" spans="1:37">
      <c r="A116" t="s">
        <v>1207</v>
      </c>
      <c r="B116" s="4">
        <v>37.340000000000003</v>
      </c>
      <c r="C116" s="4">
        <v>36.78</v>
      </c>
      <c r="D116" s="4">
        <v>36.81</v>
      </c>
      <c r="E116" s="4">
        <v>37.5</v>
      </c>
      <c r="F116" s="4">
        <v>37.909999999999997</v>
      </c>
      <c r="G116" s="4">
        <v>38.42</v>
      </c>
      <c r="H116" s="4">
        <v>38.75</v>
      </c>
      <c r="I116" s="4">
        <v>38.4</v>
      </c>
      <c r="J116" s="4">
        <v>38.68</v>
      </c>
      <c r="K116" s="4">
        <v>38.380000000000003</v>
      </c>
      <c r="L116" s="4">
        <v>38.26</v>
      </c>
      <c r="M116" s="4">
        <v>38.200000000000003</v>
      </c>
      <c r="N116" s="4">
        <v>37.6</v>
      </c>
      <c r="O116" s="4">
        <v>37.61</v>
      </c>
      <c r="P116" s="4">
        <v>37.68</v>
      </c>
      <c r="Q116" s="4">
        <v>37.44</v>
      </c>
      <c r="R116" s="4">
        <v>37.020000000000003</v>
      </c>
      <c r="S116" s="4">
        <v>37.07</v>
      </c>
      <c r="T116" s="4">
        <v>36.25</v>
      </c>
      <c r="U116" s="4">
        <v>35.93</v>
      </c>
      <c r="V116" s="4">
        <v>39.97</v>
      </c>
      <c r="W116" s="4">
        <v>41.84</v>
      </c>
      <c r="X116" s="4">
        <v>41.65</v>
      </c>
      <c r="Y116" s="49">
        <v>41.65</v>
      </c>
      <c r="Z116" s="4">
        <v>41.46</v>
      </c>
      <c r="AA116" s="4">
        <v>41.39</v>
      </c>
      <c r="AB116" s="4">
        <v>41.22</v>
      </c>
      <c r="AC116" s="4">
        <v>41.2</v>
      </c>
      <c r="AD116" s="4">
        <v>41.28</v>
      </c>
      <c r="AE116" s="4">
        <v>41.34</v>
      </c>
      <c r="AF116" s="4">
        <v>41.53</v>
      </c>
      <c r="AG116" s="4">
        <v>41.54</v>
      </c>
      <c r="AH116" s="4">
        <v>41.4</v>
      </c>
      <c r="AI116" s="4">
        <v>41.4</v>
      </c>
      <c r="AJ116" s="4">
        <v>41.33</v>
      </c>
      <c r="AK116" s="4">
        <v>41.33</v>
      </c>
    </row>
    <row r="117" spans="1:37">
      <c r="A117" t="s">
        <v>1208</v>
      </c>
      <c r="B117" s="4">
        <v>-7.32</v>
      </c>
      <c r="C117" s="4">
        <v>-3.15</v>
      </c>
      <c r="D117" s="4">
        <v>-1.62</v>
      </c>
      <c r="E117" s="4">
        <v>-0.88</v>
      </c>
      <c r="F117" s="4">
        <v>-0.56999999999999995</v>
      </c>
      <c r="G117" s="4">
        <v>-5.95</v>
      </c>
      <c r="H117" s="4">
        <v>-4.7300000000000004</v>
      </c>
      <c r="I117" s="4">
        <v>-3.54</v>
      </c>
      <c r="J117" s="4">
        <v>-2.52</v>
      </c>
      <c r="K117" s="4">
        <v>-2.0099999999999998</v>
      </c>
      <c r="L117" s="4">
        <v>-1.29</v>
      </c>
      <c r="M117" s="4">
        <v>-0.6</v>
      </c>
      <c r="N117" s="4">
        <v>-4.26</v>
      </c>
      <c r="O117" s="4">
        <v>-0.86</v>
      </c>
      <c r="P117" s="4">
        <v>1.03</v>
      </c>
      <c r="Q117" s="4">
        <v>1.35</v>
      </c>
      <c r="R117" s="4">
        <v>1.46</v>
      </c>
      <c r="S117" s="4">
        <v>1.28</v>
      </c>
      <c r="T117" s="4">
        <v>1.53</v>
      </c>
      <c r="U117" s="4">
        <v>3.01</v>
      </c>
      <c r="V117" s="4">
        <v>3.01</v>
      </c>
      <c r="W117" s="4">
        <v>3.77</v>
      </c>
      <c r="X117" s="4">
        <v>4.13</v>
      </c>
      <c r="Y117" s="49">
        <v>5.08</v>
      </c>
      <c r="Z117" s="4">
        <v>5.79</v>
      </c>
      <c r="AA117" s="4">
        <v>6.57</v>
      </c>
      <c r="AB117" s="4">
        <v>7.45</v>
      </c>
      <c r="AC117" s="4">
        <v>8.48</v>
      </c>
      <c r="AD117" s="4">
        <v>9.2799999999999994</v>
      </c>
      <c r="AE117" s="4">
        <v>10.32</v>
      </c>
      <c r="AF117" s="4">
        <v>11.35</v>
      </c>
      <c r="AG117" s="4">
        <v>12.5</v>
      </c>
      <c r="AH117" s="4">
        <v>13.76</v>
      </c>
      <c r="AI117" s="4">
        <v>14.87</v>
      </c>
      <c r="AJ117" s="4">
        <v>16.170000000000002</v>
      </c>
      <c r="AK117" s="4">
        <v>17.440000000000001</v>
      </c>
    </row>
    <row r="118" spans="1:37">
      <c r="A118" t="s">
        <v>1172</v>
      </c>
      <c r="B118" s="4">
        <v>-1.27</v>
      </c>
      <c r="C118" s="4">
        <v>-2.5099999999999998</v>
      </c>
      <c r="D118" s="4">
        <v>-4</v>
      </c>
      <c r="E118" s="4">
        <v>-3.52</v>
      </c>
      <c r="F118" s="4">
        <v>-3.09</v>
      </c>
      <c r="G118" s="4">
        <v>-2.0299999999999998</v>
      </c>
      <c r="H118" s="4">
        <v>-1.84</v>
      </c>
      <c r="I118" s="4">
        <v>-1.48</v>
      </c>
      <c r="J118" s="4">
        <v>-1.5</v>
      </c>
      <c r="K118" s="4">
        <v>-1.39</v>
      </c>
      <c r="L118" s="4">
        <v>-1.23</v>
      </c>
      <c r="M118" s="4">
        <v>-1.03</v>
      </c>
      <c r="N118" s="4">
        <v>0.61</v>
      </c>
      <c r="O118" s="4">
        <v>1.84</v>
      </c>
      <c r="P118" s="4">
        <v>2.42</v>
      </c>
      <c r="Q118" s="4">
        <v>3.21</v>
      </c>
      <c r="R118" s="4">
        <v>3.55</v>
      </c>
      <c r="S118" s="4">
        <v>3.73</v>
      </c>
      <c r="T118" s="4">
        <v>3.22</v>
      </c>
      <c r="U118" s="4">
        <v>2.8</v>
      </c>
      <c r="V118" s="4">
        <v>2.42</v>
      </c>
      <c r="W118" s="4">
        <v>7.98</v>
      </c>
      <c r="X118" s="4">
        <v>8.83</v>
      </c>
      <c r="Y118" s="49">
        <v>9.76</v>
      </c>
      <c r="Z118" s="4">
        <v>10.75</v>
      </c>
      <c r="AA118" s="4">
        <v>12.09</v>
      </c>
      <c r="AB118" s="4">
        <v>13.29</v>
      </c>
      <c r="AC118" s="4">
        <v>15.25</v>
      </c>
      <c r="AD118" s="4">
        <v>17.02</v>
      </c>
      <c r="AE118" s="4">
        <v>18.95</v>
      </c>
      <c r="AF118" s="4">
        <v>21.13</v>
      </c>
      <c r="AG118" s="4">
        <v>22.94</v>
      </c>
      <c r="AH118" s="4">
        <v>24.38</v>
      </c>
      <c r="AI118" s="4">
        <v>25.67</v>
      </c>
      <c r="AJ118" s="4">
        <v>26.79</v>
      </c>
      <c r="AK118" s="4">
        <v>27.69</v>
      </c>
    </row>
    <row r="119" spans="1:37">
      <c r="A119" t="s">
        <v>1173</v>
      </c>
      <c r="B119" s="4">
        <v>-17.600000000000001</v>
      </c>
      <c r="C119" s="4">
        <v>-1.27</v>
      </c>
      <c r="D119" s="4">
        <v>-1.1499999999999999</v>
      </c>
      <c r="E119" s="4">
        <v>-6.2</v>
      </c>
      <c r="F119" s="4">
        <v>-4.93</v>
      </c>
      <c r="G119" s="4">
        <v>-3.52</v>
      </c>
      <c r="H119" s="4">
        <v>-3.77</v>
      </c>
      <c r="I119" s="4">
        <v>-1.04</v>
      </c>
      <c r="J119" s="4">
        <v>-2.12</v>
      </c>
      <c r="K119" s="4">
        <v>-2.19</v>
      </c>
      <c r="L119" s="4">
        <v>-1.71</v>
      </c>
      <c r="M119" s="4">
        <v>-2.0499999999999998</v>
      </c>
      <c r="N119" s="4">
        <v>11.95</v>
      </c>
      <c r="O119" s="4">
        <v>6.59</v>
      </c>
      <c r="P119" s="4">
        <v>1.7</v>
      </c>
      <c r="Q119" s="4">
        <v>1.91</v>
      </c>
      <c r="R119" s="4">
        <v>2.59</v>
      </c>
      <c r="S119" s="4">
        <v>2.1800000000000002</v>
      </c>
      <c r="T119" s="4">
        <v>4.62</v>
      </c>
      <c r="U119" s="4">
        <v>5.65</v>
      </c>
      <c r="V119" s="4">
        <v>7.53</v>
      </c>
      <c r="W119" s="4">
        <v>8.69</v>
      </c>
      <c r="X119" s="4">
        <v>9.58</v>
      </c>
      <c r="Y119" s="49">
        <v>9.89</v>
      </c>
      <c r="Z119" s="4">
        <v>10.69</v>
      </c>
      <c r="AA119" s="4">
        <v>11.48</v>
      </c>
      <c r="AB119" s="4">
        <v>12.31</v>
      </c>
      <c r="AC119" s="4">
        <v>13.31</v>
      </c>
      <c r="AD119" s="4">
        <v>14.32</v>
      </c>
      <c r="AE119" s="4">
        <v>15.44</v>
      </c>
      <c r="AF119" s="4">
        <v>16.77</v>
      </c>
      <c r="AG119" s="4">
        <v>18.09</v>
      </c>
      <c r="AH119" s="4">
        <v>19.440000000000001</v>
      </c>
      <c r="AI119" s="4">
        <v>20.7</v>
      </c>
      <c r="AJ119" s="4">
        <v>21.89</v>
      </c>
      <c r="AK119" s="4">
        <v>22.9</v>
      </c>
    </row>
    <row r="120" spans="1:37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9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spans="1:37">
      <c r="A121" t="s">
        <v>1209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9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spans="1:37">
      <c r="A122" t="s">
        <v>1210</v>
      </c>
      <c r="B122" s="4">
        <v>15.08</v>
      </c>
      <c r="C122" s="4">
        <v>14.98</v>
      </c>
      <c r="D122" s="4">
        <v>14.95</v>
      </c>
      <c r="E122" s="4">
        <v>15.48</v>
      </c>
      <c r="F122" s="4">
        <v>15.72</v>
      </c>
      <c r="G122" s="4">
        <v>16.09</v>
      </c>
      <c r="H122" s="4">
        <v>16.13</v>
      </c>
      <c r="I122" s="4">
        <v>15.89</v>
      </c>
      <c r="J122" s="4">
        <v>16.05</v>
      </c>
      <c r="K122" s="4">
        <v>16.03</v>
      </c>
      <c r="L122" s="4">
        <v>15.95</v>
      </c>
      <c r="M122" s="4">
        <v>15.94</v>
      </c>
      <c r="N122" s="4">
        <v>15.77</v>
      </c>
      <c r="O122" s="4">
        <v>15.64</v>
      </c>
      <c r="P122" s="4">
        <v>15.56</v>
      </c>
      <c r="Q122" s="4">
        <v>15.51</v>
      </c>
      <c r="R122" s="4">
        <v>15.43</v>
      </c>
      <c r="S122" s="4">
        <v>15.3</v>
      </c>
      <c r="T122" s="4">
        <v>14.94</v>
      </c>
      <c r="U122" s="4">
        <v>14.73</v>
      </c>
      <c r="V122" s="4">
        <v>0</v>
      </c>
      <c r="W122" s="4">
        <v>0</v>
      </c>
      <c r="X122" s="4">
        <v>0</v>
      </c>
      <c r="Y122" s="49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</row>
    <row r="123" spans="1:37">
      <c r="A123" t="s">
        <v>1211</v>
      </c>
      <c r="B123" s="4">
        <v>25.45</v>
      </c>
      <c r="C123" s="4">
        <v>25.29</v>
      </c>
      <c r="D123" s="4">
        <v>25.29</v>
      </c>
      <c r="E123" s="4">
        <v>26.17</v>
      </c>
      <c r="F123" s="4">
        <v>26.45</v>
      </c>
      <c r="G123" s="4">
        <v>26.89</v>
      </c>
      <c r="H123" s="4">
        <v>27.03</v>
      </c>
      <c r="I123" s="4">
        <v>26.76</v>
      </c>
      <c r="J123" s="4">
        <v>26.88</v>
      </c>
      <c r="K123" s="4">
        <v>26.95</v>
      </c>
      <c r="L123" s="4">
        <v>26.77</v>
      </c>
      <c r="M123" s="4">
        <v>26.91</v>
      </c>
      <c r="N123" s="4">
        <v>26.45</v>
      </c>
      <c r="O123" s="4">
        <v>26.31</v>
      </c>
      <c r="P123" s="4">
        <v>26.43</v>
      </c>
      <c r="Q123" s="4">
        <v>26.41</v>
      </c>
      <c r="R123" s="4">
        <v>26.33</v>
      </c>
      <c r="S123" s="4">
        <v>26.35</v>
      </c>
      <c r="T123" s="4">
        <v>25.83</v>
      </c>
      <c r="U123" s="4">
        <v>25.52</v>
      </c>
      <c r="V123" s="4">
        <v>25.95</v>
      </c>
      <c r="W123" s="4">
        <v>25.99</v>
      </c>
      <c r="X123" s="4">
        <v>26.06</v>
      </c>
      <c r="Y123" s="49">
        <v>26.27</v>
      </c>
      <c r="Z123" s="4">
        <v>26.32</v>
      </c>
      <c r="AA123" s="4">
        <v>26.49</v>
      </c>
      <c r="AB123" s="4">
        <v>26.55</v>
      </c>
      <c r="AC123" s="4">
        <v>26.74</v>
      </c>
      <c r="AD123" s="4">
        <v>27.02</v>
      </c>
      <c r="AE123" s="4">
        <v>27.26</v>
      </c>
      <c r="AF123" s="4">
        <v>27.64</v>
      </c>
      <c r="AG123" s="4">
        <v>27.81</v>
      </c>
      <c r="AH123" s="4">
        <v>27.81</v>
      </c>
      <c r="AI123" s="4">
        <v>27.94</v>
      </c>
      <c r="AJ123" s="4">
        <v>28</v>
      </c>
      <c r="AK123" s="4">
        <v>28.11</v>
      </c>
    </row>
    <row r="124" spans="1:37">
      <c r="A124" t="s">
        <v>1212</v>
      </c>
      <c r="B124" s="4">
        <v>6.44</v>
      </c>
      <c r="C124" s="4">
        <v>6.24</v>
      </c>
      <c r="D124" s="4">
        <v>6.29</v>
      </c>
      <c r="E124" s="4">
        <v>6.35</v>
      </c>
      <c r="F124" s="4">
        <v>6.4</v>
      </c>
      <c r="G124" s="4">
        <v>6.39</v>
      </c>
      <c r="H124" s="4">
        <v>6.46</v>
      </c>
      <c r="I124" s="4">
        <v>6.45</v>
      </c>
      <c r="J124" s="4">
        <v>6.48</v>
      </c>
      <c r="K124" s="4">
        <v>6.5</v>
      </c>
      <c r="L124" s="4">
        <v>6.5</v>
      </c>
      <c r="M124" s="4">
        <v>6.58</v>
      </c>
      <c r="N124" s="4">
        <v>6.73</v>
      </c>
      <c r="O124" s="4">
        <v>6.54</v>
      </c>
      <c r="P124" s="4">
        <v>6.68</v>
      </c>
      <c r="Q124" s="4">
        <v>6.7</v>
      </c>
      <c r="R124" s="4">
        <v>6.79</v>
      </c>
      <c r="S124" s="4">
        <v>6.88</v>
      </c>
      <c r="T124" s="4">
        <v>6.93</v>
      </c>
      <c r="U124" s="4">
        <v>7.01</v>
      </c>
      <c r="V124" s="4">
        <v>6.97</v>
      </c>
      <c r="W124" s="4">
        <v>6.94</v>
      </c>
      <c r="X124" s="4">
        <v>6.92</v>
      </c>
      <c r="Y124" s="49">
        <v>6.91</v>
      </c>
      <c r="Z124" s="4">
        <v>6.89</v>
      </c>
      <c r="AA124" s="4">
        <v>6.88</v>
      </c>
      <c r="AB124" s="4">
        <v>6.86</v>
      </c>
      <c r="AC124" s="4">
        <v>6.84</v>
      </c>
      <c r="AD124" s="4">
        <v>6.81</v>
      </c>
      <c r="AE124" s="4">
        <v>6.79</v>
      </c>
      <c r="AF124" s="4">
        <v>6.76</v>
      </c>
      <c r="AG124" s="4">
        <v>6.73</v>
      </c>
      <c r="AH124" s="4">
        <v>6.71</v>
      </c>
      <c r="AI124" s="4">
        <v>6.68</v>
      </c>
      <c r="AJ124" s="4">
        <v>6.65</v>
      </c>
      <c r="AK124" s="4">
        <v>6.63</v>
      </c>
    </row>
    <row r="125" spans="1:37">
      <c r="A125" t="s">
        <v>1213</v>
      </c>
      <c r="B125" s="4">
        <v>2.12</v>
      </c>
      <c r="C125" s="4">
        <v>2.0099999999999998</v>
      </c>
      <c r="D125" s="4">
        <v>2.06</v>
      </c>
      <c r="E125" s="4">
        <v>2.08</v>
      </c>
      <c r="F125" s="4">
        <v>2.1</v>
      </c>
      <c r="G125" s="4">
        <v>2.1</v>
      </c>
      <c r="H125" s="4">
        <v>2.12</v>
      </c>
      <c r="I125" s="4">
        <v>2.11</v>
      </c>
      <c r="J125" s="4">
        <v>2.11</v>
      </c>
      <c r="K125" s="4">
        <v>2.1</v>
      </c>
      <c r="L125" s="4">
        <v>2.09</v>
      </c>
      <c r="M125" s="4">
        <v>2.09</v>
      </c>
      <c r="N125" s="4">
        <v>1.99</v>
      </c>
      <c r="O125" s="4">
        <v>1.86</v>
      </c>
      <c r="P125" s="4">
        <v>1.87</v>
      </c>
      <c r="Q125" s="4">
        <v>1.84</v>
      </c>
      <c r="R125" s="4">
        <v>1.87</v>
      </c>
      <c r="S125" s="4">
        <v>1.93</v>
      </c>
      <c r="T125" s="4">
        <v>1.99</v>
      </c>
      <c r="U125" s="4">
        <v>2.0099999999999998</v>
      </c>
      <c r="V125" s="4">
        <v>2</v>
      </c>
      <c r="W125" s="4">
        <v>1.99</v>
      </c>
      <c r="X125" s="4">
        <v>1.99</v>
      </c>
      <c r="Y125" s="49">
        <v>1.98</v>
      </c>
      <c r="Z125" s="4">
        <v>1.98</v>
      </c>
      <c r="AA125" s="4">
        <v>1.97</v>
      </c>
      <c r="AB125" s="4">
        <v>1.97</v>
      </c>
      <c r="AC125" s="4">
        <v>1.96</v>
      </c>
      <c r="AD125" s="4">
        <v>1.96</v>
      </c>
      <c r="AE125" s="4">
        <v>1.95</v>
      </c>
      <c r="AF125" s="4">
        <v>1.94</v>
      </c>
      <c r="AG125" s="4">
        <v>1.93</v>
      </c>
      <c r="AH125" s="4">
        <v>1.92</v>
      </c>
      <c r="AI125" s="4">
        <v>1.92</v>
      </c>
      <c r="AJ125" s="4">
        <v>1.91</v>
      </c>
      <c r="AK125" s="4">
        <v>1.9</v>
      </c>
    </row>
    <row r="126" spans="1:37">
      <c r="A126" t="s">
        <v>1214</v>
      </c>
      <c r="B126" s="4">
        <v>0.01</v>
      </c>
      <c r="C126" s="4">
        <v>0.05</v>
      </c>
      <c r="D126" s="4">
        <v>7.0000000000000007E-2</v>
      </c>
      <c r="E126" s="4">
        <v>0.08</v>
      </c>
      <c r="F126" s="4">
        <v>0.08</v>
      </c>
      <c r="G126" s="4">
        <v>0.13</v>
      </c>
      <c r="H126" s="4">
        <v>0.14000000000000001</v>
      </c>
      <c r="I126" s="4">
        <v>0.17</v>
      </c>
      <c r="J126" s="4">
        <v>0.2</v>
      </c>
      <c r="K126" s="4">
        <v>0.2</v>
      </c>
      <c r="L126" s="4">
        <v>0.23</v>
      </c>
      <c r="M126" s="4">
        <v>0.26</v>
      </c>
      <c r="N126" s="4">
        <v>0.26</v>
      </c>
      <c r="O126" s="4">
        <v>0.24</v>
      </c>
      <c r="P126" s="4">
        <v>0.28999999999999998</v>
      </c>
      <c r="Q126" s="4">
        <v>0.26</v>
      </c>
      <c r="R126" s="4">
        <v>0.24</v>
      </c>
      <c r="S126" s="4">
        <v>0.21</v>
      </c>
      <c r="T126" s="4">
        <v>0.21</v>
      </c>
      <c r="U126" s="4">
        <v>0.32</v>
      </c>
      <c r="V126" s="4">
        <v>0.38</v>
      </c>
      <c r="W126" s="4">
        <v>0.41</v>
      </c>
      <c r="X126" s="4">
        <v>0.48</v>
      </c>
      <c r="Y126" s="49">
        <v>0.54</v>
      </c>
      <c r="Z126" s="4">
        <v>0.06</v>
      </c>
      <c r="AA126" s="4">
        <v>0.13</v>
      </c>
      <c r="AB126" s="4">
        <v>0.21</v>
      </c>
      <c r="AC126" s="4">
        <v>0.28000000000000003</v>
      </c>
      <c r="AD126" s="4">
        <v>0.36</v>
      </c>
      <c r="AE126" s="4">
        <v>0.44</v>
      </c>
      <c r="AF126" s="4">
        <v>0.52</v>
      </c>
      <c r="AG126" s="4">
        <v>0.62</v>
      </c>
      <c r="AH126" s="4">
        <v>0.7</v>
      </c>
      <c r="AI126" s="4">
        <v>0.8</v>
      </c>
      <c r="AJ126" s="4">
        <v>0.9</v>
      </c>
      <c r="AK126" s="4">
        <v>1</v>
      </c>
    </row>
    <row r="127" spans="1:37">
      <c r="A127" t="s">
        <v>1215</v>
      </c>
      <c r="B127" s="4">
        <v>0.01</v>
      </c>
      <c r="C127" s="4">
        <v>0.03</v>
      </c>
      <c r="D127" s="4">
        <v>7.0000000000000007E-2</v>
      </c>
      <c r="E127" s="4">
        <v>0.08</v>
      </c>
      <c r="F127" s="4">
        <v>0.08</v>
      </c>
      <c r="G127" s="4">
        <v>0.13</v>
      </c>
      <c r="H127" s="4">
        <v>0.14000000000000001</v>
      </c>
      <c r="I127" s="4">
        <v>0.17</v>
      </c>
      <c r="J127" s="4">
        <v>0.2</v>
      </c>
      <c r="K127" s="4">
        <v>0.2</v>
      </c>
      <c r="L127" s="4">
        <v>0.23</v>
      </c>
      <c r="M127" s="4">
        <v>0.26</v>
      </c>
      <c r="N127" s="4">
        <v>0.26</v>
      </c>
      <c r="O127" s="4">
        <v>0.24</v>
      </c>
      <c r="P127" s="4">
        <v>0.28999999999999998</v>
      </c>
      <c r="Q127" s="4">
        <v>0.26</v>
      </c>
      <c r="R127" s="4">
        <v>0.24</v>
      </c>
      <c r="S127" s="4">
        <v>0.21</v>
      </c>
      <c r="T127" s="4">
        <v>0.21</v>
      </c>
      <c r="U127" s="4">
        <v>0.14000000000000001</v>
      </c>
      <c r="V127" s="4">
        <v>0.13</v>
      </c>
      <c r="W127" s="4">
        <v>0.13</v>
      </c>
      <c r="X127" s="4">
        <v>0.13</v>
      </c>
      <c r="Y127" s="49">
        <v>0.13</v>
      </c>
      <c r="Z127" s="4">
        <v>0.13</v>
      </c>
      <c r="AA127" s="4">
        <v>0.13</v>
      </c>
      <c r="AB127" s="4">
        <v>0.13</v>
      </c>
      <c r="AC127" s="4">
        <v>0.13</v>
      </c>
      <c r="AD127" s="4">
        <v>0.13</v>
      </c>
      <c r="AE127" s="4">
        <v>0.13</v>
      </c>
      <c r="AF127" s="4">
        <v>0.13</v>
      </c>
      <c r="AG127" s="4">
        <v>0.13</v>
      </c>
      <c r="AH127" s="4">
        <v>0.13</v>
      </c>
      <c r="AI127" s="4">
        <v>0.13</v>
      </c>
      <c r="AJ127" s="4">
        <v>0.13</v>
      </c>
      <c r="AK127" s="4">
        <v>0.13</v>
      </c>
    </row>
    <row r="128" spans="1:37">
      <c r="A128" t="s">
        <v>1216</v>
      </c>
      <c r="B128" s="4">
        <v>48.7</v>
      </c>
      <c r="C128" s="4">
        <v>49.86</v>
      </c>
      <c r="D128" s="4">
        <v>47.13</v>
      </c>
      <c r="E128" s="4">
        <v>48.17</v>
      </c>
      <c r="F128" s="4">
        <v>48.62</v>
      </c>
      <c r="G128" s="4">
        <v>48.39</v>
      </c>
      <c r="H128" s="4">
        <v>48.4</v>
      </c>
      <c r="I128" s="4">
        <v>48.54</v>
      </c>
      <c r="J128" s="4">
        <v>48.24</v>
      </c>
      <c r="K128" s="4">
        <v>48.27</v>
      </c>
      <c r="L128" s="4">
        <v>48.28</v>
      </c>
      <c r="M128" s="4">
        <v>48.03</v>
      </c>
      <c r="N128" s="4">
        <v>47.13</v>
      </c>
      <c r="O128" s="4">
        <v>48.34</v>
      </c>
      <c r="P128" s="4">
        <v>47.5</v>
      </c>
      <c r="Q128" s="4">
        <v>46.15</v>
      </c>
      <c r="R128" s="4">
        <v>46.9</v>
      </c>
      <c r="S128" s="4">
        <v>47.34</v>
      </c>
      <c r="T128" s="4">
        <v>47.97</v>
      </c>
      <c r="U128" s="4">
        <v>47.06</v>
      </c>
      <c r="V128" s="4">
        <v>47.06</v>
      </c>
      <c r="W128" s="4">
        <v>47.06</v>
      </c>
      <c r="X128" s="4">
        <v>47.06</v>
      </c>
      <c r="Y128" s="49">
        <v>47.06</v>
      </c>
      <c r="Z128" s="4">
        <v>47.06</v>
      </c>
      <c r="AA128" s="4">
        <v>47.06</v>
      </c>
      <c r="AB128" s="4">
        <v>47.06</v>
      </c>
      <c r="AC128" s="4">
        <v>47.06</v>
      </c>
      <c r="AD128" s="4">
        <v>47.06</v>
      </c>
      <c r="AE128" s="4">
        <v>47.06</v>
      </c>
      <c r="AF128" s="4">
        <v>47.06</v>
      </c>
      <c r="AG128" s="4">
        <v>47.06</v>
      </c>
      <c r="AH128" s="4">
        <v>47.06</v>
      </c>
      <c r="AI128" s="4">
        <v>47.06</v>
      </c>
      <c r="AJ128" s="4">
        <v>47.06</v>
      </c>
      <c r="AK128" s="4">
        <v>47.06</v>
      </c>
    </row>
    <row r="129" spans="1:37">
      <c r="A129" t="s">
        <v>1217</v>
      </c>
      <c r="B129" s="4">
        <v>2.69</v>
      </c>
      <c r="C129" s="4">
        <v>2.69</v>
      </c>
      <c r="D129" s="4">
        <v>2.5499999999999998</v>
      </c>
      <c r="E129" s="4">
        <v>2.64</v>
      </c>
      <c r="F129" s="4">
        <v>2.7</v>
      </c>
      <c r="G129" s="4">
        <v>2.68</v>
      </c>
      <c r="H129" s="4">
        <v>2.7</v>
      </c>
      <c r="I129" s="4">
        <v>2.71</v>
      </c>
      <c r="J129" s="4">
        <v>2.7</v>
      </c>
      <c r="K129" s="4">
        <v>2.71</v>
      </c>
      <c r="L129" s="4">
        <v>2.71</v>
      </c>
      <c r="M129" s="4">
        <v>2.73</v>
      </c>
      <c r="N129" s="4">
        <v>2.69</v>
      </c>
      <c r="O129" s="4">
        <v>2.7</v>
      </c>
      <c r="P129" s="4">
        <v>2.72</v>
      </c>
      <c r="Q129" s="4">
        <v>2.64</v>
      </c>
      <c r="R129" s="4">
        <v>2.73</v>
      </c>
      <c r="S129" s="4">
        <v>2.8</v>
      </c>
      <c r="T129" s="4">
        <v>2.87</v>
      </c>
      <c r="U129" s="4">
        <v>2.84</v>
      </c>
      <c r="V129" s="4">
        <v>2.83</v>
      </c>
      <c r="W129" s="4">
        <v>2.82</v>
      </c>
      <c r="X129" s="4">
        <v>2.81</v>
      </c>
      <c r="Y129" s="49">
        <v>2.81</v>
      </c>
      <c r="Z129" s="4">
        <v>2.8</v>
      </c>
      <c r="AA129" s="4">
        <v>2.79</v>
      </c>
      <c r="AB129" s="4">
        <v>2.78</v>
      </c>
      <c r="AC129" s="4">
        <v>2.78</v>
      </c>
      <c r="AD129" s="4">
        <v>2.77</v>
      </c>
      <c r="AE129" s="4">
        <v>2.76</v>
      </c>
      <c r="AF129" s="4">
        <v>2.75</v>
      </c>
      <c r="AG129" s="4">
        <v>2.73</v>
      </c>
      <c r="AH129" s="4">
        <v>2.72</v>
      </c>
      <c r="AI129" s="4">
        <v>2.71</v>
      </c>
      <c r="AJ129" s="4">
        <v>2.7</v>
      </c>
      <c r="AK129" s="4">
        <v>2.69</v>
      </c>
    </row>
    <row r="130" spans="1:37">
      <c r="A130" t="s">
        <v>1218</v>
      </c>
      <c r="B130" s="4">
        <v>3.14</v>
      </c>
      <c r="C130" s="4">
        <v>3.11</v>
      </c>
      <c r="D130" s="4">
        <v>2.96</v>
      </c>
      <c r="E130" s="4">
        <v>3.06</v>
      </c>
      <c r="F130" s="4">
        <v>3.11</v>
      </c>
      <c r="G130" s="4">
        <v>3.09</v>
      </c>
      <c r="H130" s="4">
        <v>3.13</v>
      </c>
      <c r="I130" s="4">
        <v>3.13</v>
      </c>
      <c r="J130" s="4">
        <v>3.13</v>
      </c>
      <c r="K130" s="4">
        <v>3.14</v>
      </c>
      <c r="L130" s="4">
        <v>3.14</v>
      </c>
      <c r="M130" s="4">
        <v>3.16</v>
      </c>
      <c r="N130" s="4">
        <v>3.17</v>
      </c>
      <c r="O130" s="4">
        <v>3.16</v>
      </c>
      <c r="P130" s="4">
        <v>3.17</v>
      </c>
      <c r="Q130" s="4">
        <v>3.09</v>
      </c>
      <c r="R130" s="4">
        <v>3.18</v>
      </c>
      <c r="S130" s="4">
        <v>3.26</v>
      </c>
      <c r="T130" s="4">
        <v>3.33</v>
      </c>
      <c r="U130" s="4">
        <v>3.3</v>
      </c>
      <c r="V130" s="4">
        <v>3.28</v>
      </c>
      <c r="W130" s="4">
        <v>3.27</v>
      </c>
      <c r="X130" s="4">
        <v>3.26</v>
      </c>
      <c r="Y130" s="49">
        <v>3.25</v>
      </c>
      <c r="Z130" s="4">
        <v>3.24</v>
      </c>
      <c r="AA130" s="4">
        <v>3.24</v>
      </c>
      <c r="AB130" s="4">
        <v>3.23</v>
      </c>
      <c r="AC130" s="4">
        <v>3.22</v>
      </c>
      <c r="AD130" s="4">
        <v>3.21</v>
      </c>
      <c r="AE130" s="4">
        <v>3.2</v>
      </c>
      <c r="AF130" s="4">
        <v>3.18</v>
      </c>
      <c r="AG130" s="4">
        <v>3.17</v>
      </c>
      <c r="AH130" s="4">
        <v>3.16</v>
      </c>
      <c r="AI130" s="4">
        <v>3.14</v>
      </c>
      <c r="AJ130" s="4">
        <v>3.13</v>
      </c>
      <c r="AK130" s="4">
        <v>3.12</v>
      </c>
    </row>
    <row r="131" spans="1:37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9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1:37">
      <c r="A132" t="s">
        <v>1219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9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1:37">
      <c r="A133" t="s">
        <v>1220</v>
      </c>
      <c r="B133" s="4">
        <v>3.31</v>
      </c>
      <c r="C133" s="4">
        <v>3.26</v>
      </c>
      <c r="D133" s="4">
        <v>3.27</v>
      </c>
      <c r="E133" s="4">
        <v>3.28</v>
      </c>
      <c r="F133" s="4">
        <v>3.3</v>
      </c>
      <c r="G133" s="4">
        <v>3.29</v>
      </c>
      <c r="H133" s="4">
        <v>3.3</v>
      </c>
      <c r="I133" s="4">
        <v>3.31</v>
      </c>
      <c r="J133" s="4">
        <v>3.35</v>
      </c>
      <c r="K133" s="4">
        <v>3.37</v>
      </c>
      <c r="L133" s="4">
        <v>3.38</v>
      </c>
      <c r="M133" s="4">
        <v>3.41</v>
      </c>
      <c r="N133" s="4">
        <v>3.69</v>
      </c>
      <c r="O133" s="4">
        <v>3.59</v>
      </c>
      <c r="P133" s="4">
        <v>3.73</v>
      </c>
      <c r="Q133" s="4">
        <v>3.76</v>
      </c>
      <c r="R133" s="4">
        <v>3.82</v>
      </c>
      <c r="S133" s="4">
        <v>3.85</v>
      </c>
      <c r="T133" s="4">
        <v>3.85</v>
      </c>
      <c r="U133" s="4">
        <v>3.86</v>
      </c>
      <c r="V133" s="4">
        <v>4.33</v>
      </c>
      <c r="W133" s="4">
        <v>4.84</v>
      </c>
      <c r="X133" s="4">
        <v>5.32</v>
      </c>
      <c r="Y133" s="49">
        <v>5.82</v>
      </c>
      <c r="Z133" s="4">
        <v>0.51</v>
      </c>
      <c r="AA133" s="4">
        <v>0.98</v>
      </c>
      <c r="AB133" s="4">
        <v>1.5</v>
      </c>
      <c r="AC133" s="4">
        <v>2</v>
      </c>
      <c r="AD133" s="4">
        <v>2.5099999999999998</v>
      </c>
      <c r="AE133" s="4">
        <v>3.02</v>
      </c>
      <c r="AF133" s="4">
        <v>3.54</v>
      </c>
      <c r="AG133" s="4">
        <v>4.07</v>
      </c>
      <c r="AH133" s="4">
        <v>4.59</v>
      </c>
      <c r="AI133" s="4">
        <v>5.12</v>
      </c>
      <c r="AJ133" s="4">
        <v>5.64</v>
      </c>
      <c r="AK133" s="4">
        <v>6.17</v>
      </c>
    </row>
    <row r="134" spans="1:37">
      <c r="A134" t="s">
        <v>1221</v>
      </c>
      <c r="B134" s="4">
        <v>19.73</v>
      </c>
      <c r="C134" s="4">
        <v>19.63</v>
      </c>
      <c r="D134" s="4">
        <v>19.420000000000002</v>
      </c>
      <c r="E134" s="4">
        <v>19.03</v>
      </c>
      <c r="F134" s="4">
        <v>18.89</v>
      </c>
      <c r="G134" s="4">
        <v>18.510000000000002</v>
      </c>
      <c r="H134" s="4">
        <v>18.510000000000002</v>
      </c>
      <c r="I134" s="4">
        <v>18.149999999999999</v>
      </c>
      <c r="J134" s="4">
        <v>18.059999999999999</v>
      </c>
      <c r="K134" s="4">
        <v>17.760000000000002</v>
      </c>
      <c r="L134" s="4">
        <v>17.62</v>
      </c>
      <c r="M134" s="4">
        <v>17.53</v>
      </c>
      <c r="N134" s="4">
        <v>16.7</v>
      </c>
      <c r="O134" s="4">
        <v>16.899999999999999</v>
      </c>
      <c r="P134" s="4">
        <v>17.07</v>
      </c>
      <c r="Q134" s="4">
        <v>16.79</v>
      </c>
      <c r="R134" s="4">
        <v>16.34</v>
      </c>
      <c r="S134" s="4">
        <v>16.13</v>
      </c>
      <c r="T134" s="4">
        <v>15.75</v>
      </c>
      <c r="U134" s="4">
        <v>15.55</v>
      </c>
      <c r="V134" s="4">
        <v>15.37</v>
      </c>
      <c r="W134" s="4">
        <v>15.16</v>
      </c>
      <c r="X134" s="4">
        <v>14.82</v>
      </c>
      <c r="Y134" s="49">
        <v>14.7</v>
      </c>
      <c r="Z134" s="4">
        <v>14.5</v>
      </c>
      <c r="AA134" s="4">
        <v>14.29</v>
      </c>
      <c r="AB134" s="4">
        <v>14.07</v>
      </c>
      <c r="AC134" s="4">
        <v>13.85</v>
      </c>
      <c r="AD134" s="4">
        <v>13.65</v>
      </c>
      <c r="AE134" s="4">
        <v>13.46</v>
      </c>
      <c r="AF134" s="4">
        <v>13.29</v>
      </c>
      <c r="AG134" s="4">
        <v>13.13</v>
      </c>
      <c r="AH134" s="4">
        <v>12.98</v>
      </c>
      <c r="AI134" s="4">
        <v>12.83</v>
      </c>
      <c r="AJ134" s="4">
        <v>12.68</v>
      </c>
      <c r="AK134" s="4">
        <v>12.56</v>
      </c>
    </row>
    <row r="135" spans="1:37">
      <c r="A135" t="s">
        <v>1222</v>
      </c>
      <c r="B135" s="4">
        <v>32.950000000000003</v>
      </c>
      <c r="C135" s="4">
        <v>32.479999999999997</v>
      </c>
      <c r="D135" s="4">
        <v>32.6</v>
      </c>
      <c r="E135" s="4">
        <v>33.25</v>
      </c>
      <c r="F135" s="4">
        <v>33.76</v>
      </c>
      <c r="G135" s="4">
        <v>34.33</v>
      </c>
      <c r="H135" s="4">
        <v>34.74</v>
      </c>
      <c r="I135" s="4">
        <v>34.520000000000003</v>
      </c>
      <c r="J135" s="4">
        <v>34.82</v>
      </c>
      <c r="K135" s="4">
        <v>34.86</v>
      </c>
      <c r="L135" s="4">
        <v>34.42</v>
      </c>
      <c r="M135" s="4">
        <v>34.340000000000003</v>
      </c>
      <c r="N135" s="4">
        <v>33.75</v>
      </c>
      <c r="O135" s="4">
        <v>33.89</v>
      </c>
      <c r="P135" s="4">
        <v>33.78</v>
      </c>
      <c r="Q135" s="4">
        <v>33.78</v>
      </c>
      <c r="R135" s="4">
        <v>33.15</v>
      </c>
      <c r="S135" s="4">
        <v>33.33</v>
      </c>
      <c r="T135" s="4">
        <v>32.64</v>
      </c>
      <c r="U135" s="4">
        <v>32.1</v>
      </c>
      <c r="V135" s="4">
        <v>31.92</v>
      </c>
      <c r="W135" s="4">
        <v>31.95</v>
      </c>
      <c r="X135" s="4">
        <v>32.020000000000003</v>
      </c>
      <c r="Y135" s="49">
        <v>32.25</v>
      </c>
      <c r="Z135" s="4">
        <v>32.409999999999997</v>
      </c>
      <c r="AA135" s="4">
        <v>32.6</v>
      </c>
      <c r="AB135" s="4">
        <v>32.68</v>
      </c>
      <c r="AC135" s="4">
        <v>32.869999999999997</v>
      </c>
      <c r="AD135" s="4">
        <v>33.19</v>
      </c>
      <c r="AE135" s="4">
        <v>33.43</v>
      </c>
      <c r="AF135" s="4">
        <v>33.79</v>
      </c>
      <c r="AG135" s="4">
        <v>33.94</v>
      </c>
      <c r="AH135" s="4">
        <v>34.049999999999997</v>
      </c>
      <c r="AI135" s="4">
        <v>34.21</v>
      </c>
      <c r="AJ135" s="4">
        <v>34.26</v>
      </c>
      <c r="AK135" s="4">
        <v>34.35</v>
      </c>
    </row>
    <row r="136" spans="1:37">
      <c r="A136" t="s">
        <v>1223</v>
      </c>
      <c r="B136" s="4">
        <v>17.52</v>
      </c>
      <c r="C136" s="4">
        <v>17.03</v>
      </c>
      <c r="D136" s="4">
        <v>17.11</v>
      </c>
      <c r="E136" s="4">
        <v>17.07</v>
      </c>
      <c r="F136" s="4">
        <v>17.22</v>
      </c>
      <c r="G136" s="4">
        <v>17.3</v>
      </c>
      <c r="H136" s="4">
        <v>17.579999999999998</v>
      </c>
      <c r="I136" s="4">
        <v>17.47</v>
      </c>
      <c r="J136" s="4">
        <v>17.61</v>
      </c>
      <c r="K136" s="4">
        <v>17.62</v>
      </c>
      <c r="L136" s="4">
        <v>17.2</v>
      </c>
      <c r="M136" s="4">
        <v>17.03</v>
      </c>
      <c r="N136" s="4">
        <v>16.61</v>
      </c>
      <c r="O136" s="4">
        <v>16.8</v>
      </c>
      <c r="P136" s="4">
        <v>16.559999999999999</v>
      </c>
      <c r="Q136" s="4">
        <v>16.489999999999998</v>
      </c>
      <c r="R136" s="4">
        <v>15.86</v>
      </c>
      <c r="S136" s="4">
        <v>16.04</v>
      </c>
      <c r="T136" s="4">
        <v>15.68</v>
      </c>
      <c r="U136" s="4">
        <v>15.33</v>
      </c>
      <c r="V136" s="4">
        <v>15.02</v>
      </c>
      <c r="W136" s="4">
        <v>14.94</v>
      </c>
      <c r="X136" s="4">
        <v>14.84</v>
      </c>
      <c r="Y136" s="49">
        <v>14.94</v>
      </c>
      <c r="Z136" s="4">
        <v>15.02</v>
      </c>
      <c r="AA136" s="4">
        <v>15.11</v>
      </c>
      <c r="AB136" s="4">
        <v>15.27</v>
      </c>
      <c r="AC136" s="4">
        <v>15.56</v>
      </c>
      <c r="AD136" s="4">
        <v>15.86</v>
      </c>
      <c r="AE136" s="4">
        <v>16.059999999999999</v>
      </c>
      <c r="AF136" s="4">
        <v>16.309999999999999</v>
      </c>
      <c r="AG136" s="4">
        <v>16.28</v>
      </c>
      <c r="AH136" s="4">
        <v>16.29</v>
      </c>
      <c r="AI136" s="4">
        <v>16.329999999999998</v>
      </c>
      <c r="AJ136" s="4">
        <v>16.22</v>
      </c>
      <c r="AK136" s="4">
        <v>16.12</v>
      </c>
    </row>
    <row r="137" spans="1:37">
      <c r="A137" t="s">
        <v>1224</v>
      </c>
      <c r="B137" s="4">
        <v>1</v>
      </c>
      <c r="C137" s="4">
        <v>1</v>
      </c>
      <c r="D137" s="4">
        <v>1</v>
      </c>
      <c r="E137" s="4">
        <v>1</v>
      </c>
      <c r="F137" s="4">
        <v>1</v>
      </c>
      <c r="G137" s="4">
        <v>1</v>
      </c>
      <c r="H137" s="4">
        <v>1</v>
      </c>
      <c r="I137" s="4">
        <v>1</v>
      </c>
      <c r="J137" s="4">
        <v>1</v>
      </c>
      <c r="K137" s="4">
        <v>1</v>
      </c>
      <c r="L137" s="4">
        <v>1</v>
      </c>
      <c r="M137" s="4">
        <v>1</v>
      </c>
      <c r="N137" s="4">
        <v>1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1</v>
      </c>
      <c r="V137" s="4">
        <v>1</v>
      </c>
      <c r="W137" s="4">
        <v>1</v>
      </c>
      <c r="X137" s="4">
        <v>1</v>
      </c>
      <c r="Y137" s="49">
        <v>1</v>
      </c>
      <c r="Z137" s="4">
        <v>1</v>
      </c>
      <c r="AA137" s="4">
        <v>1</v>
      </c>
      <c r="AB137" s="4">
        <v>1</v>
      </c>
      <c r="AC137" s="4">
        <v>1</v>
      </c>
      <c r="AD137" s="4">
        <v>1</v>
      </c>
      <c r="AE137" s="4">
        <v>1</v>
      </c>
      <c r="AF137" s="4">
        <v>1</v>
      </c>
      <c r="AG137" s="4">
        <v>1</v>
      </c>
      <c r="AH137" s="4">
        <v>1</v>
      </c>
      <c r="AI137" s="4">
        <v>1</v>
      </c>
      <c r="AJ137" s="4">
        <v>1</v>
      </c>
      <c r="AK137" s="4">
        <v>1</v>
      </c>
    </row>
    <row r="138" spans="1:37">
      <c r="A138" t="s">
        <v>1225</v>
      </c>
      <c r="B138" s="1">
        <v>20889</v>
      </c>
      <c r="C138" s="1">
        <v>20882</v>
      </c>
      <c r="D138" s="1">
        <v>20811</v>
      </c>
      <c r="E138" s="1">
        <v>20824</v>
      </c>
      <c r="F138" s="1">
        <v>20831</v>
      </c>
      <c r="G138" s="1">
        <v>20917</v>
      </c>
      <c r="H138" s="1">
        <v>20790</v>
      </c>
      <c r="I138" s="1">
        <v>20788</v>
      </c>
      <c r="J138" s="1">
        <v>20745</v>
      </c>
      <c r="K138" s="1">
        <v>20725</v>
      </c>
      <c r="L138" s="1">
        <v>20688</v>
      </c>
      <c r="M138" s="1">
        <v>20666</v>
      </c>
      <c r="N138" s="1">
        <v>20530</v>
      </c>
      <c r="O138" s="1">
        <v>20427</v>
      </c>
      <c r="P138" s="1">
        <v>20410</v>
      </c>
      <c r="Q138" s="1">
        <v>20429</v>
      </c>
      <c r="R138" s="1">
        <v>20406</v>
      </c>
      <c r="S138" s="1">
        <v>20433</v>
      </c>
      <c r="T138" s="1">
        <v>20405</v>
      </c>
      <c r="U138" s="1">
        <v>20383</v>
      </c>
      <c r="V138" s="1">
        <v>20332</v>
      </c>
      <c r="W138" s="1">
        <v>21072</v>
      </c>
      <c r="X138" s="1">
        <v>21186</v>
      </c>
      <c r="Y138" s="48">
        <v>21310</v>
      </c>
      <c r="Z138" s="1">
        <v>21442</v>
      </c>
      <c r="AA138" s="1">
        <v>21620</v>
      </c>
      <c r="AB138" s="1">
        <v>21780</v>
      </c>
      <c r="AC138" s="1">
        <v>22041</v>
      </c>
      <c r="AD138" s="1">
        <v>22277</v>
      </c>
      <c r="AE138" s="1">
        <v>22533</v>
      </c>
      <c r="AF138" s="1">
        <v>22824</v>
      </c>
      <c r="AG138" s="1">
        <v>23066</v>
      </c>
      <c r="AH138" s="1">
        <v>23257</v>
      </c>
      <c r="AI138" s="1">
        <v>23428</v>
      </c>
      <c r="AJ138" s="1">
        <v>23578</v>
      </c>
      <c r="AK138" s="1">
        <v>23698</v>
      </c>
    </row>
    <row r="139" spans="1:37">
      <c r="A139" t="s">
        <v>1226</v>
      </c>
      <c r="B139" s="1">
        <v>118424</v>
      </c>
      <c r="C139" s="1">
        <v>116029</v>
      </c>
      <c r="D139" s="1">
        <v>105529</v>
      </c>
      <c r="E139" s="1">
        <v>111156</v>
      </c>
      <c r="F139" s="1">
        <v>115039</v>
      </c>
      <c r="G139" s="1">
        <v>115046</v>
      </c>
      <c r="H139" s="1">
        <v>116180</v>
      </c>
      <c r="I139" s="1">
        <v>116409</v>
      </c>
      <c r="J139" s="1">
        <v>115182</v>
      </c>
      <c r="K139" s="1">
        <v>113440</v>
      </c>
      <c r="L139" s="1">
        <v>115495</v>
      </c>
      <c r="M139" s="1">
        <v>116946</v>
      </c>
      <c r="N139" s="1">
        <v>128974</v>
      </c>
      <c r="O139" s="1">
        <v>119488</v>
      </c>
      <c r="P139" s="1">
        <v>118515</v>
      </c>
      <c r="Q139" s="1">
        <v>107979</v>
      </c>
      <c r="R139" s="1">
        <v>112797</v>
      </c>
      <c r="S139" s="1">
        <v>115301</v>
      </c>
      <c r="T139" s="1">
        <v>122083</v>
      </c>
      <c r="U139" s="1">
        <v>118062</v>
      </c>
      <c r="V139" s="1">
        <v>129744</v>
      </c>
      <c r="W139" s="1">
        <v>146478</v>
      </c>
      <c r="X139" s="1">
        <v>160568</v>
      </c>
      <c r="Y139" s="48">
        <v>176522</v>
      </c>
      <c r="Z139" s="1">
        <v>15522</v>
      </c>
      <c r="AA139" s="1">
        <v>29829</v>
      </c>
      <c r="AB139" s="1">
        <v>45129</v>
      </c>
      <c r="AC139" s="1">
        <v>60791</v>
      </c>
      <c r="AD139" s="1">
        <v>75961</v>
      </c>
      <c r="AE139" s="1">
        <v>91525</v>
      </c>
      <c r="AF139" s="1">
        <v>107594</v>
      </c>
      <c r="AG139" s="1">
        <v>122457</v>
      </c>
      <c r="AH139" s="1">
        <v>137738</v>
      </c>
      <c r="AI139" s="1">
        <v>152883</v>
      </c>
      <c r="AJ139" s="1">
        <v>167316</v>
      </c>
      <c r="AK139" s="1">
        <v>182551</v>
      </c>
    </row>
    <row r="140" spans="1:37">
      <c r="A140" t="s">
        <v>1227</v>
      </c>
      <c r="B140" s="4">
        <v>91.16</v>
      </c>
      <c r="C140" s="4">
        <v>88.92</v>
      </c>
      <c r="D140" s="4">
        <v>87.99</v>
      </c>
      <c r="E140" s="4">
        <v>88.31</v>
      </c>
      <c r="F140" s="4">
        <v>87.66</v>
      </c>
      <c r="G140" s="4">
        <v>87.62</v>
      </c>
      <c r="H140" s="4">
        <v>88.2</v>
      </c>
      <c r="I140" s="4">
        <v>87.77</v>
      </c>
      <c r="J140" s="4">
        <v>88.19</v>
      </c>
      <c r="K140" s="4">
        <v>87.87</v>
      </c>
      <c r="L140" s="4">
        <v>87.98</v>
      </c>
      <c r="M140" s="4">
        <v>87.79</v>
      </c>
      <c r="N140" s="4">
        <v>87.19</v>
      </c>
      <c r="O140" s="4">
        <v>87.1</v>
      </c>
      <c r="P140" s="4">
        <v>87.68</v>
      </c>
      <c r="Q140" s="4">
        <v>88.78</v>
      </c>
      <c r="R140" s="4">
        <v>88.97</v>
      </c>
      <c r="S140" s="4">
        <v>88.74</v>
      </c>
      <c r="T140" s="4">
        <v>86.62</v>
      </c>
      <c r="U140" s="4">
        <v>86.13</v>
      </c>
      <c r="V140" s="4">
        <v>84.84</v>
      </c>
      <c r="W140" s="4">
        <v>87.29</v>
      </c>
      <c r="X140" s="4">
        <v>86.39</v>
      </c>
      <c r="Y140" s="49">
        <v>87.89</v>
      </c>
      <c r="Z140" s="4">
        <v>88.06</v>
      </c>
      <c r="AA140" s="4">
        <v>88.38</v>
      </c>
      <c r="AB140" s="4">
        <v>88.63</v>
      </c>
      <c r="AC140" s="4">
        <v>89.19</v>
      </c>
      <c r="AD140" s="4">
        <v>89.6</v>
      </c>
      <c r="AE140" s="4">
        <v>90.03</v>
      </c>
      <c r="AF140" s="4">
        <v>90.46</v>
      </c>
      <c r="AG140" s="4">
        <v>90.69</v>
      </c>
      <c r="AH140" s="4">
        <v>90.7</v>
      </c>
      <c r="AI140" s="4">
        <v>90.68</v>
      </c>
      <c r="AJ140" s="4">
        <v>90.61</v>
      </c>
      <c r="AK140" s="4">
        <v>90.54</v>
      </c>
    </row>
    <row r="141" spans="1:37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9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spans="1:37">
      <c r="A142" t="s">
        <v>1228</v>
      </c>
      <c r="B142" s="4">
        <v>8.49</v>
      </c>
      <c r="C142" s="4">
        <v>8.39</v>
      </c>
      <c r="D142" s="4">
        <v>8.41</v>
      </c>
      <c r="E142" s="4">
        <v>8.57</v>
      </c>
      <c r="F142" s="4">
        <v>8.57</v>
      </c>
      <c r="G142" s="4">
        <v>8.56</v>
      </c>
      <c r="H142" s="4">
        <v>8.61</v>
      </c>
      <c r="I142" s="4">
        <v>8.52</v>
      </c>
      <c r="J142" s="4">
        <v>8.48</v>
      </c>
      <c r="K142" s="4">
        <v>8.51</v>
      </c>
      <c r="L142" s="4">
        <v>8.5299999999999994</v>
      </c>
      <c r="M142" s="4">
        <v>8.6199999999999992</v>
      </c>
      <c r="N142" s="4">
        <v>8.56</v>
      </c>
      <c r="O142" s="4">
        <v>8.57</v>
      </c>
      <c r="P142" s="4">
        <v>8.66</v>
      </c>
      <c r="Q142" s="4">
        <v>8.65</v>
      </c>
      <c r="R142" s="4">
        <v>8.6300000000000008</v>
      </c>
      <c r="S142" s="4">
        <v>8.6300000000000008</v>
      </c>
      <c r="T142" s="4">
        <v>8.52</v>
      </c>
      <c r="U142" s="4">
        <v>8.52</v>
      </c>
      <c r="V142" s="4">
        <v>8.26</v>
      </c>
      <c r="W142" s="4">
        <v>8.24</v>
      </c>
      <c r="X142" s="4">
        <v>8.2200000000000006</v>
      </c>
      <c r="Y142" s="49">
        <v>8.25</v>
      </c>
      <c r="Z142" s="4">
        <v>8.25</v>
      </c>
      <c r="AA142" s="4">
        <v>8.24</v>
      </c>
      <c r="AB142" s="4">
        <v>8.25</v>
      </c>
      <c r="AC142" s="4">
        <v>8.25</v>
      </c>
      <c r="AD142" s="4">
        <v>8.24</v>
      </c>
      <c r="AE142" s="4">
        <v>8.23</v>
      </c>
      <c r="AF142" s="4">
        <v>8.2200000000000006</v>
      </c>
      <c r="AG142" s="4">
        <v>8.2100000000000009</v>
      </c>
      <c r="AH142" s="4">
        <v>8.2100000000000009</v>
      </c>
      <c r="AI142" s="4">
        <v>8.06</v>
      </c>
      <c r="AJ142" s="4">
        <v>8.07</v>
      </c>
      <c r="AK142" s="4">
        <v>8.08</v>
      </c>
    </row>
    <row r="143" spans="1:37">
      <c r="A143" t="s">
        <v>1229</v>
      </c>
      <c r="B143" s="4">
        <v>9.14</v>
      </c>
      <c r="C143" s="4">
        <v>6.95</v>
      </c>
      <c r="D143" s="4">
        <v>6.79</v>
      </c>
      <c r="E143" s="4">
        <v>7.24</v>
      </c>
      <c r="F143" s="4">
        <v>7.39</v>
      </c>
      <c r="G143" s="4">
        <v>7.44</v>
      </c>
      <c r="H143" s="4">
        <v>7.55</v>
      </c>
      <c r="I143" s="4">
        <v>7.63</v>
      </c>
      <c r="J143" s="4">
        <v>8.2200000000000006</v>
      </c>
      <c r="K143" s="4">
        <v>8.11</v>
      </c>
      <c r="L143" s="4">
        <v>8.2799999999999994</v>
      </c>
      <c r="M143" s="4">
        <v>8.6199999999999992</v>
      </c>
      <c r="N143" s="4">
        <v>8.5500000000000007</v>
      </c>
      <c r="O143" s="4">
        <v>8.61</v>
      </c>
      <c r="P143" s="4">
        <v>7.88</v>
      </c>
      <c r="Q143" s="4">
        <v>7.93</v>
      </c>
      <c r="R143" s="4">
        <v>8.25</v>
      </c>
      <c r="S143" s="4">
        <v>8.77</v>
      </c>
      <c r="T143" s="4">
        <v>7.97</v>
      </c>
      <c r="U143" s="4">
        <v>8.06</v>
      </c>
      <c r="V143" s="4">
        <v>8.23</v>
      </c>
      <c r="W143" s="4">
        <v>8.19</v>
      </c>
      <c r="X143" s="4">
        <v>8.17</v>
      </c>
      <c r="Y143" s="49">
        <v>8.1199999999999992</v>
      </c>
      <c r="Z143" s="4">
        <v>8.08</v>
      </c>
      <c r="AA143" s="4">
        <v>8.0399999999999991</v>
      </c>
      <c r="AB143" s="4">
        <v>8</v>
      </c>
      <c r="AC143" s="4">
        <v>7.95</v>
      </c>
      <c r="AD143" s="4">
        <v>7.91</v>
      </c>
      <c r="AE143" s="4">
        <v>7.86</v>
      </c>
      <c r="AF143" s="4">
        <v>7.81</v>
      </c>
      <c r="AG143" s="4">
        <v>7.76</v>
      </c>
      <c r="AH143" s="4">
        <v>7.7</v>
      </c>
      <c r="AI143" s="4">
        <v>7.8</v>
      </c>
      <c r="AJ143" s="4">
        <v>7.74</v>
      </c>
      <c r="AK143" s="4">
        <v>7.68</v>
      </c>
    </row>
    <row r="144" spans="1:37">
      <c r="A144" t="s">
        <v>1230</v>
      </c>
      <c r="B144" s="4">
        <v>0.99</v>
      </c>
      <c r="C144" s="4">
        <v>0.76</v>
      </c>
      <c r="D144" s="4">
        <v>0.74</v>
      </c>
      <c r="E144" s="4">
        <v>0.8</v>
      </c>
      <c r="F144" s="4">
        <v>0.81</v>
      </c>
      <c r="G144" s="4">
        <v>0.82</v>
      </c>
      <c r="H144" s="4">
        <v>0.83</v>
      </c>
      <c r="I144" s="4">
        <v>0.85</v>
      </c>
      <c r="J144" s="4">
        <v>0.9</v>
      </c>
      <c r="K144" s="4">
        <v>0.89</v>
      </c>
      <c r="L144" s="4">
        <v>0.91</v>
      </c>
      <c r="M144" s="4">
        <v>0.95</v>
      </c>
      <c r="N144" s="4">
        <v>0.95</v>
      </c>
      <c r="O144" s="4">
        <v>0.95</v>
      </c>
      <c r="P144" s="4">
        <v>0.87</v>
      </c>
      <c r="Q144" s="4">
        <v>0.88</v>
      </c>
      <c r="R144" s="4">
        <v>0.91</v>
      </c>
      <c r="S144" s="4">
        <v>0.96</v>
      </c>
      <c r="T144" s="4">
        <v>0.88</v>
      </c>
      <c r="U144" s="4">
        <v>0.9</v>
      </c>
      <c r="V144" s="4">
        <v>0.9</v>
      </c>
      <c r="W144" s="4">
        <v>0.87</v>
      </c>
      <c r="X144" s="4">
        <v>0.86</v>
      </c>
      <c r="Y144" s="49">
        <v>0.86</v>
      </c>
      <c r="Z144" s="4">
        <v>0.85</v>
      </c>
      <c r="AA144" s="4">
        <v>0.85</v>
      </c>
      <c r="AB144" s="4">
        <v>0.84</v>
      </c>
      <c r="AC144" s="4">
        <v>0.83</v>
      </c>
      <c r="AD144" s="4">
        <v>0.82</v>
      </c>
      <c r="AE144" s="4">
        <v>0.81</v>
      </c>
      <c r="AF144" s="4">
        <v>0.8</v>
      </c>
      <c r="AG144" s="4">
        <v>0.79</v>
      </c>
      <c r="AH144" s="4">
        <v>0.79</v>
      </c>
      <c r="AI144" s="4">
        <v>0.78</v>
      </c>
      <c r="AJ144" s="4">
        <v>0.78</v>
      </c>
      <c r="AK144" s="4">
        <v>0.77</v>
      </c>
    </row>
    <row r="145" spans="1:37">
      <c r="A145" t="s">
        <v>1231</v>
      </c>
      <c r="B145" s="4">
        <v>1.04</v>
      </c>
      <c r="C145" s="4">
        <v>1.04</v>
      </c>
      <c r="D145" s="4">
        <v>1.03</v>
      </c>
      <c r="E145" s="4">
        <v>1.02</v>
      </c>
      <c r="F145" s="4">
        <v>1.03</v>
      </c>
      <c r="G145" s="4">
        <v>1.05</v>
      </c>
      <c r="H145" s="4">
        <v>1.08</v>
      </c>
      <c r="I145" s="4">
        <v>1.1000000000000001</v>
      </c>
      <c r="J145" s="4">
        <v>1.1299999999999999</v>
      </c>
      <c r="K145" s="4">
        <v>1.1399999999999999</v>
      </c>
      <c r="L145" s="4">
        <v>1.17</v>
      </c>
      <c r="M145" s="4">
        <v>1.18</v>
      </c>
      <c r="N145" s="4">
        <v>1.34</v>
      </c>
      <c r="O145" s="4">
        <v>1.38</v>
      </c>
      <c r="P145" s="4">
        <v>1.44</v>
      </c>
      <c r="Q145" s="4">
        <v>1.42</v>
      </c>
      <c r="R145" s="4">
        <v>1.45</v>
      </c>
      <c r="S145" s="4">
        <v>1.49</v>
      </c>
      <c r="T145" s="4">
        <v>1.52</v>
      </c>
      <c r="U145" s="4">
        <v>1.52</v>
      </c>
      <c r="V145" s="4">
        <v>1.36</v>
      </c>
      <c r="W145" s="4">
        <v>1.2</v>
      </c>
      <c r="X145" s="4">
        <v>1.0900000000000001</v>
      </c>
      <c r="Y145" s="49">
        <v>0.99</v>
      </c>
      <c r="Z145" s="4">
        <v>11.87</v>
      </c>
      <c r="AA145" s="4">
        <v>5.91</v>
      </c>
      <c r="AB145" s="4">
        <v>3.93</v>
      </c>
      <c r="AC145" s="4">
        <v>2.93</v>
      </c>
      <c r="AD145" s="4">
        <v>2.33</v>
      </c>
      <c r="AE145" s="4">
        <v>1.93</v>
      </c>
      <c r="AF145" s="4">
        <v>1.64</v>
      </c>
      <c r="AG145" s="4">
        <v>1.43</v>
      </c>
      <c r="AH145" s="4">
        <v>1.26</v>
      </c>
      <c r="AI145" s="4">
        <v>1.1299999999999999</v>
      </c>
      <c r="AJ145" s="4">
        <v>1.03</v>
      </c>
      <c r="AK145" s="4">
        <v>0.94</v>
      </c>
    </row>
    <row r="146" spans="1:37">
      <c r="A146" t="s">
        <v>1232</v>
      </c>
      <c r="B146" s="4">
        <v>-16.84</v>
      </c>
      <c r="C146" s="4">
        <v>-18.38</v>
      </c>
      <c r="D146" s="4">
        <v>-17.73</v>
      </c>
      <c r="E146" s="4">
        <v>-20.04</v>
      </c>
      <c r="F146" s="4">
        <v>-18.84</v>
      </c>
      <c r="G146" s="4">
        <v>-17.72</v>
      </c>
      <c r="H146" s="4">
        <v>-16.2</v>
      </c>
      <c r="I146" s="4">
        <v>-14.96</v>
      </c>
      <c r="J146" s="4">
        <v>-14.19</v>
      </c>
      <c r="K146" s="4">
        <v>-16.7</v>
      </c>
      <c r="L146" s="4">
        <v>-16</v>
      </c>
      <c r="M146" s="4">
        <v>-17.52</v>
      </c>
      <c r="N146" s="4">
        <v>-17.22</v>
      </c>
      <c r="O146" s="4">
        <v>-15.63</v>
      </c>
      <c r="P146" s="4">
        <v>-15.63</v>
      </c>
      <c r="Q146" s="4">
        <v>-15.28</v>
      </c>
      <c r="R146" s="4">
        <v>-16.350000000000001</v>
      </c>
      <c r="S146" s="4">
        <v>-15.29</v>
      </c>
      <c r="T146" s="4">
        <v>-15.81</v>
      </c>
      <c r="U146" s="4">
        <v>-14.7</v>
      </c>
      <c r="V146" s="4">
        <v>-10.92</v>
      </c>
      <c r="W146" s="4">
        <v>-12.23</v>
      </c>
      <c r="X146" s="4">
        <v>-10.83</v>
      </c>
      <c r="Y146" s="49">
        <v>-12.22</v>
      </c>
      <c r="Z146" s="4">
        <v>-11.98</v>
      </c>
      <c r="AA146" s="4">
        <v>-12.58</v>
      </c>
      <c r="AB146" s="4">
        <v>-12.95</v>
      </c>
      <c r="AC146" s="4">
        <v>-13.62</v>
      </c>
      <c r="AD146" s="4">
        <v>-14.15</v>
      </c>
      <c r="AE146" s="4">
        <v>-14.47</v>
      </c>
      <c r="AF146" s="4">
        <v>-14.9</v>
      </c>
      <c r="AG146" s="4">
        <v>-14.86</v>
      </c>
      <c r="AH146" s="4">
        <v>-14.68</v>
      </c>
      <c r="AI146" s="4">
        <v>-14.48</v>
      </c>
      <c r="AJ146" s="4">
        <v>-14.26</v>
      </c>
      <c r="AK146" s="4">
        <v>-13.75</v>
      </c>
    </row>
    <row r="147" spans="1:37">
      <c r="A147" t="s">
        <v>1233</v>
      </c>
      <c r="B147" s="4">
        <v>31</v>
      </c>
      <c r="C147" s="4">
        <v>30.57</v>
      </c>
      <c r="D147" s="4">
        <v>30.65</v>
      </c>
      <c r="E147" s="4">
        <v>31.17</v>
      </c>
      <c r="F147" s="4">
        <v>31.62</v>
      </c>
      <c r="G147" s="4">
        <v>32.119999999999997</v>
      </c>
      <c r="H147" s="4">
        <v>32.51</v>
      </c>
      <c r="I147" s="4">
        <v>32.270000000000003</v>
      </c>
      <c r="J147" s="4">
        <v>32.64</v>
      </c>
      <c r="K147" s="4">
        <v>32.65</v>
      </c>
      <c r="L147" s="4">
        <v>32.31</v>
      </c>
      <c r="M147" s="4">
        <v>32.19</v>
      </c>
      <c r="N147" s="4">
        <v>31.73</v>
      </c>
      <c r="O147" s="4">
        <v>32.04</v>
      </c>
      <c r="P147" s="4">
        <v>31.64</v>
      </c>
      <c r="Q147" s="4">
        <v>31.65</v>
      </c>
      <c r="R147" s="4">
        <v>31.15</v>
      </c>
      <c r="S147" s="4">
        <v>31.14</v>
      </c>
      <c r="T147" s="4">
        <v>30.42</v>
      </c>
      <c r="U147" s="4">
        <v>29.76</v>
      </c>
      <c r="V147" s="4">
        <v>42.07</v>
      </c>
      <c r="W147" s="4">
        <v>43.88</v>
      </c>
      <c r="X147" s="4">
        <v>43.59</v>
      </c>
      <c r="Y147" s="49">
        <v>43.66</v>
      </c>
      <c r="Z147" s="4">
        <v>43.55</v>
      </c>
      <c r="AA147" s="4">
        <v>43.52</v>
      </c>
      <c r="AB147" s="4">
        <v>43.39</v>
      </c>
      <c r="AC147" s="4">
        <v>43.39</v>
      </c>
      <c r="AD147" s="4">
        <v>43.54</v>
      </c>
      <c r="AE147" s="4">
        <v>43.61</v>
      </c>
      <c r="AF147" s="4">
        <v>43.81</v>
      </c>
      <c r="AG147" s="4">
        <v>43.8</v>
      </c>
      <c r="AH147" s="4">
        <v>43.75</v>
      </c>
      <c r="AI147" s="4">
        <v>43.77</v>
      </c>
      <c r="AJ147" s="4">
        <v>43.67</v>
      </c>
      <c r="AK147" s="4">
        <v>43.62</v>
      </c>
    </row>
    <row r="148" spans="1:37">
      <c r="A148" t="s">
        <v>1234</v>
      </c>
      <c r="B148" s="4">
        <v>98.71</v>
      </c>
      <c r="C148" s="4">
        <v>100</v>
      </c>
      <c r="D148" s="4">
        <v>98.44</v>
      </c>
      <c r="E148" s="4">
        <v>99.38</v>
      </c>
      <c r="F148" s="4">
        <v>98.61</v>
      </c>
      <c r="G148" s="4">
        <v>98.34</v>
      </c>
      <c r="H148" s="4">
        <v>98.39</v>
      </c>
      <c r="I148" s="4">
        <v>97.48</v>
      </c>
      <c r="J148" s="4">
        <v>97.86</v>
      </c>
      <c r="K148" s="4">
        <v>98.81</v>
      </c>
      <c r="L148" s="4">
        <v>97.47</v>
      </c>
      <c r="M148" s="4">
        <v>98.16</v>
      </c>
      <c r="N148" s="4">
        <v>98.14</v>
      </c>
      <c r="O148" s="4">
        <v>97.63</v>
      </c>
      <c r="P148" s="4">
        <v>98.18</v>
      </c>
      <c r="Q148" s="4">
        <v>97.95</v>
      </c>
      <c r="R148" s="4">
        <v>97.19</v>
      </c>
      <c r="S148" s="4">
        <v>97.61</v>
      </c>
      <c r="T148" s="4">
        <v>98.98</v>
      </c>
      <c r="U148" s="4">
        <v>96.54</v>
      </c>
      <c r="V148" s="4">
        <v>96.63</v>
      </c>
      <c r="W148" s="4">
        <v>96.5</v>
      </c>
      <c r="X148" s="4">
        <v>96.25</v>
      </c>
      <c r="Y148" s="49">
        <v>96.13</v>
      </c>
      <c r="Z148" s="4">
        <v>96.11</v>
      </c>
      <c r="AA148" s="4">
        <v>96.08</v>
      </c>
      <c r="AB148" s="4">
        <v>96.03</v>
      </c>
      <c r="AC148" s="4">
        <v>95.95</v>
      </c>
      <c r="AD148" s="4">
        <v>95.95</v>
      </c>
      <c r="AE148" s="4">
        <v>95.88</v>
      </c>
      <c r="AF148" s="4">
        <v>95.82</v>
      </c>
      <c r="AG148" s="4">
        <v>95.75</v>
      </c>
      <c r="AH148" s="4">
        <v>95.79</v>
      </c>
      <c r="AI148" s="4">
        <v>95.77</v>
      </c>
      <c r="AJ148" s="4">
        <v>95.71</v>
      </c>
      <c r="AK148" s="4">
        <v>95.63</v>
      </c>
    </row>
    <row r="149" spans="1:37">
      <c r="A149" t="s">
        <v>1235</v>
      </c>
      <c r="B149" s="4">
        <v>-2.44</v>
      </c>
      <c r="C149" s="4">
        <v>11.94</v>
      </c>
      <c r="D149" s="4">
        <v>9.89</v>
      </c>
      <c r="E149" s="4">
        <v>5.81</v>
      </c>
      <c r="F149" s="4">
        <v>6.17</v>
      </c>
      <c r="G149" s="4">
        <v>5.84</v>
      </c>
      <c r="H149" s="4">
        <v>3.76</v>
      </c>
      <c r="I149" s="4">
        <v>4.16</v>
      </c>
      <c r="J149" s="4">
        <v>2.86</v>
      </c>
      <c r="K149" s="4">
        <v>2.98</v>
      </c>
      <c r="L149" s="4">
        <v>2.61</v>
      </c>
      <c r="M149" s="4">
        <v>2.68</v>
      </c>
      <c r="N149" s="4">
        <v>8.77</v>
      </c>
      <c r="O149" s="4">
        <v>6.65</v>
      </c>
      <c r="P149" s="4">
        <v>2.94</v>
      </c>
      <c r="Q149" s="4">
        <v>-0.25</v>
      </c>
      <c r="R149" s="4">
        <v>0.32</v>
      </c>
      <c r="S149" s="4">
        <v>1.5</v>
      </c>
      <c r="T149" s="4">
        <v>5.55</v>
      </c>
      <c r="U149" s="4">
        <v>5.73</v>
      </c>
      <c r="V149" s="4">
        <v>6.83</v>
      </c>
      <c r="W149" s="4">
        <v>7.08</v>
      </c>
      <c r="X149" s="4">
        <v>8.26</v>
      </c>
      <c r="Y149" s="49">
        <v>6.37</v>
      </c>
      <c r="Z149" s="4">
        <v>5.35</v>
      </c>
      <c r="AA149" s="4">
        <v>5.53</v>
      </c>
      <c r="AB149" s="4">
        <v>5.59</v>
      </c>
      <c r="AC149" s="4">
        <v>5.95</v>
      </c>
      <c r="AD149" s="4">
        <v>6.25</v>
      </c>
      <c r="AE149" s="4">
        <v>6.57</v>
      </c>
      <c r="AF149" s="4">
        <v>7.06</v>
      </c>
      <c r="AG149" s="4">
        <v>7.43</v>
      </c>
      <c r="AH149" s="4">
        <v>7.75</v>
      </c>
      <c r="AI149" s="4">
        <v>7.93</v>
      </c>
      <c r="AJ149" s="4">
        <v>8.0399999999999991</v>
      </c>
      <c r="AK149" s="4">
        <v>8</v>
      </c>
    </row>
    <row r="150" spans="1:37">
      <c r="A150" t="s">
        <v>1236</v>
      </c>
      <c r="B150" s="4">
        <v>0.12</v>
      </c>
      <c r="C150" s="4">
        <v>0.55000000000000004</v>
      </c>
      <c r="D150" s="4">
        <v>0.83</v>
      </c>
      <c r="E150" s="4">
        <v>0.94</v>
      </c>
      <c r="F150" s="4">
        <v>0.89</v>
      </c>
      <c r="G150" s="4">
        <v>1.48</v>
      </c>
      <c r="H150" s="4">
        <v>1.63</v>
      </c>
      <c r="I150" s="4">
        <v>2</v>
      </c>
      <c r="J150" s="4">
        <v>-0.28999999999999998</v>
      </c>
      <c r="K150" s="4">
        <v>-0.01</v>
      </c>
      <c r="L150" s="4">
        <v>0.51</v>
      </c>
      <c r="M150" s="4">
        <v>1.03</v>
      </c>
      <c r="N150" s="4">
        <v>3.04</v>
      </c>
      <c r="O150" s="4">
        <v>2.73</v>
      </c>
      <c r="P150" s="4">
        <v>3.35</v>
      </c>
      <c r="Q150" s="4">
        <v>3.07</v>
      </c>
      <c r="R150" s="4">
        <v>2.81</v>
      </c>
      <c r="S150" s="4">
        <v>2.4</v>
      </c>
      <c r="T150" s="4">
        <v>2.48</v>
      </c>
      <c r="U150" s="4">
        <v>3.76</v>
      </c>
      <c r="V150" s="4">
        <v>0.66</v>
      </c>
      <c r="W150" s="4">
        <v>1.18</v>
      </c>
      <c r="X150" s="4">
        <v>1.32</v>
      </c>
      <c r="Y150" s="49">
        <v>1.81</v>
      </c>
      <c r="Z150" s="4">
        <v>5.33</v>
      </c>
      <c r="AA150" s="4">
        <v>5.57</v>
      </c>
      <c r="AB150" s="4">
        <v>5.92</v>
      </c>
      <c r="AC150" s="4">
        <v>6.37</v>
      </c>
      <c r="AD150" s="4">
        <v>6.3</v>
      </c>
      <c r="AE150" s="4">
        <v>6.55</v>
      </c>
      <c r="AF150" s="4">
        <v>6.71</v>
      </c>
      <c r="AG150" s="4">
        <v>6.95</v>
      </c>
      <c r="AH150" s="4">
        <v>7.22</v>
      </c>
      <c r="AI150" s="4">
        <v>4.97</v>
      </c>
      <c r="AJ150" s="4">
        <v>5.4</v>
      </c>
      <c r="AK150" s="4">
        <v>5.75</v>
      </c>
    </row>
    <row r="151" spans="1:37">
      <c r="A151" t="s">
        <v>1237</v>
      </c>
      <c r="B151" s="4">
        <v>0.13</v>
      </c>
      <c r="C151" s="4">
        <v>0.56999999999999995</v>
      </c>
      <c r="D151" s="4">
        <v>0.86</v>
      </c>
      <c r="E151" s="4">
        <v>0.97</v>
      </c>
      <c r="F151" s="4">
        <v>0.91</v>
      </c>
      <c r="G151" s="4">
        <v>-4.68</v>
      </c>
      <c r="H151" s="4">
        <v>-3.65</v>
      </c>
      <c r="I151" s="4">
        <v>-2.6</v>
      </c>
      <c r="J151" s="4">
        <v>-1.69</v>
      </c>
      <c r="K151" s="4">
        <v>-1.26</v>
      </c>
      <c r="L151" s="4">
        <v>-0.61</v>
      </c>
      <c r="M151" s="4">
        <v>0.02</v>
      </c>
      <c r="N151" s="4">
        <v>3.17</v>
      </c>
      <c r="O151" s="4">
        <v>2.85</v>
      </c>
      <c r="P151" s="4">
        <v>3.49</v>
      </c>
      <c r="Q151" s="4">
        <v>3.19</v>
      </c>
      <c r="R151" s="4">
        <v>2.93</v>
      </c>
      <c r="S151" s="4">
        <v>2.5</v>
      </c>
      <c r="T151" s="4">
        <v>2.58</v>
      </c>
      <c r="U151" s="4">
        <v>3.92</v>
      </c>
      <c r="V151" s="4">
        <v>3.48</v>
      </c>
      <c r="W151" s="4">
        <v>3.74</v>
      </c>
      <c r="X151" s="4">
        <v>3.66</v>
      </c>
      <c r="Y151" s="49">
        <v>3.98</v>
      </c>
      <c r="Z151" s="4">
        <v>5.44</v>
      </c>
      <c r="AA151" s="4">
        <v>5.68</v>
      </c>
      <c r="AB151" s="4">
        <v>6.04</v>
      </c>
      <c r="AC151" s="4">
        <v>6.5</v>
      </c>
      <c r="AD151" s="4">
        <v>6.43</v>
      </c>
      <c r="AE151" s="4">
        <v>6.68</v>
      </c>
      <c r="AF151" s="4">
        <v>6.85</v>
      </c>
      <c r="AG151" s="4">
        <v>7.09</v>
      </c>
      <c r="AH151" s="4">
        <v>7.37</v>
      </c>
      <c r="AI151" s="4">
        <v>7.49</v>
      </c>
      <c r="AJ151" s="4">
        <v>7.71</v>
      </c>
      <c r="AK151" s="4">
        <v>7.87</v>
      </c>
    </row>
    <row r="152" spans="1:37">
      <c r="A152" t="s">
        <v>1238</v>
      </c>
      <c r="B152" s="4">
        <v>-1.71</v>
      </c>
      <c r="C152" s="4">
        <v>-2.85</v>
      </c>
      <c r="D152" s="4">
        <v>-4.54</v>
      </c>
      <c r="E152" s="4">
        <v>-3.97</v>
      </c>
      <c r="F152" s="4">
        <v>-3.46</v>
      </c>
      <c r="G152" s="4">
        <v>-2.99</v>
      </c>
      <c r="H152" s="4">
        <v>-2.67</v>
      </c>
      <c r="I152" s="4">
        <v>-2.17</v>
      </c>
      <c r="J152" s="4">
        <v>-2.13</v>
      </c>
      <c r="K152" s="4">
        <v>-1.94</v>
      </c>
      <c r="L152" s="4">
        <v>-1.72</v>
      </c>
      <c r="M152" s="4">
        <v>-1.48</v>
      </c>
      <c r="N152" s="4">
        <v>0.18</v>
      </c>
      <c r="O152" s="4">
        <v>1.34</v>
      </c>
      <c r="P152" s="4">
        <v>1.94</v>
      </c>
      <c r="Q152" s="4">
        <v>2.68</v>
      </c>
      <c r="R152" s="4">
        <v>3.03</v>
      </c>
      <c r="S152" s="4">
        <v>3.27</v>
      </c>
      <c r="T152" s="4">
        <v>2.84</v>
      </c>
      <c r="U152" s="4">
        <v>2.42</v>
      </c>
      <c r="V152" s="4">
        <v>1.71</v>
      </c>
      <c r="W152" s="4">
        <v>6.01</v>
      </c>
      <c r="X152" s="4">
        <v>6.08</v>
      </c>
      <c r="Y152" s="49">
        <v>6.19</v>
      </c>
      <c r="Z152" s="4">
        <v>7.37</v>
      </c>
      <c r="AA152" s="4">
        <v>8.6999999999999993</v>
      </c>
      <c r="AB152" s="4">
        <v>8.7899999999999991</v>
      </c>
      <c r="AC152" s="4">
        <v>10.25</v>
      </c>
      <c r="AD152" s="4">
        <v>10.87</v>
      </c>
      <c r="AE152" s="4">
        <v>11.47</v>
      </c>
      <c r="AF152" s="4">
        <v>12.18</v>
      </c>
      <c r="AG152" s="4">
        <v>12.36</v>
      </c>
      <c r="AH152" s="4">
        <v>12.19</v>
      </c>
      <c r="AI152" s="4">
        <v>11.94</v>
      </c>
      <c r="AJ152" s="4">
        <v>11.63</v>
      </c>
      <c r="AK152" s="4">
        <v>11.23</v>
      </c>
    </row>
    <row r="153" spans="1:37">
      <c r="A153" t="s">
        <v>1239</v>
      </c>
      <c r="B153" s="4">
        <v>-17.61</v>
      </c>
      <c r="C153" s="4">
        <v>-1.3</v>
      </c>
      <c r="D153" s="4">
        <v>-1.17</v>
      </c>
      <c r="E153" s="4">
        <v>-6.21</v>
      </c>
      <c r="F153" s="4">
        <v>-4.95</v>
      </c>
      <c r="G153" s="4">
        <v>-3.52</v>
      </c>
      <c r="H153" s="4">
        <v>-3.77</v>
      </c>
      <c r="I153" s="4">
        <v>-1.05</v>
      </c>
      <c r="J153" s="4">
        <v>-2.12</v>
      </c>
      <c r="K153" s="4">
        <v>-2.19</v>
      </c>
      <c r="L153" s="4">
        <v>-1.71</v>
      </c>
      <c r="M153" s="4">
        <v>-2.0499999999999998</v>
      </c>
      <c r="N153" s="4">
        <v>11.89</v>
      </c>
      <c r="O153" s="4">
        <v>6.56</v>
      </c>
      <c r="P153" s="4">
        <v>1.71</v>
      </c>
      <c r="Q153" s="4">
        <v>1.92</v>
      </c>
      <c r="R153" s="4">
        <v>2.6</v>
      </c>
      <c r="S153" s="4">
        <v>2.19</v>
      </c>
      <c r="T153" s="4">
        <v>4.6100000000000003</v>
      </c>
      <c r="U153" s="4">
        <v>5.64</v>
      </c>
      <c r="V153" s="4">
        <v>6.69</v>
      </c>
      <c r="W153" s="4">
        <v>6.95</v>
      </c>
      <c r="X153" s="4">
        <v>6.96</v>
      </c>
      <c r="Y153" s="49">
        <v>6.59</v>
      </c>
      <c r="Z153" s="4">
        <v>6.01</v>
      </c>
      <c r="AA153" s="4">
        <v>5.99</v>
      </c>
      <c r="AB153" s="4">
        <v>6.05</v>
      </c>
      <c r="AC153" s="4">
        <v>6.42</v>
      </c>
      <c r="AD153" s="4">
        <v>6.66</v>
      </c>
      <c r="AE153" s="4">
        <v>6.94</v>
      </c>
      <c r="AF153" s="4">
        <v>7.37</v>
      </c>
      <c r="AG153" s="4">
        <v>7.69</v>
      </c>
      <c r="AH153" s="4">
        <v>7.96</v>
      </c>
      <c r="AI153" s="4">
        <v>8.1199999999999992</v>
      </c>
      <c r="AJ153" s="4">
        <v>8.19</v>
      </c>
      <c r="AK153" s="4">
        <v>8.14</v>
      </c>
    </row>
    <row r="154" spans="1:37">
      <c r="A154" t="s">
        <v>1240</v>
      </c>
      <c r="B154" s="4">
        <v>15.08</v>
      </c>
      <c r="C154" s="4">
        <v>14.98</v>
      </c>
      <c r="D154" s="4">
        <v>14.95</v>
      </c>
      <c r="E154" s="4">
        <v>15.48</v>
      </c>
      <c r="F154" s="4">
        <v>15.72</v>
      </c>
      <c r="G154" s="4">
        <v>16.09</v>
      </c>
      <c r="H154" s="4">
        <v>16.13</v>
      </c>
      <c r="I154" s="4">
        <v>15.89</v>
      </c>
      <c r="J154" s="4">
        <v>16.05</v>
      </c>
      <c r="K154" s="4">
        <v>16.03</v>
      </c>
      <c r="L154" s="4">
        <v>15.95</v>
      </c>
      <c r="M154" s="4">
        <v>15.94</v>
      </c>
      <c r="N154" s="4">
        <v>15.77</v>
      </c>
      <c r="O154" s="4">
        <v>15.64</v>
      </c>
      <c r="P154" s="4">
        <v>15.56</v>
      </c>
      <c r="Q154" s="4">
        <v>15.51</v>
      </c>
      <c r="R154" s="4">
        <v>15.43</v>
      </c>
      <c r="S154" s="4">
        <v>15.3</v>
      </c>
      <c r="T154" s="4">
        <v>14.94</v>
      </c>
      <c r="U154" s="4">
        <v>14.73</v>
      </c>
      <c r="V154" s="4">
        <v>0</v>
      </c>
      <c r="W154" s="4">
        <v>0</v>
      </c>
      <c r="X154" s="4">
        <v>0</v>
      </c>
      <c r="Y154" s="49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</row>
    <row r="155" spans="1:37">
      <c r="A155" t="s">
        <v>1241</v>
      </c>
      <c r="B155" s="4">
        <v>26.65</v>
      </c>
      <c r="C155" s="4">
        <v>26.46</v>
      </c>
      <c r="D155" s="4">
        <v>26.43</v>
      </c>
      <c r="E155" s="4">
        <v>27.29</v>
      </c>
      <c r="F155" s="4">
        <v>27.58</v>
      </c>
      <c r="G155" s="4">
        <v>28.01</v>
      </c>
      <c r="H155" s="4">
        <v>28.14</v>
      </c>
      <c r="I155" s="4">
        <v>27.84</v>
      </c>
      <c r="J155" s="4">
        <v>27.96</v>
      </c>
      <c r="K155" s="4">
        <v>28.01</v>
      </c>
      <c r="L155" s="4">
        <v>27.86</v>
      </c>
      <c r="M155" s="4">
        <v>28</v>
      </c>
      <c r="N155" s="4">
        <v>27.51</v>
      </c>
      <c r="O155" s="4">
        <v>27.34</v>
      </c>
      <c r="P155" s="4">
        <v>27.46</v>
      </c>
      <c r="Q155" s="4">
        <v>27.4</v>
      </c>
      <c r="R155" s="4">
        <v>27.33</v>
      </c>
      <c r="S155" s="4">
        <v>27.28</v>
      </c>
      <c r="T155" s="4">
        <v>26.73</v>
      </c>
      <c r="U155" s="4">
        <v>26.41</v>
      </c>
      <c r="V155" s="4">
        <v>30.58</v>
      </c>
      <c r="W155" s="4">
        <v>32.520000000000003</v>
      </c>
      <c r="X155" s="4">
        <v>32.380000000000003</v>
      </c>
      <c r="Y155" s="49">
        <v>32.4</v>
      </c>
      <c r="Z155" s="4">
        <v>32.26</v>
      </c>
      <c r="AA155" s="4">
        <v>32.24</v>
      </c>
      <c r="AB155" s="4">
        <v>32.119999999999997</v>
      </c>
      <c r="AC155" s="4">
        <v>32.159999999999997</v>
      </c>
      <c r="AD155" s="4">
        <v>32.31</v>
      </c>
      <c r="AE155" s="4">
        <v>32.44</v>
      </c>
      <c r="AF155" s="4">
        <v>32.71</v>
      </c>
      <c r="AG155" s="4">
        <v>32.79</v>
      </c>
      <c r="AH155" s="4">
        <v>32.72</v>
      </c>
      <c r="AI155" s="4">
        <v>32.78</v>
      </c>
      <c r="AJ155" s="4">
        <v>32.78</v>
      </c>
      <c r="AK155" s="4">
        <v>32.83</v>
      </c>
    </row>
    <row r="156" spans="1:37">
      <c r="A156" t="s">
        <v>1242</v>
      </c>
      <c r="B156" s="4">
        <v>0.01</v>
      </c>
      <c r="C156" s="4">
        <v>0.05</v>
      </c>
      <c r="D156" s="4">
        <v>7.0000000000000007E-2</v>
      </c>
      <c r="E156" s="4">
        <v>0.08</v>
      </c>
      <c r="F156" s="4">
        <v>0.08</v>
      </c>
      <c r="G156" s="4">
        <v>0.13</v>
      </c>
      <c r="H156" s="4">
        <v>0.14000000000000001</v>
      </c>
      <c r="I156" s="4">
        <v>0.17</v>
      </c>
      <c r="J156" s="4">
        <v>0.2</v>
      </c>
      <c r="K156" s="4">
        <v>0.2</v>
      </c>
      <c r="L156" s="4">
        <v>0.23</v>
      </c>
      <c r="M156" s="4">
        <v>0.26</v>
      </c>
      <c r="N156" s="4">
        <v>0.26</v>
      </c>
      <c r="O156" s="4">
        <v>0.24</v>
      </c>
      <c r="P156" s="4">
        <v>0.28999999999999998</v>
      </c>
      <c r="Q156" s="4">
        <v>0.26</v>
      </c>
      <c r="R156" s="4">
        <v>0.24</v>
      </c>
      <c r="S156" s="4">
        <v>0.21</v>
      </c>
      <c r="T156" s="4">
        <v>0.21</v>
      </c>
      <c r="U156" s="4">
        <v>0.32</v>
      </c>
      <c r="V156" s="4">
        <v>0.34</v>
      </c>
      <c r="W156" s="4">
        <v>0.32</v>
      </c>
      <c r="X156" s="4">
        <v>0.35</v>
      </c>
      <c r="Y156" s="49">
        <v>0.36</v>
      </c>
      <c r="Z156" s="4">
        <v>0.48</v>
      </c>
      <c r="AA156" s="4">
        <v>0.51</v>
      </c>
      <c r="AB156" s="4">
        <v>0.55000000000000004</v>
      </c>
      <c r="AC156" s="4">
        <v>0.53</v>
      </c>
      <c r="AD156" s="4">
        <v>0.55000000000000004</v>
      </c>
      <c r="AE156" s="4">
        <v>0.56000000000000005</v>
      </c>
      <c r="AF156" s="4">
        <v>0.57999999999999996</v>
      </c>
      <c r="AG156" s="4">
        <v>0.6</v>
      </c>
      <c r="AH156" s="4">
        <v>0.61</v>
      </c>
      <c r="AI156" s="4">
        <v>0.62</v>
      </c>
      <c r="AJ156" s="4">
        <v>0.63</v>
      </c>
      <c r="AK156" s="4">
        <v>0.65</v>
      </c>
    </row>
    <row r="157" spans="1:37">
      <c r="A157" t="s">
        <v>1243</v>
      </c>
      <c r="B157" s="4">
        <v>0.01</v>
      </c>
      <c r="C157" s="4">
        <v>0.05</v>
      </c>
      <c r="D157" s="4">
        <v>7.0000000000000007E-2</v>
      </c>
      <c r="E157" s="4">
        <v>0.08</v>
      </c>
      <c r="F157" s="4">
        <v>0.08</v>
      </c>
      <c r="G157" s="4">
        <v>0.13</v>
      </c>
      <c r="H157" s="4">
        <v>0.14000000000000001</v>
      </c>
      <c r="I157" s="4">
        <v>0.17</v>
      </c>
      <c r="J157" s="4">
        <v>0.2</v>
      </c>
      <c r="K157" s="4">
        <v>0.2</v>
      </c>
      <c r="L157" s="4">
        <v>0.23</v>
      </c>
      <c r="M157" s="4">
        <v>0.26</v>
      </c>
      <c r="N157" s="4">
        <v>0.26</v>
      </c>
      <c r="O157" s="4">
        <v>0.24</v>
      </c>
      <c r="P157" s="4">
        <v>0.28999999999999998</v>
      </c>
      <c r="Q157" s="4">
        <v>0.26</v>
      </c>
      <c r="R157" s="4">
        <v>0.24</v>
      </c>
      <c r="S157" s="4">
        <v>0.21</v>
      </c>
      <c r="T157" s="4">
        <v>0.21</v>
      </c>
      <c r="U157" s="4">
        <v>0.32</v>
      </c>
      <c r="V157" s="4">
        <v>0.34</v>
      </c>
      <c r="W157" s="4">
        <v>0.32</v>
      </c>
      <c r="X157" s="4">
        <v>0.35</v>
      </c>
      <c r="Y157" s="49">
        <v>0.36</v>
      </c>
      <c r="Z157" s="4">
        <v>0.48</v>
      </c>
      <c r="AA157" s="4">
        <v>0.51</v>
      </c>
      <c r="AB157" s="4">
        <v>0.55000000000000004</v>
      </c>
      <c r="AC157" s="4">
        <v>0.53</v>
      </c>
      <c r="AD157" s="4">
        <v>0.55000000000000004</v>
      </c>
      <c r="AE157" s="4">
        <v>0.56000000000000005</v>
      </c>
      <c r="AF157" s="4">
        <v>0.57999999999999996</v>
      </c>
      <c r="AG157" s="4">
        <v>0.6</v>
      </c>
      <c r="AH157" s="4">
        <v>0.61</v>
      </c>
      <c r="AI157" s="4">
        <v>0.62</v>
      </c>
      <c r="AJ157" s="4">
        <v>0.63</v>
      </c>
      <c r="AK157" s="4">
        <v>0.65</v>
      </c>
    </row>
    <row r="158" spans="1:37">
      <c r="A158" t="s">
        <v>1244</v>
      </c>
      <c r="B158" s="4">
        <v>6.44</v>
      </c>
      <c r="C158" s="4">
        <v>6.24</v>
      </c>
      <c r="D158" s="4">
        <v>6.29</v>
      </c>
      <c r="E158" s="4">
        <v>6.35</v>
      </c>
      <c r="F158" s="4">
        <v>6.41</v>
      </c>
      <c r="G158" s="4">
        <v>6.39</v>
      </c>
      <c r="H158" s="4">
        <v>6.44</v>
      </c>
      <c r="I158" s="4">
        <v>6.43</v>
      </c>
      <c r="J158" s="4">
        <v>6.46</v>
      </c>
      <c r="K158" s="4">
        <v>6.48</v>
      </c>
      <c r="L158" s="4">
        <v>6.48</v>
      </c>
      <c r="M158" s="4">
        <v>6.55</v>
      </c>
      <c r="N158" s="4">
        <v>6.73</v>
      </c>
      <c r="O158" s="4">
        <v>6.54</v>
      </c>
      <c r="P158" s="4">
        <v>6.68</v>
      </c>
      <c r="Q158" s="4">
        <v>6.7</v>
      </c>
      <c r="R158" s="4">
        <v>6.79</v>
      </c>
      <c r="S158" s="4">
        <v>6.88</v>
      </c>
      <c r="T158" s="4">
        <v>6.93</v>
      </c>
      <c r="U158" s="4">
        <v>6.96</v>
      </c>
      <c r="V158" s="4">
        <v>7.08</v>
      </c>
      <c r="W158" s="4">
        <v>7.12</v>
      </c>
      <c r="X158" s="4">
        <v>7.1</v>
      </c>
      <c r="Y158" s="49">
        <v>7.1</v>
      </c>
      <c r="Z158" s="4">
        <v>7.15</v>
      </c>
      <c r="AA158" s="4">
        <v>6.98</v>
      </c>
      <c r="AB158" s="4">
        <v>7.07</v>
      </c>
      <c r="AC158" s="4">
        <v>7.11</v>
      </c>
      <c r="AD158" s="4">
        <v>7.16</v>
      </c>
      <c r="AE158" s="4">
        <v>7.16</v>
      </c>
      <c r="AF158" s="4">
        <v>7.2</v>
      </c>
      <c r="AG158" s="4">
        <v>7.22</v>
      </c>
      <c r="AH158" s="4">
        <v>7.22</v>
      </c>
      <c r="AI158" s="4">
        <v>7.24</v>
      </c>
      <c r="AJ158" s="4">
        <v>7.24</v>
      </c>
      <c r="AK158" s="4">
        <v>7.25</v>
      </c>
    </row>
    <row r="159" spans="1:37">
      <c r="A159" t="s">
        <v>1245</v>
      </c>
      <c r="B159" s="4">
        <v>6.41</v>
      </c>
      <c r="C159" s="4">
        <v>6.25</v>
      </c>
      <c r="D159" s="4">
        <v>6.32</v>
      </c>
      <c r="E159" s="4">
        <v>6.3</v>
      </c>
      <c r="F159" s="4">
        <v>6.36</v>
      </c>
      <c r="G159" s="4">
        <v>6.34</v>
      </c>
      <c r="H159" s="4">
        <v>6.38</v>
      </c>
      <c r="I159" s="4">
        <v>6.42</v>
      </c>
      <c r="J159" s="4">
        <v>6.43</v>
      </c>
      <c r="K159" s="4">
        <v>6.46</v>
      </c>
      <c r="L159" s="4">
        <v>6.46</v>
      </c>
      <c r="M159" s="4">
        <v>6.48</v>
      </c>
      <c r="N159" s="4">
        <v>6.72</v>
      </c>
      <c r="O159" s="4">
        <v>6.44</v>
      </c>
      <c r="P159" s="4">
        <v>6.57</v>
      </c>
      <c r="Q159" s="4">
        <v>6.59</v>
      </c>
      <c r="R159" s="4">
        <v>6.64</v>
      </c>
      <c r="S159" s="4">
        <v>6.65</v>
      </c>
      <c r="T159" s="4">
        <v>6.7</v>
      </c>
      <c r="U159" s="4">
        <v>6.75</v>
      </c>
      <c r="V159" s="4">
        <v>6.78</v>
      </c>
      <c r="W159" s="4">
        <v>6.7</v>
      </c>
      <c r="X159" s="4">
        <v>6.72</v>
      </c>
      <c r="Y159" s="49">
        <v>6.74</v>
      </c>
      <c r="Z159" s="4">
        <v>7.26</v>
      </c>
      <c r="AA159" s="4">
        <v>6.95</v>
      </c>
      <c r="AB159" s="4">
        <v>7.05</v>
      </c>
      <c r="AC159" s="4">
        <v>7.02</v>
      </c>
      <c r="AD159" s="4">
        <v>7.05</v>
      </c>
      <c r="AE159" s="4">
        <v>7.03</v>
      </c>
      <c r="AF159" s="4">
        <v>7.04</v>
      </c>
      <c r="AG159" s="4">
        <v>7.05</v>
      </c>
      <c r="AH159" s="4">
        <v>7.04</v>
      </c>
      <c r="AI159" s="4">
        <v>7.06</v>
      </c>
      <c r="AJ159" s="4">
        <v>7.06</v>
      </c>
      <c r="AK159" s="4">
        <v>7.07</v>
      </c>
    </row>
    <row r="160" spans="1:37">
      <c r="A160" t="s">
        <v>1246</v>
      </c>
      <c r="B160" s="4">
        <v>2.69</v>
      </c>
      <c r="C160" s="4">
        <v>2.69</v>
      </c>
      <c r="D160" s="4">
        <v>2.5499999999999998</v>
      </c>
      <c r="E160" s="4">
        <v>2.64</v>
      </c>
      <c r="F160" s="4">
        <v>2.69</v>
      </c>
      <c r="G160" s="4">
        <v>2.68</v>
      </c>
      <c r="H160" s="4">
        <v>2.7</v>
      </c>
      <c r="I160" s="4">
        <v>2.71</v>
      </c>
      <c r="J160" s="4">
        <v>2.7</v>
      </c>
      <c r="K160" s="4">
        <v>2.71</v>
      </c>
      <c r="L160" s="4">
        <v>2.71</v>
      </c>
      <c r="M160" s="4">
        <v>2.73</v>
      </c>
      <c r="N160" s="4">
        <v>2.69</v>
      </c>
      <c r="O160" s="4">
        <v>2.7</v>
      </c>
      <c r="P160" s="4">
        <v>2.72</v>
      </c>
      <c r="Q160" s="4">
        <v>2.64</v>
      </c>
      <c r="R160" s="4">
        <v>2.73</v>
      </c>
      <c r="S160" s="4">
        <v>2.8</v>
      </c>
      <c r="T160" s="4">
        <v>2.87</v>
      </c>
      <c r="U160" s="4">
        <v>2.84</v>
      </c>
      <c r="V160" s="4">
        <v>2.82</v>
      </c>
      <c r="W160" s="4">
        <v>2.85</v>
      </c>
      <c r="X160" s="4">
        <v>2.82</v>
      </c>
      <c r="Y160" s="49">
        <v>2.83</v>
      </c>
      <c r="Z160" s="4">
        <v>2.84</v>
      </c>
      <c r="AA160" s="4">
        <v>2.78</v>
      </c>
      <c r="AB160" s="4">
        <v>2.81</v>
      </c>
      <c r="AC160" s="4">
        <v>2.84</v>
      </c>
      <c r="AD160" s="4">
        <v>2.87</v>
      </c>
      <c r="AE160" s="4">
        <v>2.89</v>
      </c>
      <c r="AF160" s="4">
        <v>2.91</v>
      </c>
      <c r="AG160" s="4">
        <v>2.91</v>
      </c>
      <c r="AH160" s="4">
        <v>2.91</v>
      </c>
      <c r="AI160" s="4">
        <v>2.93</v>
      </c>
      <c r="AJ160" s="4">
        <v>2.93</v>
      </c>
      <c r="AK160" s="4">
        <v>2.94</v>
      </c>
    </row>
    <row r="161" spans="1:37">
      <c r="A161" t="s">
        <v>1278</v>
      </c>
      <c r="B161" s="4">
        <v>48.7</v>
      </c>
      <c r="C161" s="4">
        <v>49.86</v>
      </c>
      <c r="D161" s="4">
        <v>47.09</v>
      </c>
      <c r="E161" s="4">
        <v>48.14</v>
      </c>
      <c r="F161" s="4">
        <v>48.59</v>
      </c>
      <c r="G161" s="4">
        <v>48.38</v>
      </c>
      <c r="H161" s="4">
        <v>48.6</v>
      </c>
      <c r="I161" s="4">
        <v>48.71</v>
      </c>
      <c r="J161" s="4">
        <v>48.38</v>
      </c>
      <c r="K161" s="4">
        <v>48.4</v>
      </c>
      <c r="L161" s="4">
        <v>48.4</v>
      </c>
      <c r="M161" s="4">
        <v>48.22</v>
      </c>
      <c r="N161" s="4">
        <v>47.12</v>
      </c>
      <c r="O161" s="4">
        <v>48.33</v>
      </c>
      <c r="P161" s="4">
        <v>47.49</v>
      </c>
      <c r="Q161" s="4">
        <v>46.14</v>
      </c>
      <c r="R161" s="4">
        <v>46.9</v>
      </c>
      <c r="S161" s="4">
        <v>47.33</v>
      </c>
      <c r="T161" s="4">
        <v>47.96</v>
      </c>
      <c r="U161" s="4">
        <v>47.35</v>
      </c>
      <c r="V161" s="4">
        <v>46.56</v>
      </c>
      <c r="W161" s="4">
        <v>46.61</v>
      </c>
      <c r="X161" s="4">
        <v>46.38</v>
      </c>
      <c r="Y161" s="49">
        <v>46.43</v>
      </c>
      <c r="Z161" s="4">
        <v>46.53</v>
      </c>
      <c r="AA161" s="4">
        <v>46.88</v>
      </c>
      <c r="AB161" s="4">
        <v>46.72</v>
      </c>
      <c r="AC161" s="4">
        <v>46.96</v>
      </c>
      <c r="AD161" s="4">
        <v>47.06</v>
      </c>
      <c r="AE161" s="4">
        <v>47.35</v>
      </c>
      <c r="AF161" s="4">
        <v>47.7</v>
      </c>
      <c r="AG161" s="4">
        <v>47.69</v>
      </c>
      <c r="AH161" s="4">
        <v>47.89</v>
      </c>
      <c r="AI161" s="4">
        <v>48.06</v>
      </c>
      <c r="AJ161" s="4">
        <v>48.19</v>
      </c>
      <c r="AK161" s="4">
        <v>48.3</v>
      </c>
    </row>
    <row r="162" spans="1:37">
      <c r="A162" t="s">
        <v>1247</v>
      </c>
      <c r="B162" s="4">
        <v>1.36</v>
      </c>
      <c r="C162" s="4">
        <v>1.35</v>
      </c>
      <c r="D162" s="4">
        <v>1.35</v>
      </c>
      <c r="E162" s="4">
        <v>1.38</v>
      </c>
      <c r="F162" s="4">
        <v>1.39</v>
      </c>
      <c r="G162" s="4">
        <v>1.37</v>
      </c>
      <c r="H162" s="4">
        <v>1.4</v>
      </c>
      <c r="I162" s="4">
        <v>1.39</v>
      </c>
      <c r="J162" s="4">
        <v>1.4</v>
      </c>
      <c r="K162" s="4">
        <v>1.39</v>
      </c>
      <c r="L162" s="4">
        <v>1.39</v>
      </c>
      <c r="M162" s="4">
        <v>1.41</v>
      </c>
      <c r="N162" s="4">
        <v>1.39</v>
      </c>
      <c r="O162" s="4">
        <v>1.4</v>
      </c>
      <c r="P162" s="4">
        <v>1.42</v>
      </c>
      <c r="Q162" s="4">
        <v>1.4</v>
      </c>
      <c r="R162" s="4">
        <v>1.37</v>
      </c>
      <c r="S162" s="4">
        <v>1.39</v>
      </c>
      <c r="T162" s="4">
        <v>1.38</v>
      </c>
      <c r="U162" s="4">
        <v>1.37</v>
      </c>
      <c r="V162" s="4">
        <v>1.35</v>
      </c>
      <c r="W162" s="4">
        <v>1.33</v>
      </c>
      <c r="X162" s="4">
        <v>1.32</v>
      </c>
      <c r="Y162" s="49">
        <v>1.31</v>
      </c>
      <c r="Z162" s="4">
        <v>1.41</v>
      </c>
      <c r="AA162" s="4">
        <v>1.42</v>
      </c>
      <c r="AB162" s="4">
        <v>1.43</v>
      </c>
      <c r="AC162" s="4">
        <v>1.42</v>
      </c>
      <c r="AD162" s="4">
        <v>1.46</v>
      </c>
      <c r="AE162" s="4">
        <v>1.45</v>
      </c>
      <c r="AF162" s="4">
        <v>1.44</v>
      </c>
      <c r="AG162" s="4">
        <v>1.43</v>
      </c>
      <c r="AH162" s="4">
        <v>1.53</v>
      </c>
      <c r="AI162" s="4">
        <v>1.58</v>
      </c>
      <c r="AJ162" s="4">
        <v>1.56</v>
      </c>
      <c r="AK162" s="4">
        <v>1.54</v>
      </c>
    </row>
    <row r="163" spans="1:37">
      <c r="A163" t="s">
        <v>1248</v>
      </c>
      <c r="B163" s="4">
        <v>2.12</v>
      </c>
      <c r="C163" s="4">
        <v>2.0099999999999998</v>
      </c>
      <c r="D163" s="4">
        <v>2.06</v>
      </c>
      <c r="E163" s="4">
        <v>2.08</v>
      </c>
      <c r="F163" s="4">
        <v>2.1</v>
      </c>
      <c r="G163" s="4">
        <v>2.1</v>
      </c>
      <c r="H163" s="4">
        <v>2.12</v>
      </c>
      <c r="I163" s="4">
        <v>2.11</v>
      </c>
      <c r="J163" s="4">
        <v>2.11</v>
      </c>
      <c r="K163" s="4">
        <v>2.1</v>
      </c>
      <c r="L163" s="4">
        <v>2.09</v>
      </c>
      <c r="M163" s="4">
        <v>2.09</v>
      </c>
      <c r="N163" s="4">
        <v>1.99</v>
      </c>
      <c r="O163" s="4">
        <v>1.86</v>
      </c>
      <c r="P163" s="4">
        <v>1.87</v>
      </c>
      <c r="Q163" s="4">
        <v>1.84</v>
      </c>
      <c r="R163" s="4">
        <v>1.87</v>
      </c>
      <c r="S163" s="4">
        <v>1.93</v>
      </c>
      <c r="T163" s="4">
        <v>1.98</v>
      </c>
      <c r="U163" s="4">
        <v>2.0099999999999998</v>
      </c>
      <c r="V163" s="4">
        <v>2.02</v>
      </c>
      <c r="W163" s="4">
        <v>2.0499999999999998</v>
      </c>
      <c r="X163" s="4">
        <v>2.0499999999999998</v>
      </c>
      <c r="Y163" s="49">
        <v>2.0499999999999998</v>
      </c>
      <c r="Z163" s="4">
        <v>2.0699999999999998</v>
      </c>
      <c r="AA163" s="4">
        <v>1.95</v>
      </c>
      <c r="AB163" s="4">
        <v>1.97</v>
      </c>
      <c r="AC163" s="4">
        <v>1.96</v>
      </c>
      <c r="AD163" s="4">
        <v>1.97</v>
      </c>
      <c r="AE163" s="4">
        <v>1.95</v>
      </c>
      <c r="AF163" s="4">
        <v>1.94</v>
      </c>
      <c r="AG163" s="4">
        <v>1.93</v>
      </c>
      <c r="AH163" s="4">
        <v>1.91</v>
      </c>
      <c r="AI163" s="4">
        <v>1.9</v>
      </c>
      <c r="AJ163" s="4">
        <v>1.89</v>
      </c>
      <c r="AK163" s="4">
        <v>1.89</v>
      </c>
    </row>
    <row r="164" spans="1:37">
      <c r="A164" t="s">
        <v>1279</v>
      </c>
      <c r="B164" s="4">
        <v>3.14</v>
      </c>
      <c r="C164" s="4">
        <v>3.11</v>
      </c>
      <c r="D164" s="4">
        <v>2.96</v>
      </c>
      <c r="E164" s="4">
        <v>3.06</v>
      </c>
      <c r="F164" s="4">
        <v>3.11</v>
      </c>
      <c r="G164" s="4">
        <v>3.09</v>
      </c>
      <c r="H164" s="4">
        <v>3.13</v>
      </c>
      <c r="I164" s="4">
        <v>3.13</v>
      </c>
      <c r="J164" s="4">
        <v>3.13</v>
      </c>
      <c r="K164" s="4">
        <v>3.14</v>
      </c>
      <c r="L164" s="4">
        <v>3.14</v>
      </c>
      <c r="M164" s="4">
        <v>3.16</v>
      </c>
      <c r="N164" s="4">
        <v>3.17</v>
      </c>
      <c r="O164" s="4">
        <v>3.16</v>
      </c>
      <c r="P164" s="4">
        <v>3.17</v>
      </c>
      <c r="Q164" s="4">
        <v>3.09</v>
      </c>
      <c r="R164" s="4">
        <v>3.18</v>
      </c>
      <c r="S164" s="4">
        <v>3.26</v>
      </c>
      <c r="T164" s="4">
        <v>3.33</v>
      </c>
      <c r="U164" s="4">
        <v>3.3</v>
      </c>
      <c r="V164" s="4">
        <v>3.27</v>
      </c>
      <c r="W164" s="4">
        <v>3.29</v>
      </c>
      <c r="X164" s="4">
        <v>3.27</v>
      </c>
      <c r="Y164" s="49">
        <v>3.28</v>
      </c>
      <c r="Z164" s="4">
        <v>3.3</v>
      </c>
      <c r="AA164" s="4">
        <v>3.24</v>
      </c>
      <c r="AB164" s="4">
        <v>3.27</v>
      </c>
      <c r="AC164" s="4">
        <v>3.3</v>
      </c>
      <c r="AD164" s="4">
        <v>3.32</v>
      </c>
      <c r="AE164" s="4">
        <v>3.34</v>
      </c>
      <c r="AF164" s="4">
        <v>3.38</v>
      </c>
      <c r="AG164" s="4">
        <v>3.39</v>
      </c>
      <c r="AH164" s="4">
        <v>3.4</v>
      </c>
      <c r="AI164" s="4">
        <v>3.42</v>
      </c>
      <c r="AJ164" s="4">
        <v>3.43</v>
      </c>
      <c r="AK164" s="4">
        <v>3.45</v>
      </c>
    </row>
    <row r="165" spans="1:37">
      <c r="A165" t="s">
        <v>1249</v>
      </c>
      <c r="B165" s="4">
        <v>3.31</v>
      </c>
      <c r="C165" s="4">
        <v>3.26</v>
      </c>
      <c r="D165" s="4">
        <v>3.27</v>
      </c>
      <c r="E165" s="4">
        <v>3.28</v>
      </c>
      <c r="F165" s="4">
        <v>3.3</v>
      </c>
      <c r="G165" s="4">
        <v>3.29</v>
      </c>
      <c r="H165" s="4">
        <v>3.3</v>
      </c>
      <c r="I165" s="4">
        <v>3.31</v>
      </c>
      <c r="J165" s="4">
        <v>3.35</v>
      </c>
      <c r="K165" s="4">
        <v>3.37</v>
      </c>
      <c r="L165" s="4">
        <v>3.38</v>
      </c>
      <c r="M165" s="4">
        <v>3.41</v>
      </c>
      <c r="N165" s="4">
        <v>3.69</v>
      </c>
      <c r="O165" s="4">
        <v>3.59</v>
      </c>
      <c r="P165" s="4">
        <v>3.73</v>
      </c>
      <c r="Q165" s="4">
        <v>3.76</v>
      </c>
      <c r="R165" s="4">
        <v>3.82</v>
      </c>
      <c r="S165" s="4">
        <v>3.85</v>
      </c>
      <c r="T165" s="4">
        <v>3.85</v>
      </c>
      <c r="U165" s="4">
        <v>3.86</v>
      </c>
      <c r="V165" s="4">
        <v>3.85</v>
      </c>
      <c r="W165" s="4">
        <v>3.87</v>
      </c>
      <c r="X165" s="4">
        <v>3.87</v>
      </c>
      <c r="Y165" s="49">
        <v>3.88</v>
      </c>
      <c r="Z165" s="4">
        <v>3.93</v>
      </c>
      <c r="AA165" s="4">
        <v>3.82</v>
      </c>
      <c r="AB165" s="4">
        <v>3.87</v>
      </c>
      <c r="AC165" s="4">
        <v>3.87</v>
      </c>
      <c r="AD165" s="4">
        <v>3.89</v>
      </c>
      <c r="AE165" s="4">
        <v>3.9</v>
      </c>
      <c r="AF165" s="4">
        <v>3.93</v>
      </c>
      <c r="AG165" s="4">
        <v>3.95</v>
      </c>
      <c r="AH165" s="4">
        <v>3.95</v>
      </c>
      <c r="AI165" s="4">
        <v>3.97</v>
      </c>
      <c r="AJ165" s="4">
        <v>3.98</v>
      </c>
      <c r="AK165" s="4">
        <v>3.99</v>
      </c>
    </row>
    <row r="166" spans="1:37">
      <c r="A166" t="s">
        <v>1250</v>
      </c>
      <c r="B166" s="4">
        <v>19.45</v>
      </c>
      <c r="C166" s="4">
        <v>19.329999999999998</v>
      </c>
      <c r="D166" s="4">
        <v>19.13</v>
      </c>
      <c r="E166" s="4">
        <v>18.690000000000001</v>
      </c>
      <c r="F166" s="4">
        <v>18.54</v>
      </c>
      <c r="G166" s="4">
        <v>18.2</v>
      </c>
      <c r="H166" s="4">
        <v>18.149999999999999</v>
      </c>
      <c r="I166" s="4">
        <v>17.84</v>
      </c>
      <c r="J166" s="4">
        <v>17.79</v>
      </c>
      <c r="K166" s="4">
        <v>17.48</v>
      </c>
      <c r="L166" s="4">
        <v>17.34</v>
      </c>
      <c r="M166" s="4">
        <v>17.23</v>
      </c>
      <c r="N166" s="4">
        <v>17.2</v>
      </c>
      <c r="O166" s="4">
        <v>17.48</v>
      </c>
      <c r="P166" s="4">
        <v>17.600000000000001</v>
      </c>
      <c r="Q166" s="4">
        <v>17.28</v>
      </c>
      <c r="R166" s="4">
        <v>16.850000000000001</v>
      </c>
      <c r="S166" s="4">
        <v>16.670000000000002</v>
      </c>
      <c r="T166" s="4">
        <v>16.25</v>
      </c>
      <c r="U166" s="4">
        <v>16.079999999999998</v>
      </c>
      <c r="V166" s="4">
        <v>15.72</v>
      </c>
      <c r="W166" s="4">
        <v>15.49</v>
      </c>
      <c r="X166" s="4">
        <v>15.31</v>
      </c>
      <c r="Y166" s="49">
        <v>15.18</v>
      </c>
      <c r="Z166" s="4">
        <v>14.97</v>
      </c>
      <c r="AA166" s="4">
        <v>14.75</v>
      </c>
      <c r="AB166" s="4">
        <v>14.53</v>
      </c>
      <c r="AC166" s="4">
        <v>14.3</v>
      </c>
      <c r="AD166" s="4">
        <v>14.09</v>
      </c>
      <c r="AE166" s="4">
        <v>13.9</v>
      </c>
      <c r="AF166" s="4">
        <v>13.73</v>
      </c>
      <c r="AG166" s="4">
        <v>13.56</v>
      </c>
      <c r="AH166" s="4">
        <v>13.4</v>
      </c>
      <c r="AI166" s="4">
        <v>13.25</v>
      </c>
      <c r="AJ166" s="4">
        <v>13.1</v>
      </c>
      <c r="AK166" s="4">
        <v>12.97</v>
      </c>
    </row>
    <row r="167" spans="1:37">
      <c r="A167" t="s">
        <v>1251</v>
      </c>
      <c r="B167" s="4">
        <v>91.8</v>
      </c>
      <c r="C167" s="4">
        <v>89.54</v>
      </c>
      <c r="D167" s="4">
        <v>88.6</v>
      </c>
      <c r="E167" s="4">
        <v>88.91</v>
      </c>
      <c r="F167" s="4">
        <v>88.25</v>
      </c>
      <c r="G167" s="4">
        <v>88.2</v>
      </c>
      <c r="H167" s="4">
        <v>88.78</v>
      </c>
      <c r="I167" s="4">
        <v>88.35</v>
      </c>
      <c r="J167" s="4">
        <v>88.77</v>
      </c>
      <c r="K167" s="4">
        <v>88.45</v>
      </c>
      <c r="L167" s="4">
        <v>88.56</v>
      </c>
      <c r="M167" s="4">
        <v>88.4</v>
      </c>
      <c r="N167" s="4">
        <v>87.8</v>
      </c>
      <c r="O167" s="4">
        <v>87.69</v>
      </c>
      <c r="P167" s="4">
        <v>88.28</v>
      </c>
      <c r="Q167" s="4">
        <v>89.42</v>
      </c>
      <c r="R167" s="4">
        <v>89.59</v>
      </c>
      <c r="S167" s="4">
        <v>89.38</v>
      </c>
      <c r="T167" s="4">
        <v>87.23</v>
      </c>
      <c r="U167" s="4">
        <v>86.73</v>
      </c>
      <c r="V167" s="4">
        <v>85.44</v>
      </c>
      <c r="W167" s="4">
        <v>87.9</v>
      </c>
      <c r="X167" s="4">
        <v>87</v>
      </c>
      <c r="Y167" s="49">
        <v>88.5</v>
      </c>
      <c r="Z167" s="4">
        <v>88.65</v>
      </c>
      <c r="AA167" s="4">
        <v>88.97</v>
      </c>
      <c r="AB167" s="4">
        <v>89.21</v>
      </c>
      <c r="AC167" s="4">
        <v>89.76</v>
      </c>
      <c r="AD167" s="4">
        <v>90.17</v>
      </c>
      <c r="AE167" s="4">
        <v>90.6</v>
      </c>
      <c r="AF167" s="4">
        <v>91.04</v>
      </c>
      <c r="AG167" s="4">
        <v>91.27</v>
      </c>
      <c r="AH167" s="4">
        <v>91.28</v>
      </c>
      <c r="AI167" s="4">
        <v>91.27</v>
      </c>
      <c r="AJ167" s="4">
        <v>91.2</v>
      </c>
      <c r="AK167" s="4">
        <v>91.13</v>
      </c>
    </row>
    <row r="168" spans="1:37">
      <c r="A168" t="s">
        <v>1252</v>
      </c>
      <c r="B168" s="4">
        <v>78.53</v>
      </c>
      <c r="C168" s="4">
        <v>77.3</v>
      </c>
      <c r="D168" s="4">
        <v>76.900000000000006</v>
      </c>
      <c r="E168" s="4">
        <v>78.17</v>
      </c>
      <c r="F168" s="4">
        <v>78.069999999999993</v>
      </c>
      <c r="G168" s="4">
        <v>78.05</v>
      </c>
      <c r="H168" s="4">
        <v>78.349999999999994</v>
      </c>
      <c r="I168" s="4">
        <v>77.23</v>
      </c>
      <c r="J168" s="4">
        <v>77.819999999999993</v>
      </c>
      <c r="K168" s="4">
        <v>77.989999999999995</v>
      </c>
      <c r="L168" s="4">
        <v>77.8</v>
      </c>
      <c r="M168" s="4">
        <v>78.27</v>
      </c>
      <c r="N168" s="4">
        <v>77.540000000000006</v>
      </c>
      <c r="O168" s="4">
        <v>77.650000000000006</v>
      </c>
      <c r="P168" s="4">
        <v>78.41</v>
      </c>
      <c r="Q168" s="4">
        <v>78.61</v>
      </c>
      <c r="R168" s="4">
        <v>78.58</v>
      </c>
      <c r="S168" s="4">
        <v>78.87</v>
      </c>
      <c r="T168" s="4">
        <v>77.650000000000006</v>
      </c>
      <c r="U168" s="4">
        <v>76.84</v>
      </c>
      <c r="V168" s="4">
        <v>75.73</v>
      </c>
      <c r="W168" s="4">
        <v>77.91</v>
      </c>
      <c r="X168" s="4">
        <v>77.89</v>
      </c>
      <c r="Y168" s="49">
        <v>78.2</v>
      </c>
      <c r="Z168" s="4">
        <v>78.290000000000006</v>
      </c>
      <c r="AA168" s="4">
        <v>78.55</v>
      </c>
      <c r="AB168" s="4">
        <v>78.73</v>
      </c>
      <c r="AC168" s="4">
        <v>79.180000000000007</v>
      </c>
      <c r="AD168" s="4">
        <v>79.540000000000006</v>
      </c>
      <c r="AE168" s="4">
        <v>79.91</v>
      </c>
      <c r="AF168" s="4">
        <v>80.3</v>
      </c>
      <c r="AG168" s="4">
        <v>80.510000000000005</v>
      </c>
      <c r="AH168" s="4">
        <v>80.53</v>
      </c>
      <c r="AI168" s="4">
        <v>80.52</v>
      </c>
      <c r="AJ168" s="4">
        <v>80.48</v>
      </c>
      <c r="AK168" s="4">
        <v>80.41</v>
      </c>
    </row>
    <row r="169" spans="1:37">
      <c r="A169" t="s">
        <v>1253</v>
      </c>
      <c r="B169" s="4">
        <v>4.6500000000000004</v>
      </c>
      <c r="C169" s="4">
        <v>5.34</v>
      </c>
      <c r="D169" s="4">
        <v>6.69</v>
      </c>
      <c r="E169" s="4">
        <v>5.46</v>
      </c>
      <c r="F169" s="4">
        <v>5.84</v>
      </c>
      <c r="G169" s="4">
        <v>5.91</v>
      </c>
      <c r="H169" s="4">
        <v>5.22</v>
      </c>
      <c r="I169" s="4">
        <v>6.78</v>
      </c>
      <c r="J169" s="4">
        <v>5.66</v>
      </c>
      <c r="K169" s="4">
        <v>5.5</v>
      </c>
      <c r="L169" s="4">
        <v>6.55</v>
      </c>
      <c r="M169" s="4">
        <v>6.05</v>
      </c>
      <c r="N169" s="4">
        <v>6.74</v>
      </c>
      <c r="O169" s="4">
        <v>6.47</v>
      </c>
      <c r="P169" s="4">
        <v>5.37</v>
      </c>
      <c r="Q169" s="4">
        <v>5.19</v>
      </c>
      <c r="R169" s="4">
        <v>6.1</v>
      </c>
      <c r="S169" s="4">
        <v>5.2</v>
      </c>
      <c r="T169" s="4">
        <v>5.48</v>
      </c>
      <c r="U169" s="4">
        <v>8.1</v>
      </c>
      <c r="V169" s="4">
        <v>8.01</v>
      </c>
      <c r="W169" s="4">
        <v>7.95</v>
      </c>
      <c r="X169" s="4">
        <v>7.9</v>
      </c>
      <c r="Y169" s="49">
        <v>7.89</v>
      </c>
      <c r="Z169" s="4">
        <v>7.85</v>
      </c>
      <c r="AA169" s="4">
        <v>7.81</v>
      </c>
      <c r="AB169" s="4">
        <v>7.77</v>
      </c>
      <c r="AC169" s="4">
        <v>7.72</v>
      </c>
      <c r="AD169" s="4">
        <v>7.68</v>
      </c>
      <c r="AE169" s="4">
        <v>7.62</v>
      </c>
      <c r="AF169" s="4">
        <v>7.56</v>
      </c>
      <c r="AG169" s="4">
        <v>7.5</v>
      </c>
      <c r="AH169" s="4">
        <v>7.44</v>
      </c>
      <c r="AI169" s="4">
        <v>7.39</v>
      </c>
      <c r="AJ169" s="4">
        <v>7.34</v>
      </c>
      <c r="AK169" s="4">
        <v>7.3</v>
      </c>
    </row>
    <row r="170" spans="1:37">
      <c r="A170" t="s">
        <v>1254</v>
      </c>
      <c r="B170" s="4">
        <v>8.61</v>
      </c>
      <c r="C170" s="4">
        <v>7.99</v>
      </c>
      <c r="D170" s="4">
        <v>7.07</v>
      </c>
      <c r="E170" s="4">
        <v>6.43</v>
      </c>
      <c r="F170" s="4">
        <v>5.6</v>
      </c>
      <c r="G170" s="4">
        <v>5.27</v>
      </c>
      <c r="H170" s="4">
        <v>5.39</v>
      </c>
      <c r="I170" s="4">
        <v>5.98</v>
      </c>
      <c r="J170" s="4">
        <v>5.62</v>
      </c>
      <c r="K170" s="4">
        <v>5.47</v>
      </c>
      <c r="L170" s="4">
        <v>5.52</v>
      </c>
      <c r="M170" s="4">
        <v>5.05</v>
      </c>
      <c r="N170" s="4">
        <v>5.46</v>
      </c>
      <c r="O170" s="4">
        <v>4.83</v>
      </c>
      <c r="P170" s="4">
        <v>4.58</v>
      </c>
      <c r="Q170" s="4">
        <v>5.54</v>
      </c>
      <c r="R170" s="4">
        <v>5.71</v>
      </c>
      <c r="S170" s="4">
        <v>5.0199999999999996</v>
      </c>
      <c r="T170" s="4">
        <v>4.26</v>
      </c>
      <c r="U170" s="4">
        <v>4.2300000000000004</v>
      </c>
      <c r="V170" s="4">
        <v>4.1900000000000004</v>
      </c>
      <c r="W170" s="4">
        <v>4.16</v>
      </c>
      <c r="X170" s="4">
        <v>3.07</v>
      </c>
      <c r="Y170" s="49">
        <v>4.1399999999999997</v>
      </c>
      <c r="Z170" s="4">
        <v>4.12</v>
      </c>
      <c r="AA170" s="4">
        <v>4.0999999999999996</v>
      </c>
      <c r="AB170" s="4">
        <v>4.09</v>
      </c>
      <c r="AC170" s="4">
        <v>4.0599999999999996</v>
      </c>
      <c r="AD170" s="4">
        <v>4.04</v>
      </c>
      <c r="AE170" s="4">
        <v>4.01</v>
      </c>
      <c r="AF170" s="4">
        <v>3.98</v>
      </c>
      <c r="AG170" s="4">
        <v>3.95</v>
      </c>
      <c r="AH170" s="4">
        <v>3.92</v>
      </c>
      <c r="AI170" s="4">
        <v>3.89</v>
      </c>
      <c r="AJ170" s="4">
        <v>3.87</v>
      </c>
      <c r="AK170" s="4">
        <v>3.84</v>
      </c>
    </row>
    <row r="171" spans="1:37">
      <c r="A171" t="s">
        <v>1255</v>
      </c>
      <c r="B171" s="4">
        <v>2.0499999999999998</v>
      </c>
      <c r="C171" s="4">
        <v>2.0499999999999998</v>
      </c>
      <c r="D171" s="4">
        <v>2.0499999999999998</v>
      </c>
      <c r="E171" s="4">
        <v>2.0499999999999998</v>
      </c>
      <c r="F171" s="4">
        <v>2.0499999999999998</v>
      </c>
      <c r="G171" s="4">
        <v>2.0499999999999998</v>
      </c>
      <c r="H171" s="4">
        <v>2.06</v>
      </c>
      <c r="I171" s="4">
        <v>2.06</v>
      </c>
      <c r="J171" s="4">
        <v>2.06</v>
      </c>
      <c r="K171" s="4">
        <v>2.06</v>
      </c>
      <c r="L171" s="4">
        <v>2.06</v>
      </c>
      <c r="M171" s="4">
        <v>1.96</v>
      </c>
      <c r="N171" s="4">
        <v>1.98</v>
      </c>
      <c r="O171" s="4">
        <v>1.99</v>
      </c>
      <c r="P171" s="4">
        <v>1.99</v>
      </c>
      <c r="Q171" s="4">
        <v>2</v>
      </c>
      <c r="R171" s="4">
        <v>2.0099999999999998</v>
      </c>
      <c r="S171" s="4">
        <v>2.02</v>
      </c>
      <c r="T171" s="4">
        <v>2.02</v>
      </c>
      <c r="U171" s="4">
        <v>2.0099999999999998</v>
      </c>
      <c r="V171" s="4">
        <v>2.0099999999999998</v>
      </c>
      <c r="W171" s="4">
        <v>2.0099999999999998</v>
      </c>
      <c r="X171" s="4">
        <v>2.0099999999999998</v>
      </c>
      <c r="Y171" s="49">
        <v>2.0099999999999998</v>
      </c>
      <c r="Z171" s="4">
        <v>2.0099999999999998</v>
      </c>
      <c r="AA171" s="4">
        <v>2.0099999999999998</v>
      </c>
      <c r="AB171" s="4">
        <v>2.0099999999999998</v>
      </c>
      <c r="AC171" s="4">
        <v>2.0099999999999998</v>
      </c>
      <c r="AD171" s="4">
        <v>2.0099999999999998</v>
      </c>
      <c r="AE171" s="4">
        <v>2.0099999999999998</v>
      </c>
      <c r="AF171" s="4">
        <v>2.0099999999999998</v>
      </c>
      <c r="AG171" s="4">
        <v>2.0099999999999998</v>
      </c>
      <c r="AH171" s="4">
        <v>2.0099999999999998</v>
      </c>
      <c r="AI171" s="4">
        <v>2.0099999999999998</v>
      </c>
      <c r="AJ171" s="4">
        <v>2.0099999999999998</v>
      </c>
      <c r="AK171" s="4">
        <v>2.0099999999999998</v>
      </c>
    </row>
    <row r="172" spans="1:37">
      <c r="A172" t="s">
        <v>1256</v>
      </c>
      <c r="B172" s="4">
        <v>48.51</v>
      </c>
      <c r="C172" s="4">
        <v>47.84</v>
      </c>
      <c r="D172" s="4">
        <v>47.71</v>
      </c>
      <c r="E172" s="4">
        <v>47.7</v>
      </c>
      <c r="F172" s="4">
        <v>47.48</v>
      </c>
      <c r="G172" s="4">
        <v>47.53</v>
      </c>
      <c r="H172" s="4">
        <v>47.57</v>
      </c>
      <c r="I172" s="4">
        <v>47.18</v>
      </c>
      <c r="J172" s="4">
        <v>47.26</v>
      </c>
      <c r="K172" s="4">
        <v>47.18</v>
      </c>
      <c r="L172" s="4">
        <v>47.33</v>
      </c>
      <c r="M172" s="4">
        <v>49.13</v>
      </c>
      <c r="N172" s="4">
        <v>48.56</v>
      </c>
      <c r="O172" s="4">
        <v>48.47</v>
      </c>
      <c r="P172" s="4">
        <v>48.82</v>
      </c>
      <c r="Q172" s="4">
        <v>48.97</v>
      </c>
      <c r="R172" s="4">
        <v>48.81</v>
      </c>
      <c r="S172" s="4">
        <v>48.89</v>
      </c>
      <c r="T172" s="4">
        <v>48.44</v>
      </c>
      <c r="U172" s="4">
        <v>48.54</v>
      </c>
      <c r="V172" s="4">
        <v>56.14</v>
      </c>
      <c r="W172" s="4">
        <v>56.14</v>
      </c>
      <c r="X172" s="4">
        <v>56.14</v>
      </c>
      <c r="Y172" s="49">
        <v>56.14</v>
      </c>
      <c r="Z172" s="4">
        <v>56.14</v>
      </c>
      <c r="AA172" s="4">
        <v>56.14</v>
      </c>
      <c r="AB172" s="4">
        <v>56.14</v>
      </c>
      <c r="AC172" s="4">
        <v>56.14</v>
      </c>
      <c r="AD172" s="4">
        <v>56.14</v>
      </c>
      <c r="AE172" s="4">
        <v>56.14</v>
      </c>
      <c r="AF172" s="4">
        <v>56.14</v>
      </c>
      <c r="AG172" s="4">
        <v>56.14</v>
      </c>
      <c r="AH172" s="4">
        <v>56.14</v>
      </c>
      <c r="AI172" s="4">
        <v>56.14</v>
      </c>
      <c r="AJ172" s="4">
        <v>56.14</v>
      </c>
      <c r="AK172" s="4">
        <v>56.14</v>
      </c>
    </row>
    <row r="173" spans="1:37">
      <c r="A173" t="s">
        <v>1257</v>
      </c>
      <c r="B173" s="4">
        <v>503.43</v>
      </c>
      <c r="C173" s="4">
        <v>497.07</v>
      </c>
      <c r="D173" s="4">
        <v>490.17</v>
      </c>
      <c r="E173" s="4">
        <v>496.36</v>
      </c>
      <c r="F173" s="4">
        <v>502.75</v>
      </c>
      <c r="G173" s="4">
        <v>505.07</v>
      </c>
      <c r="H173" s="4">
        <v>505.48</v>
      </c>
      <c r="I173" s="4">
        <v>505.98</v>
      </c>
      <c r="J173" s="4">
        <v>504.35</v>
      </c>
      <c r="K173" s="4">
        <v>491.39</v>
      </c>
      <c r="L173" s="4">
        <v>497.88</v>
      </c>
      <c r="M173" s="4">
        <v>486.8</v>
      </c>
      <c r="N173" s="4">
        <v>493.5</v>
      </c>
      <c r="O173" s="4">
        <v>482.92</v>
      </c>
      <c r="P173" s="4">
        <v>483.26</v>
      </c>
      <c r="Q173" s="4">
        <v>473.72</v>
      </c>
      <c r="R173" s="4">
        <v>477.13</v>
      </c>
      <c r="S173" s="4">
        <v>484.43</v>
      </c>
      <c r="T173" s="4">
        <v>492.02</v>
      </c>
      <c r="U173" s="4">
        <v>481.75</v>
      </c>
      <c r="V173" s="4">
        <v>481.75</v>
      </c>
      <c r="W173" s="4">
        <v>481.75</v>
      </c>
      <c r="X173" s="4">
        <v>481.75</v>
      </c>
      <c r="Y173" s="49">
        <v>481.75</v>
      </c>
      <c r="Z173" s="4">
        <v>481.75</v>
      </c>
      <c r="AA173" s="4">
        <v>477.48</v>
      </c>
      <c r="AB173" s="4">
        <v>473.28</v>
      </c>
      <c r="AC173" s="4">
        <v>469.16</v>
      </c>
      <c r="AD173" s="4">
        <v>465.11</v>
      </c>
      <c r="AE173" s="4">
        <v>461.13</v>
      </c>
      <c r="AF173" s="4">
        <v>457.22</v>
      </c>
      <c r="AG173" s="4">
        <v>453.37</v>
      </c>
      <c r="AH173" s="4">
        <v>449.59</v>
      </c>
      <c r="AI173" s="4">
        <v>445.86</v>
      </c>
      <c r="AJ173" s="4">
        <v>442.21</v>
      </c>
      <c r="AK173" s="4">
        <v>438.61</v>
      </c>
    </row>
    <row r="174" spans="1:37">
      <c r="A174" t="s">
        <v>1258</v>
      </c>
      <c r="B174" s="1">
        <v>12473</v>
      </c>
      <c r="C174" s="1">
        <v>12750</v>
      </c>
      <c r="D174" s="1">
        <v>12792</v>
      </c>
      <c r="E174" s="1">
        <v>12741</v>
      </c>
      <c r="F174" s="1">
        <v>12817</v>
      </c>
      <c r="G174" s="1">
        <v>12862</v>
      </c>
      <c r="H174" s="1">
        <v>12720</v>
      </c>
      <c r="I174" s="1">
        <v>12780</v>
      </c>
      <c r="J174" s="1">
        <v>12684</v>
      </c>
      <c r="K174" s="1">
        <v>12722</v>
      </c>
      <c r="L174" s="1">
        <v>12700</v>
      </c>
      <c r="M174" s="1">
        <v>13169</v>
      </c>
      <c r="N174" s="1">
        <v>13167</v>
      </c>
      <c r="O174" s="1">
        <v>13114</v>
      </c>
      <c r="P174" s="1">
        <v>13057</v>
      </c>
      <c r="Q174" s="1">
        <v>12916</v>
      </c>
      <c r="R174" s="1">
        <v>12871</v>
      </c>
      <c r="S174" s="1">
        <v>12889</v>
      </c>
      <c r="T174" s="1">
        <v>13163</v>
      </c>
      <c r="U174" s="1">
        <v>13197</v>
      </c>
      <c r="V174" s="1">
        <v>13362</v>
      </c>
      <c r="W174" s="1">
        <v>13461</v>
      </c>
      <c r="X174" s="1">
        <v>13674</v>
      </c>
      <c r="Y174" s="48">
        <v>13521</v>
      </c>
      <c r="Z174" s="1">
        <v>13581</v>
      </c>
      <c r="AA174" s="1">
        <v>13645</v>
      </c>
      <c r="AB174" s="1">
        <v>13710</v>
      </c>
      <c r="AC174" s="1">
        <v>13789</v>
      </c>
      <c r="AD174" s="1">
        <v>13873</v>
      </c>
      <c r="AE174" s="1">
        <v>13965</v>
      </c>
      <c r="AF174" s="1">
        <v>14078</v>
      </c>
      <c r="AG174" s="1">
        <v>14190</v>
      </c>
      <c r="AH174" s="1">
        <v>14307</v>
      </c>
      <c r="AI174" s="1">
        <v>14415</v>
      </c>
      <c r="AJ174" s="1">
        <v>14517</v>
      </c>
      <c r="AK174" s="1">
        <v>14602</v>
      </c>
    </row>
    <row r="175" spans="1:37">
      <c r="A175" t="s">
        <v>1259</v>
      </c>
      <c r="B175" s="1">
        <v>23604</v>
      </c>
      <c r="C175" s="1">
        <v>23863</v>
      </c>
      <c r="D175" s="1">
        <v>23755</v>
      </c>
      <c r="E175" s="1">
        <v>23749</v>
      </c>
      <c r="F175" s="1">
        <v>23824</v>
      </c>
      <c r="G175" s="1">
        <v>23866</v>
      </c>
      <c r="H175" s="1">
        <v>23742</v>
      </c>
      <c r="I175" s="1">
        <v>23931</v>
      </c>
      <c r="J175" s="1">
        <v>23826</v>
      </c>
      <c r="K175" s="1">
        <v>23853</v>
      </c>
      <c r="L175" s="1">
        <v>23761</v>
      </c>
      <c r="M175" s="1">
        <v>23695</v>
      </c>
      <c r="N175" s="1">
        <v>23804</v>
      </c>
      <c r="O175" s="1">
        <v>23728</v>
      </c>
      <c r="P175" s="1">
        <v>23609</v>
      </c>
      <c r="Q175" s="1">
        <v>23584</v>
      </c>
      <c r="R175" s="1">
        <v>23622</v>
      </c>
      <c r="S175" s="1">
        <v>23565</v>
      </c>
      <c r="T175" s="1">
        <v>23702</v>
      </c>
      <c r="U175" s="1">
        <v>23581</v>
      </c>
      <c r="V175" s="1">
        <v>20336</v>
      </c>
      <c r="W175" s="1">
        <v>21076</v>
      </c>
      <c r="X175" s="1">
        <v>21189</v>
      </c>
      <c r="Y175" s="48">
        <v>21314</v>
      </c>
      <c r="Z175" s="1">
        <v>21445</v>
      </c>
      <c r="AA175" s="1">
        <v>21624</v>
      </c>
      <c r="AB175" s="1">
        <v>21784</v>
      </c>
      <c r="AC175" s="1">
        <v>22044</v>
      </c>
      <c r="AD175" s="1">
        <v>22281</v>
      </c>
      <c r="AE175" s="1">
        <v>22537</v>
      </c>
      <c r="AF175" s="1">
        <v>22828</v>
      </c>
      <c r="AG175" s="1">
        <v>23069</v>
      </c>
      <c r="AH175" s="1">
        <v>23261</v>
      </c>
      <c r="AI175" s="1">
        <v>23432</v>
      </c>
      <c r="AJ175" s="1">
        <v>23581</v>
      </c>
      <c r="AK175" s="1">
        <v>23701</v>
      </c>
    </row>
    <row r="176" spans="1:37">
      <c r="A176" t="s">
        <v>1260</v>
      </c>
      <c r="B176" s="1">
        <v>118424</v>
      </c>
      <c r="C176" s="1">
        <v>116029</v>
      </c>
      <c r="D176" s="1">
        <v>105529</v>
      </c>
      <c r="E176" s="1">
        <v>111156</v>
      </c>
      <c r="F176" s="1">
        <v>115039</v>
      </c>
      <c r="G176" s="1">
        <v>115046</v>
      </c>
      <c r="H176" s="1">
        <v>116180</v>
      </c>
      <c r="I176" s="1">
        <v>116409</v>
      </c>
      <c r="J176" s="1">
        <v>115182</v>
      </c>
      <c r="K176" s="1">
        <v>113440</v>
      </c>
      <c r="L176" s="1">
        <v>115495</v>
      </c>
      <c r="M176" s="1">
        <v>116946</v>
      </c>
      <c r="N176" s="1">
        <v>128974</v>
      </c>
      <c r="O176" s="1">
        <v>119488</v>
      </c>
      <c r="P176" s="1">
        <v>118515</v>
      </c>
      <c r="Q176" s="1">
        <v>107979</v>
      </c>
      <c r="R176" s="1">
        <v>112797</v>
      </c>
      <c r="S176" s="1">
        <v>115301</v>
      </c>
      <c r="T176" s="1">
        <v>122083</v>
      </c>
      <c r="U176" s="1">
        <v>118062</v>
      </c>
      <c r="V176" s="1">
        <v>115328</v>
      </c>
      <c r="W176" s="1">
        <v>117182</v>
      </c>
      <c r="X176" s="1">
        <v>116777</v>
      </c>
      <c r="Y176" s="48">
        <v>117681</v>
      </c>
      <c r="Z176" s="1">
        <v>124177</v>
      </c>
      <c r="AA176" s="1">
        <v>119317</v>
      </c>
      <c r="AB176" s="1">
        <v>120345</v>
      </c>
      <c r="AC176" s="1">
        <v>121583</v>
      </c>
      <c r="AD176" s="1">
        <v>121538</v>
      </c>
      <c r="AE176" s="1">
        <v>122034</v>
      </c>
      <c r="AF176" s="1">
        <v>122965</v>
      </c>
      <c r="AG176" s="1">
        <v>122457</v>
      </c>
      <c r="AH176" s="1">
        <v>122434</v>
      </c>
      <c r="AI176" s="1">
        <v>122306</v>
      </c>
      <c r="AJ176" s="1">
        <v>121685</v>
      </c>
      <c r="AK176" s="1">
        <v>121701</v>
      </c>
    </row>
    <row r="177" spans="1:37">
      <c r="A177" t="s">
        <v>1261</v>
      </c>
      <c r="B177" s="4">
        <v>3.89</v>
      </c>
      <c r="C177" s="4">
        <v>4.57</v>
      </c>
      <c r="D177" s="4">
        <v>5.95</v>
      </c>
      <c r="E177" s="4">
        <v>4.72</v>
      </c>
      <c r="F177" s="4">
        <v>5.12</v>
      </c>
      <c r="G177" s="4">
        <v>5.08</v>
      </c>
      <c r="H177" s="4">
        <v>4.3600000000000003</v>
      </c>
      <c r="I177" s="4">
        <v>5.96</v>
      </c>
      <c r="J177" s="4">
        <v>4.82</v>
      </c>
      <c r="K177" s="4">
        <v>4.51</v>
      </c>
      <c r="L177" s="4">
        <v>5.75</v>
      </c>
      <c r="M177" s="4">
        <v>5.26</v>
      </c>
      <c r="N177" s="4">
        <v>5.98</v>
      </c>
      <c r="O177" s="4">
        <v>5.71</v>
      </c>
      <c r="P177" s="4">
        <v>4.59</v>
      </c>
      <c r="Q177" s="4">
        <v>4.59</v>
      </c>
      <c r="R177" s="4">
        <v>5.65</v>
      </c>
      <c r="S177" s="4">
        <v>4.76</v>
      </c>
      <c r="T177" s="4">
        <v>5.05</v>
      </c>
      <c r="U177" s="4">
        <v>7.69</v>
      </c>
      <c r="V177" s="4">
        <v>6.39</v>
      </c>
      <c r="W177" s="4">
        <v>6.83</v>
      </c>
      <c r="X177" s="4">
        <v>6.86</v>
      </c>
      <c r="Y177" s="49">
        <v>6.75</v>
      </c>
      <c r="Z177" s="4">
        <v>6.66</v>
      </c>
      <c r="AA177" s="4">
        <v>6.56</v>
      </c>
      <c r="AB177" s="4">
        <v>6.52</v>
      </c>
      <c r="AC177" s="4">
        <v>6.27</v>
      </c>
      <c r="AD177" s="4">
        <v>6.07</v>
      </c>
      <c r="AE177" s="4">
        <v>5.87</v>
      </c>
      <c r="AF177" s="4">
        <v>5.67</v>
      </c>
      <c r="AG177" s="4">
        <v>5.61</v>
      </c>
      <c r="AH177" s="4">
        <v>5.61</v>
      </c>
      <c r="AI177" s="4">
        <v>5.75</v>
      </c>
      <c r="AJ177" s="4">
        <v>5.91</v>
      </c>
      <c r="AK177" s="4">
        <v>6.05</v>
      </c>
    </row>
    <row r="178" spans="1:37">
      <c r="A178" t="s">
        <v>1262</v>
      </c>
      <c r="B178" s="4">
        <v>46.92</v>
      </c>
      <c r="C178" s="4">
        <v>46.59</v>
      </c>
      <c r="D178" s="4">
        <v>49.63</v>
      </c>
      <c r="E178" s="4">
        <v>48.87</v>
      </c>
      <c r="F178" s="4">
        <v>50.18</v>
      </c>
      <c r="G178" s="4">
        <v>50.43</v>
      </c>
      <c r="H178" s="4">
        <v>50.48</v>
      </c>
      <c r="I178" s="4">
        <v>50.93</v>
      </c>
      <c r="J178" s="4">
        <v>29.43</v>
      </c>
      <c r="K178" s="4">
        <v>28.11</v>
      </c>
      <c r="L178" s="4">
        <v>50.42</v>
      </c>
      <c r="M178" s="4">
        <v>50.52</v>
      </c>
      <c r="N178" s="4">
        <v>50.3</v>
      </c>
      <c r="O178" s="4">
        <v>45.74</v>
      </c>
      <c r="P178" s="4">
        <v>48.91</v>
      </c>
      <c r="Q178" s="4">
        <v>44.38</v>
      </c>
      <c r="R178" s="4">
        <v>44.82</v>
      </c>
      <c r="S178" s="4">
        <v>44.79</v>
      </c>
      <c r="T178" s="4">
        <v>45.15</v>
      </c>
      <c r="U178" s="4">
        <v>47.51</v>
      </c>
      <c r="V178" s="4">
        <v>45.74</v>
      </c>
      <c r="W178" s="4">
        <v>45.88</v>
      </c>
      <c r="X178" s="4">
        <v>46.71</v>
      </c>
      <c r="Y178" s="49">
        <v>45.52</v>
      </c>
      <c r="Z178" s="4">
        <v>45.24</v>
      </c>
      <c r="AA178" s="4">
        <v>44.94</v>
      </c>
      <c r="AB178" s="4">
        <v>44.71</v>
      </c>
      <c r="AC178" s="4">
        <v>44.22</v>
      </c>
      <c r="AD178" s="4">
        <v>43.79</v>
      </c>
      <c r="AE178" s="4">
        <v>43.33</v>
      </c>
      <c r="AF178" s="4">
        <v>42.84</v>
      </c>
      <c r="AG178" s="4">
        <v>42.48</v>
      </c>
      <c r="AH178" s="4">
        <v>42.19</v>
      </c>
      <c r="AI178" s="4">
        <v>42.05</v>
      </c>
      <c r="AJ178" s="4">
        <v>41.97</v>
      </c>
      <c r="AK178" s="4">
        <v>41.9</v>
      </c>
    </row>
    <row r="179" spans="1:37">
      <c r="A179" t="s">
        <v>1263</v>
      </c>
      <c r="B179" s="4">
        <v>8.1</v>
      </c>
      <c r="C179" s="4">
        <v>7.57</v>
      </c>
      <c r="D179" s="4">
        <v>6.73</v>
      </c>
      <c r="E179" s="4">
        <v>6.21</v>
      </c>
      <c r="F179" s="4">
        <v>5.43</v>
      </c>
      <c r="G179" s="4">
        <v>5.1100000000000003</v>
      </c>
      <c r="H179" s="4">
        <v>5.22</v>
      </c>
      <c r="I179" s="4">
        <v>5.74</v>
      </c>
      <c r="J179" s="4">
        <v>5.4</v>
      </c>
      <c r="K179" s="4">
        <v>5.29</v>
      </c>
      <c r="L179" s="4">
        <v>5.32</v>
      </c>
      <c r="M179" s="4">
        <v>4.91</v>
      </c>
      <c r="N179" s="4">
        <v>5.29</v>
      </c>
      <c r="O179" s="4">
        <v>4.6900000000000004</v>
      </c>
      <c r="P179" s="4">
        <v>4.46</v>
      </c>
      <c r="Q179" s="4">
        <v>5.35</v>
      </c>
      <c r="R179" s="4">
        <v>5.5</v>
      </c>
      <c r="S179" s="4">
        <v>4.8600000000000003</v>
      </c>
      <c r="T179" s="4">
        <v>4.1500000000000004</v>
      </c>
      <c r="U179" s="4">
        <v>4.1100000000000003</v>
      </c>
      <c r="V179" s="4">
        <v>4.0599999999999996</v>
      </c>
      <c r="W179" s="4">
        <v>4.03</v>
      </c>
      <c r="X179" s="4">
        <v>3</v>
      </c>
      <c r="Y179" s="49">
        <v>4</v>
      </c>
      <c r="Z179" s="4">
        <v>3.98</v>
      </c>
      <c r="AA179" s="4">
        <v>3.96</v>
      </c>
      <c r="AB179" s="4">
        <v>3.94</v>
      </c>
      <c r="AC179" s="4">
        <v>3.92</v>
      </c>
      <c r="AD179" s="4">
        <v>3.89</v>
      </c>
      <c r="AE179" s="4">
        <v>3.87</v>
      </c>
      <c r="AF179" s="4">
        <v>3.84</v>
      </c>
      <c r="AG179" s="4">
        <v>3.81</v>
      </c>
      <c r="AH179" s="4">
        <v>3.78</v>
      </c>
      <c r="AI179" s="4">
        <v>3.75</v>
      </c>
      <c r="AJ179" s="4">
        <v>3.72</v>
      </c>
      <c r="AK179" s="4">
        <v>3.7</v>
      </c>
    </row>
    <row r="180" spans="1:37">
      <c r="A180" t="s">
        <v>1264</v>
      </c>
      <c r="B180" s="4">
        <v>77.44</v>
      </c>
      <c r="C180" s="4">
        <v>76.209999999999994</v>
      </c>
      <c r="D180" s="4">
        <v>75.760000000000005</v>
      </c>
      <c r="E180" s="4">
        <v>76.989999999999995</v>
      </c>
      <c r="F180" s="4">
        <v>76.89</v>
      </c>
      <c r="G180" s="4">
        <v>76.62</v>
      </c>
      <c r="H180" s="4">
        <v>76.91</v>
      </c>
      <c r="I180" s="4">
        <v>75.83</v>
      </c>
      <c r="J180" s="4">
        <v>76.400000000000006</v>
      </c>
      <c r="K180" s="4">
        <v>76.569999999999993</v>
      </c>
      <c r="L180" s="4">
        <v>76.400000000000006</v>
      </c>
      <c r="M180" s="4">
        <v>76.86</v>
      </c>
      <c r="N180" s="4">
        <v>76.11</v>
      </c>
      <c r="O180" s="4">
        <v>76.19</v>
      </c>
      <c r="P180" s="4">
        <v>76.900000000000006</v>
      </c>
      <c r="Q180" s="4">
        <v>77.05</v>
      </c>
      <c r="R180" s="4">
        <v>76.989999999999995</v>
      </c>
      <c r="S180" s="4">
        <v>77.28</v>
      </c>
      <c r="T180" s="4">
        <v>76.08</v>
      </c>
      <c r="U180" s="4">
        <v>75.260000000000005</v>
      </c>
      <c r="V180" s="4">
        <v>74.12</v>
      </c>
      <c r="W180" s="4">
        <v>76.290000000000006</v>
      </c>
      <c r="X180" s="4">
        <v>76.27</v>
      </c>
      <c r="Y180" s="49">
        <v>76.569999999999993</v>
      </c>
      <c r="Z180" s="4">
        <v>76.66</v>
      </c>
      <c r="AA180" s="4">
        <v>76.91</v>
      </c>
      <c r="AB180" s="4">
        <v>77.09</v>
      </c>
      <c r="AC180" s="4">
        <v>77.53</v>
      </c>
      <c r="AD180" s="4">
        <v>77.88</v>
      </c>
      <c r="AE180" s="4">
        <v>78.239999999999995</v>
      </c>
      <c r="AF180" s="4">
        <v>78.63</v>
      </c>
      <c r="AG180" s="4">
        <v>78.84</v>
      </c>
      <c r="AH180" s="4">
        <v>78.86</v>
      </c>
      <c r="AI180" s="4">
        <v>78.849999999999994</v>
      </c>
      <c r="AJ180" s="4">
        <v>78.81</v>
      </c>
      <c r="AK180" s="4">
        <v>78.760000000000005</v>
      </c>
    </row>
    <row r="181" spans="1:37">
      <c r="A181" t="s">
        <v>1265</v>
      </c>
      <c r="B181" s="4">
        <v>90.54</v>
      </c>
      <c r="C181" s="4">
        <v>88.29</v>
      </c>
      <c r="D181" s="4">
        <v>87.29</v>
      </c>
      <c r="E181" s="4">
        <v>87.59</v>
      </c>
      <c r="F181" s="4">
        <v>86.93</v>
      </c>
      <c r="G181" s="4">
        <v>86.6</v>
      </c>
      <c r="H181" s="4">
        <v>87.16</v>
      </c>
      <c r="I181" s="4">
        <v>86.76</v>
      </c>
      <c r="J181" s="4">
        <v>87.16</v>
      </c>
      <c r="K181" s="4">
        <v>86.85</v>
      </c>
      <c r="L181" s="4">
        <v>86.98</v>
      </c>
      <c r="M181" s="4">
        <v>86.82</v>
      </c>
      <c r="N181" s="4">
        <v>86.19</v>
      </c>
      <c r="O181" s="4">
        <v>86.05</v>
      </c>
      <c r="P181" s="4">
        <v>86.6</v>
      </c>
      <c r="Q181" s="4">
        <v>87.67</v>
      </c>
      <c r="R181" s="4">
        <v>87.8</v>
      </c>
      <c r="S181" s="4">
        <v>87.59</v>
      </c>
      <c r="T181" s="4">
        <v>85.48</v>
      </c>
      <c r="U181" s="4">
        <v>84.97</v>
      </c>
      <c r="V181" s="4">
        <v>83.64</v>
      </c>
      <c r="W181" s="4">
        <v>86.08</v>
      </c>
      <c r="X181" s="4">
        <v>85.2</v>
      </c>
      <c r="Y181" s="49">
        <v>86.67</v>
      </c>
      <c r="Z181" s="4">
        <v>86.82</v>
      </c>
      <c r="AA181" s="4">
        <v>87.12</v>
      </c>
      <c r="AB181" s="4">
        <v>87.35</v>
      </c>
      <c r="AC181" s="4">
        <v>87.89</v>
      </c>
      <c r="AD181" s="4">
        <v>88.3</v>
      </c>
      <c r="AE181" s="4">
        <v>88.72</v>
      </c>
      <c r="AF181" s="4">
        <v>89.16</v>
      </c>
      <c r="AG181" s="4">
        <v>89.39</v>
      </c>
      <c r="AH181" s="4">
        <v>89.39</v>
      </c>
      <c r="AI181" s="4">
        <v>89.38</v>
      </c>
      <c r="AJ181" s="4">
        <v>89.32</v>
      </c>
      <c r="AK181" s="4">
        <v>89.26</v>
      </c>
    </row>
    <row r="182" spans="1:37">
      <c r="A182" t="s">
        <v>1266</v>
      </c>
      <c r="B182" s="4">
        <v>3.71</v>
      </c>
      <c r="C182" s="4">
        <v>5.03</v>
      </c>
      <c r="D182" s="4">
        <v>4.41</v>
      </c>
      <c r="E182" s="4">
        <v>1.47</v>
      </c>
      <c r="F182" s="4">
        <v>0.48</v>
      </c>
      <c r="G182" s="4">
        <v>-1.2</v>
      </c>
      <c r="H182" s="4">
        <v>-0.28000000000000003</v>
      </c>
      <c r="I182" s="4">
        <v>-0.06</v>
      </c>
      <c r="J182" s="4">
        <v>-0.34</v>
      </c>
      <c r="K182" s="4">
        <v>0.09</v>
      </c>
      <c r="L182" s="4">
        <v>-1.06</v>
      </c>
      <c r="M182" s="4">
        <v>-2.0499999999999998</v>
      </c>
      <c r="N182" s="4">
        <v>0.39</v>
      </c>
      <c r="O182" s="4">
        <v>-0.77</v>
      </c>
      <c r="P182" s="4">
        <v>-1.35</v>
      </c>
      <c r="Q182" s="4">
        <v>0.66</v>
      </c>
      <c r="R182" s="4">
        <v>1.0900000000000001</v>
      </c>
      <c r="S182" s="4">
        <v>0.79</v>
      </c>
      <c r="T182" s="4">
        <v>2.84</v>
      </c>
      <c r="U182" s="4">
        <v>2.35</v>
      </c>
      <c r="V182" s="4">
        <v>4.53</v>
      </c>
      <c r="W182" s="4">
        <v>5.55</v>
      </c>
      <c r="X182" s="4">
        <v>5.86</v>
      </c>
      <c r="Y182" s="49">
        <v>6.59</v>
      </c>
      <c r="Z182" s="4">
        <v>6.07</v>
      </c>
      <c r="AA182" s="4">
        <v>6.49</v>
      </c>
      <c r="AB182" s="4">
        <v>7.74</v>
      </c>
      <c r="AC182" s="4">
        <v>8.18</v>
      </c>
      <c r="AD182" s="4">
        <v>8.3699999999999992</v>
      </c>
      <c r="AE182" s="4">
        <v>9.1</v>
      </c>
      <c r="AF182" s="4">
        <v>8.26</v>
      </c>
      <c r="AG182" s="4">
        <v>7.99</v>
      </c>
      <c r="AH182" s="4">
        <v>7.56</v>
      </c>
      <c r="AI182" s="4">
        <v>7.57</v>
      </c>
      <c r="AJ182" s="4">
        <v>7.72</v>
      </c>
      <c r="AK182" s="4">
        <v>8.14</v>
      </c>
    </row>
    <row r="183" spans="1:37">
      <c r="A183" t="s">
        <v>1267</v>
      </c>
      <c r="B183" s="4">
        <v>1.39</v>
      </c>
      <c r="C183" s="4">
        <v>1.41</v>
      </c>
      <c r="D183" s="4">
        <v>1.49</v>
      </c>
      <c r="E183" s="4">
        <v>1.5</v>
      </c>
      <c r="F183" s="4">
        <v>1.51</v>
      </c>
      <c r="G183" s="4">
        <v>1.83</v>
      </c>
      <c r="H183" s="4">
        <v>1.84</v>
      </c>
      <c r="I183" s="4">
        <v>1.81</v>
      </c>
      <c r="J183" s="4">
        <v>1.83</v>
      </c>
      <c r="K183" s="4">
        <v>1.82</v>
      </c>
      <c r="L183" s="4">
        <v>1.8</v>
      </c>
      <c r="M183" s="4">
        <v>1.83</v>
      </c>
      <c r="N183" s="4">
        <v>1.86</v>
      </c>
      <c r="O183" s="4">
        <v>1.89</v>
      </c>
      <c r="P183" s="4">
        <v>1.92</v>
      </c>
      <c r="Q183" s="4">
        <v>2</v>
      </c>
      <c r="R183" s="4">
        <v>2.0099999999999998</v>
      </c>
      <c r="S183" s="4">
        <v>2.0499999999999998</v>
      </c>
      <c r="T183" s="4">
        <v>2.0299999999999998</v>
      </c>
      <c r="U183" s="4">
        <v>2.0499999999999998</v>
      </c>
      <c r="V183" s="4">
        <v>2.12</v>
      </c>
      <c r="W183" s="4">
        <v>2.08</v>
      </c>
      <c r="X183" s="4">
        <v>2.08</v>
      </c>
      <c r="Y183" s="49">
        <v>2.09</v>
      </c>
      <c r="Z183" s="4">
        <v>2.09</v>
      </c>
      <c r="AA183" s="4">
        <v>2.09</v>
      </c>
      <c r="AB183" s="4">
        <v>2.09</v>
      </c>
      <c r="AC183" s="4">
        <v>2.1</v>
      </c>
      <c r="AD183" s="4">
        <v>2.09</v>
      </c>
      <c r="AE183" s="4">
        <v>2.09</v>
      </c>
      <c r="AF183" s="4">
        <v>2.08</v>
      </c>
      <c r="AG183" s="4">
        <v>2.08</v>
      </c>
      <c r="AH183" s="4">
        <v>2.08</v>
      </c>
      <c r="AI183" s="4">
        <v>2.0699999999999998</v>
      </c>
      <c r="AJ183" s="4">
        <v>2.0699999999999998</v>
      </c>
      <c r="AK183" s="4">
        <v>2.06</v>
      </c>
    </row>
    <row r="184" spans="1:37">
      <c r="A184" t="s">
        <v>1268</v>
      </c>
      <c r="B184" s="4">
        <v>-0.2</v>
      </c>
      <c r="C184" s="4">
        <v>2.2000000000000002</v>
      </c>
      <c r="D184" s="4">
        <v>0.47</v>
      </c>
      <c r="E184" s="4">
        <v>-0.53</v>
      </c>
      <c r="F184" s="4">
        <v>0.63</v>
      </c>
      <c r="G184" s="4">
        <v>0.33</v>
      </c>
      <c r="H184" s="4">
        <v>-0.71</v>
      </c>
      <c r="I184" s="4">
        <v>0.57999999999999996</v>
      </c>
      <c r="J184" s="4">
        <v>-0.61</v>
      </c>
      <c r="K184" s="4">
        <v>0.33</v>
      </c>
      <c r="L184" s="4">
        <v>-0.09</v>
      </c>
      <c r="M184" s="4">
        <v>0.28999999999999998</v>
      </c>
      <c r="N184" s="4">
        <v>0.74</v>
      </c>
      <c r="O184" s="4">
        <v>0.37</v>
      </c>
      <c r="P184" s="4">
        <v>-0.37</v>
      </c>
      <c r="Q184" s="4">
        <v>-0.82</v>
      </c>
      <c r="R184" s="4">
        <v>0.22</v>
      </c>
      <c r="S184" s="4">
        <v>0.61</v>
      </c>
      <c r="T184" s="4">
        <v>2.48</v>
      </c>
      <c r="U184" s="4">
        <v>0.56000000000000005</v>
      </c>
      <c r="V184" s="4">
        <v>1.25</v>
      </c>
      <c r="W184" s="4">
        <v>0.74</v>
      </c>
      <c r="X184" s="4">
        <v>1.58</v>
      </c>
      <c r="Y184" s="49">
        <v>-1.1200000000000001</v>
      </c>
      <c r="Z184" s="4">
        <v>0.45</v>
      </c>
      <c r="AA184" s="4">
        <v>0.47</v>
      </c>
      <c r="AB184" s="4">
        <v>0.47</v>
      </c>
      <c r="AC184" s="4">
        <v>0.57999999999999996</v>
      </c>
      <c r="AD184" s="4">
        <v>0.61</v>
      </c>
      <c r="AE184" s="4">
        <v>0.67</v>
      </c>
      <c r="AF184" s="4">
        <v>0.81</v>
      </c>
      <c r="AG184" s="4">
        <v>0.8</v>
      </c>
      <c r="AH184" s="4">
        <v>0.82</v>
      </c>
      <c r="AI184" s="4">
        <v>0.75</v>
      </c>
      <c r="AJ184" s="4">
        <v>0.71</v>
      </c>
      <c r="AK184" s="4">
        <v>0.59</v>
      </c>
    </row>
    <row r="185" spans="1:37">
      <c r="A185" t="s">
        <v>1269</v>
      </c>
      <c r="B185" s="4">
        <v>1.18</v>
      </c>
      <c r="C185" s="4">
        <v>1.07</v>
      </c>
      <c r="D185" s="4">
        <v>1.2</v>
      </c>
      <c r="E185" s="4">
        <v>1.1399999999999999</v>
      </c>
      <c r="F185" s="4">
        <v>1.1200000000000001</v>
      </c>
      <c r="G185" s="4">
        <v>1.07</v>
      </c>
      <c r="H185" s="4">
        <v>1.08</v>
      </c>
      <c r="I185" s="4">
        <v>1.04</v>
      </c>
      <c r="J185" s="4">
        <v>1.05</v>
      </c>
      <c r="K185" s="4">
        <v>1.06</v>
      </c>
      <c r="L185" s="4">
        <v>1.05</v>
      </c>
      <c r="M185" s="4">
        <v>1.07</v>
      </c>
      <c r="N185" s="4">
        <v>1.31</v>
      </c>
      <c r="O185" s="4">
        <v>1.28</v>
      </c>
      <c r="P185" s="4">
        <v>1.35</v>
      </c>
      <c r="Q185" s="4">
        <v>1.5</v>
      </c>
      <c r="R185" s="4">
        <v>1.49</v>
      </c>
      <c r="S185" s="4">
        <v>1.48</v>
      </c>
      <c r="T185" s="4">
        <v>1.41</v>
      </c>
      <c r="U185" s="4">
        <v>1.38</v>
      </c>
      <c r="V185" s="4">
        <v>1.43</v>
      </c>
      <c r="W185" s="4">
        <v>1.43</v>
      </c>
      <c r="X185" s="4">
        <v>1.41</v>
      </c>
      <c r="Y185" s="49">
        <v>1.4</v>
      </c>
      <c r="Z185" s="4">
        <v>1.25</v>
      </c>
      <c r="AA185" s="4">
        <v>1.22</v>
      </c>
      <c r="AB185" s="4">
        <v>1.21</v>
      </c>
      <c r="AC185" s="4">
        <v>1.22</v>
      </c>
      <c r="AD185" s="4">
        <v>1.22</v>
      </c>
      <c r="AE185" s="4">
        <v>1.22</v>
      </c>
      <c r="AF185" s="4">
        <v>1.21</v>
      </c>
      <c r="AG185" s="4">
        <v>1.21</v>
      </c>
      <c r="AH185" s="4">
        <v>1.2</v>
      </c>
      <c r="AI185" s="4">
        <v>1.19</v>
      </c>
      <c r="AJ185" s="4">
        <v>1.18</v>
      </c>
      <c r="AK185" s="4">
        <v>1.17</v>
      </c>
    </row>
    <row r="186" spans="1:37">
      <c r="A186" t="s">
        <v>1174</v>
      </c>
      <c r="B186" s="4">
        <v>-23.55</v>
      </c>
      <c r="C186" s="4">
        <v>-13.64</v>
      </c>
      <c r="D186" s="4">
        <v>5.34</v>
      </c>
      <c r="E186" s="4">
        <v>-14.26</v>
      </c>
      <c r="F186" s="4">
        <v>-8.2899999999999991</v>
      </c>
      <c r="G186" s="4">
        <v>-9.56</v>
      </c>
      <c r="H186" s="4">
        <v>-19.34</v>
      </c>
      <c r="I186" s="4">
        <v>4.2300000000000004</v>
      </c>
      <c r="J186" s="4">
        <v>-12.48</v>
      </c>
      <c r="K186" s="4">
        <v>-16.45</v>
      </c>
      <c r="L186" s="4">
        <v>-1.22</v>
      </c>
      <c r="M186" s="4">
        <v>-9.82</v>
      </c>
      <c r="N186" s="4">
        <v>15.6</v>
      </c>
      <c r="O186" s="4">
        <v>12.93</v>
      </c>
      <c r="P186" s="4">
        <v>-6.39</v>
      </c>
      <c r="Q186" s="4">
        <v>-3.89</v>
      </c>
      <c r="R186" s="4">
        <v>12.25</v>
      </c>
      <c r="S186" s="4">
        <v>-1.42</v>
      </c>
      <c r="T186" s="4">
        <v>3.83</v>
      </c>
      <c r="U186" s="4">
        <v>45.09</v>
      </c>
      <c r="V186" s="4">
        <v>60.05</v>
      </c>
      <c r="W186" s="4">
        <v>29.67</v>
      </c>
      <c r="X186" s="4">
        <v>30.8</v>
      </c>
      <c r="Y186" s="49">
        <v>29.35</v>
      </c>
      <c r="Z186" s="4">
        <v>-0.65</v>
      </c>
      <c r="AA186" s="4">
        <v>-1.54</v>
      </c>
      <c r="AB186" s="4">
        <v>-1.57</v>
      </c>
      <c r="AC186" s="4">
        <v>-4.1500000000000004</v>
      </c>
      <c r="AD186" s="4">
        <v>-6.07</v>
      </c>
      <c r="AE186" s="4">
        <v>-8.1</v>
      </c>
      <c r="AF186" s="4">
        <v>-9.92</v>
      </c>
      <c r="AG186" s="4">
        <v>-10.14</v>
      </c>
      <c r="AH186" s="4">
        <v>-9.52</v>
      </c>
      <c r="AI186" s="4">
        <v>-7.32</v>
      </c>
      <c r="AJ186" s="4">
        <v>-4.67</v>
      </c>
      <c r="AK186" s="4">
        <v>-2.4300000000000002</v>
      </c>
    </row>
    <row r="187" spans="1:37">
      <c r="A187" t="s">
        <v>1270</v>
      </c>
      <c r="B187" s="4">
        <v>204.91</v>
      </c>
      <c r="C187" s="4">
        <v>204.18</v>
      </c>
      <c r="D187" s="4">
        <v>203.36</v>
      </c>
      <c r="E187" s="4">
        <v>204.06</v>
      </c>
      <c r="F187" s="4">
        <v>203.05</v>
      </c>
      <c r="G187" s="4">
        <v>208.96</v>
      </c>
      <c r="H187" s="4">
        <v>208.83</v>
      </c>
      <c r="I187" s="4">
        <v>208.7</v>
      </c>
      <c r="J187" s="4">
        <v>207.6</v>
      </c>
      <c r="K187" s="4">
        <v>206.94</v>
      </c>
      <c r="L187" s="4">
        <v>205.81</v>
      </c>
      <c r="M187" s="4">
        <v>204.79</v>
      </c>
      <c r="N187" s="4">
        <v>203.96</v>
      </c>
      <c r="O187" s="4">
        <v>202.92</v>
      </c>
      <c r="P187" s="4">
        <v>200.36</v>
      </c>
      <c r="Q187" s="4">
        <v>200.1</v>
      </c>
      <c r="R187" s="4">
        <v>201.52</v>
      </c>
      <c r="S187" s="4">
        <v>200.07</v>
      </c>
      <c r="T187" s="4">
        <v>198.29</v>
      </c>
      <c r="U187" s="4">
        <v>195.85</v>
      </c>
      <c r="V187" s="4">
        <v>204.66</v>
      </c>
      <c r="W187" s="4">
        <v>204.7</v>
      </c>
      <c r="X187" s="4">
        <v>205.36</v>
      </c>
      <c r="Y187" s="49">
        <v>205.79</v>
      </c>
      <c r="Z187" s="4">
        <v>205.86</v>
      </c>
      <c r="AA187" s="4">
        <v>207.02</v>
      </c>
      <c r="AB187" s="4">
        <v>205.55</v>
      </c>
      <c r="AC187" s="4">
        <v>203.86</v>
      </c>
      <c r="AD187" s="4">
        <v>203.17</v>
      </c>
      <c r="AE187" s="4">
        <v>203.04</v>
      </c>
      <c r="AF187" s="4">
        <v>203.59</v>
      </c>
      <c r="AG187" s="4">
        <v>204.55</v>
      </c>
      <c r="AH187" s="4">
        <v>204.68</v>
      </c>
      <c r="AI187" s="4">
        <v>205.63</v>
      </c>
      <c r="AJ187" s="4">
        <v>206.58</v>
      </c>
      <c r="AK187" s="4">
        <v>207.92</v>
      </c>
    </row>
    <row r="188" spans="1:37">
      <c r="A188" t="s">
        <v>1271</v>
      </c>
      <c r="B188" s="4">
        <v>16.91</v>
      </c>
      <c r="C188" s="4">
        <v>16.649999999999999</v>
      </c>
      <c r="D188" s="4">
        <v>16.62</v>
      </c>
      <c r="E188" s="4">
        <v>17</v>
      </c>
      <c r="F188" s="4">
        <v>16.920000000000002</v>
      </c>
      <c r="G188" s="4">
        <v>16.89</v>
      </c>
      <c r="H188" s="4">
        <v>16.989999999999998</v>
      </c>
      <c r="I188" s="4">
        <v>16.79</v>
      </c>
      <c r="J188" s="4">
        <v>16.940000000000001</v>
      </c>
      <c r="K188" s="4">
        <v>16.96</v>
      </c>
      <c r="L188" s="4">
        <v>16.91</v>
      </c>
      <c r="M188" s="4">
        <v>17</v>
      </c>
      <c r="N188" s="4">
        <v>16.809999999999999</v>
      </c>
      <c r="O188" s="4">
        <v>16.75</v>
      </c>
      <c r="P188" s="4">
        <v>16.71</v>
      </c>
      <c r="Q188" s="4">
        <v>16.68</v>
      </c>
      <c r="R188" s="4">
        <v>16.760000000000002</v>
      </c>
      <c r="S188" s="4">
        <v>16.64</v>
      </c>
      <c r="T188" s="4">
        <v>16.27</v>
      </c>
      <c r="U188" s="4">
        <v>16.079999999999998</v>
      </c>
      <c r="V188" s="4">
        <v>16.600000000000001</v>
      </c>
      <c r="W188" s="4">
        <v>16.57</v>
      </c>
      <c r="X188" s="4">
        <v>16.57</v>
      </c>
      <c r="Y188" s="49">
        <v>16.670000000000002</v>
      </c>
      <c r="Z188" s="4">
        <v>16.670000000000002</v>
      </c>
      <c r="AA188" s="4">
        <v>16.760000000000002</v>
      </c>
      <c r="AB188" s="4">
        <v>16.649999999999999</v>
      </c>
      <c r="AC188" s="4">
        <v>16.52</v>
      </c>
      <c r="AD188" s="4">
        <v>16.440000000000001</v>
      </c>
      <c r="AE188" s="4">
        <v>16.43</v>
      </c>
      <c r="AF188" s="4">
        <v>16.440000000000001</v>
      </c>
      <c r="AG188" s="4">
        <v>16.510000000000002</v>
      </c>
      <c r="AH188" s="4">
        <v>16.510000000000002</v>
      </c>
      <c r="AI188" s="4">
        <v>16.57</v>
      </c>
      <c r="AJ188" s="4">
        <v>16.66</v>
      </c>
      <c r="AK188" s="4">
        <v>16.8</v>
      </c>
    </row>
    <row r="189" spans="1:37">
      <c r="A189" t="s">
        <v>1272</v>
      </c>
      <c r="B189" s="4">
        <v>329.07</v>
      </c>
      <c r="C189" s="4">
        <v>325.43</v>
      </c>
      <c r="D189" s="4">
        <v>325.26</v>
      </c>
      <c r="E189" s="4">
        <v>321.61</v>
      </c>
      <c r="F189" s="4">
        <v>322.05</v>
      </c>
      <c r="G189" s="4">
        <v>332.8</v>
      </c>
      <c r="H189" s="4">
        <v>334.26</v>
      </c>
      <c r="I189" s="4">
        <v>335.19</v>
      </c>
      <c r="J189" s="4">
        <v>334.23</v>
      </c>
      <c r="K189" s="4">
        <v>328.78</v>
      </c>
      <c r="L189" s="4">
        <v>327.85</v>
      </c>
      <c r="M189" s="4">
        <v>323.23</v>
      </c>
      <c r="N189" s="4">
        <v>322.16000000000003</v>
      </c>
      <c r="O189" s="4">
        <v>323.13</v>
      </c>
      <c r="P189" s="4">
        <v>319.57</v>
      </c>
      <c r="Q189" s="4">
        <v>317.3</v>
      </c>
      <c r="R189" s="4">
        <v>315.04000000000002</v>
      </c>
      <c r="S189" s="4">
        <v>314.85000000000002</v>
      </c>
      <c r="T189" s="4">
        <v>311.55</v>
      </c>
      <c r="U189" s="4">
        <v>309.14999999999998</v>
      </c>
      <c r="V189" s="4">
        <v>317.95999999999998</v>
      </c>
      <c r="W189" s="4">
        <v>317.44</v>
      </c>
      <c r="X189" s="4">
        <v>317.83999999999997</v>
      </c>
      <c r="Y189" s="49">
        <v>317.58</v>
      </c>
      <c r="Z189" s="4">
        <v>317.16000000000003</v>
      </c>
      <c r="AA189" s="4">
        <v>317.77</v>
      </c>
      <c r="AB189" s="4">
        <v>315.68</v>
      </c>
      <c r="AC189" s="4">
        <v>313.29000000000002</v>
      </c>
      <c r="AD189" s="4">
        <v>312.05</v>
      </c>
      <c r="AE189" s="4">
        <v>311.23</v>
      </c>
      <c r="AF189" s="4">
        <v>311.08999999999997</v>
      </c>
      <c r="AG189" s="4">
        <v>311.31</v>
      </c>
      <c r="AH189" s="4">
        <v>310.62</v>
      </c>
      <c r="AI189" s="4">
        <v>310.86</v>
      </c>
      <c r="AJ189" s="4">
        <v>311</v>
      </c>
      <c r="AK189" s="4">
        <v>311.56</v>
      </c>
    </row>
    <row r="190" spans="1:37">
      <c r="A190" t="s">
        <v>1273</v>
      </c>
      <c r="B190" s="4">
        <v>27.16</v>
      </c>
      <c r="C190" s="4">
        <v>26.54</v>
      </c>
      <c r="D190" s="4">
        <v>26.58</v>
      </c>
      <c r="E190" s="4">
        <v>26.79</v>
      </c>
      <c r="F190" s="4">
        <v>26.84</v>
      </c>
      <c r="G190" s="4">
        <v>26.9</v>
      </c>
      <c r="H190" s="4">
        <v>27.2</v>
      </c>
      <c r="I190" s="4">
        <v>26.97</v>
      </c>
      <c r="J190" s="4">
        <v>27.27</v>
      </c>
      <c r="K190" s="4">
        <v>26.95</v>
      </c>
      <c r="L190" s="4">
        <v>26.93</v>
      </c>
      <c r="M190" s="4">
        <v>26.84</v>
      </c>
      <c r="N190" s="4">
        <v>26.56</v>
      </c>
      <c r="O190" s="4">
        <v>26.67</v>
      </c>
      <c r="P190" s="4">
        <v>26.65</v>
      </c>
      <c r="Q190" s="4">
        <v>26.46</v>
      </c>
      <c r="R190" s="4">
        <v>26.19</v>
      </c>
      <c r="S190" s="4">
        <v>26.18</v>
      </c>
      <c r="T190" s="4">
        <v>25.57</v>
      </c>
      <c r="U190" s="4">
        <v>25.38</v>
      </c>
      <c r="V190" s="4">
        <v>25.8</v>
      </c>
      <c r="W190" s="4">
        <v>25.69</v>
      </c>
      <c r="X190" s="4">
        <v>25.64</v>
      </c>
      <c r="Y190" s="49">
        <v>25.73</v>
      </c>
      <c r="Z190" s="4">
        <v>25.68</v>
      </c>
      <c r="AA190" s="4">
        <v>25.73</v>
      </c>
      <c r="AB190" s="4">
        <v>25.57</v>
      </c>
      <c r="AC190" s="4">
        <v>25.38</v>
      </c>
      <c r="AD190" s="4">
        <v>25.25</v>
      </c>
      <c r="AE190" s="4">
        <v>25.18</v>
      </c>
      <c r="AF190" s="4">
        <v>25.13</v>
      </c>
      <c r="AG190" s="4">
        <v>25.12</v>
      </c>
      <c r="AH190" s="4">
        <v>25.06</v>
      </c>
      <c r="AI190" s="4">
        <v>25.06</v>
      </c>
      <c r="AJ190" s="4">
        <v>25.09</v>
      </c>
      <c r="AK190" s="4">
        <v>25.18</v>
      </c>
    </row>
    <row r="191" spans="1:37">
      <c r="A191" t="s">
        <v>1274</v>
      </c>
      <c r="B191" s="4">
        <v>1.02</v>
      </c>
      <c r="C191" s="4">
        <v>0.97</v>
      </c>
      <c r="D191" s="4">
        <v>0.96</v>
      </c>
      <c r="E191" s="4">
        <v>0.99</v>
      </c>
      <c r="F191" s="4">
        <v>1</v>
      </c>
      <c r="G191" s="4">
        <v>1</v>
      </c>
      <c r="H191" s="4">
        <v>1.04</v>
      </c>
      <c r="I191" s="4">
        <v>1.03</v>
      </c>
      <c r="J191" s="4">
        <v>1.03</v>
      </c>
      <c r="K191" s="4">
        <v>1.03</v>
      </c>
      <c r="L191" s="4">
        <v>1.03</v>
      </c>
      <c r="M191" s="4">
        <v>1.07</v>
      </c>
      <c r="N191" s="4">
        <v>1.06</v>
      </c>
      <c r="O191" s="4">
        <v>1.08</v>
      </c>
      <c r="P191" s="4">
        <v>1.0900000000000001</v>
      </c>
      <c r="Q191" s="4">
        <v>1.0900000000000001</v>
      </c>
      <c r="R191" s="4">
        <v>1.0900000000000001</v>
      </c>
      <c r="S191" s="4">
        <v>1.1000000000000001</v>
      </c>
      <c r="T191" s="4">
        <v>1.1000000000000001</v>
      </c>
      <c r="U191" s="4">
        <v>1.1399999999999999</v>
      </c>
      <c r="V191" s="4">
        <v>1.1200000000000001</v>
      </c>
      <c r="W191" s="4">
        <v>1.1200000000000001</v>
      </c>
      <c r="X191" s="4">
        <v>1.1100000000000001</v>
      </c>
      <c r="Y191" s="49">
        <v>1.1100000000000001</v>
      </c>
      <c r="Z191" s="4">
        <v>1.05</v>
      </c>
      <c r="AA191" s="4">
        <v>1.0900000000000001</v>
      </c>
      <c r="AB191" s="4">
        <v>1.0900000000000001</v>
      </c>
      <c r="AC191" s="4">
        <v>1.0900000000000001</v>
      </c>
      <c r="AD191" s="4">
        <v>1.1000000000000001</v>
      </c>
      <c r="AE191" s="4">
        <v>1.1100000000000001</v>
      </c>
      <c r="AF191" s="4">
        <v>1.1399999999999999</v>
      </c>
      <c r="AG191" s="4">
        <v>1.1399999999999999</v>
      </c>
      <c r="AH191" s="4">
        <v>1.1499999999999999</v>
      </c>
      <c r="AI191" s="4">
        <v>1.1499999999999999</v>
      </c>
      <c r="AJ191" s="4">
        <v>1.1599999999999999</v>
      </c>
      <c r="AK191" s="4">
        <v>1.1599999999999999</v>
      </c>
    </row>
    <row r="192" spans="1:37">
      <c r="A192" t="s">
        <v>1275</v>
      </c>
      <c r="B192" s="4">
        <v>-1.29</v>
      </c>
      <c r="C192" s="4">
        <v>-2.5499999999999998</v>
      </c>
      <c r="D192" s="4">
        <v>-4.0199999999999996</v>
      </c>
      <c r="E192" s="4">
        <v>-3.53</v>
      </c>
      <c r="F192" s="4">
        <v>-3.1</v>
      </c>
      <c r="G192" s="4">
        <v>-2.0299999999999998</v>
      </c>
      <c r="H192" s="4">
        <v>-1.84</v>
      </c>
      <c r="I192" s="4">
        <v>-1.49</v>
      </c>
      <c r="J192" s="4">
        <v>-1.5</v>
      </c>
      <c r="K192" s="4">
        <v>-1.39</v>
      </c>
      <c r="L192" s="4">
        <v>-1.23</v>
      </c>
      <c r="M192" s="4">
        <v>-1.03</v>
      </c>
      <c r="N192" s="4">
        <v>0.54</v>
      </c>
      <c r="O192" s="4">
        <v>1.8</v>
      </c>
      <c r="P192" s="4">
        <v>2.41</v>
      </c>
      <c r="Q192" s="4">
        <v>3.22</v>
      </c>
      <c r="R192" s="4">
        <v>3.55</v>
      </c>
      <c r="S192" s="4">
        <v>3.73</v>
      </c>
      <c r="T192" s="4">
        <v>3.21</v>
      </c>
      <c r="U192" s="4">
        <v>2.79</v>
      </c>
      <c r="V192" s="4">
        <v>2.14</v>
      </c>
      <c r="W192" s="4">
        <v>6.37</v>
      </c>
      <c r="X192" s="4">
        <v>6.4</v>
      </c>
      <c r="Y192" s="49">
        <v>6.49</v>
      </c>
      <c r="Z192" s="4">
        <v>7.4</v>
      </c>
      <c r="AA192" s="4">
        <v>8.7200000000000006</v>
      </c>
      <c r="AB192" s="4">
        <v>8.82</v>
      </c>
      <c r="AC192" s="4">
        <v>10.28</v>
      </c>
      <c r="AD192" s="4">
        <v>10.89</v>
      </c>
      <c r="AE192" s="4">
        <v>11.48</v>
      </c>
      <c r="AF192" s="4">
        <v>12.18</v>
      </c>
      <c r="AG192" s="4">
        <v>12.35</v>
      </c>
      <c r="AH192" s="4">
        <v>12.18</v>
      </c>
      <c r="AI192" s="4">
        <v>11.92</v>
      </c>
      <c r="AJ192" s="4">
        <v>11.6</v>
      </c>
      <c r="AK192" s="4">
        <v>11.2</v>
      </c>
    </row>
    <row r="193" spans="1:37">
      <c r="A193" t="s">
        <v>1276</v>
      </c>
      <c r="B193" s="1">
        <v>476526</v>
      </c>
      <c r="C193" s="1">
        <v>458539</v>
      </c>
      <c r="D193" s="1">
        <v>454914</v>
      </c>
      <c r="E193" s="1">
        <v>461349</v>
      </c>
      <c r="F193" s="1">
        <v>471334</v>
      </c>
      <c r="G193" s="1">
        <v>473204</v>
      </c>
      <c r="H193" s="1">
        <v>474006</v>
      </c>
      <c r="I193" s="1">
        <v>477008</v>
      </c>
      <c r="J193" s="1">
        <v>474917</v>
      </c>
      <c r="K193" s="1">
        <v>463845</v>
      </c>
      <c r="L193" s="1">
        <v>469951</v>
      </c>
      <c r="M193" s="1">
        <v>478944</v>
      </c>
      <c r="N193" s="1">
        <v>492916</v>
      </c>
      <c r="O193" s="1">
        <v>464798</v>
      </c>
      <c r="P193" s="1">
        <v>473630</v>
      </c>
      <c r="Q193" s="1">
        <v>464743</v>
      </c>
      <c r="R193" s="1">
        <v>472506</v>
      </c>
      <c r="S193" s="1">
        <v>484305</v>
      </c>
      <c r="T193" s="1">
        <v>497847</v>
      </c>
      <c r="U193" s="1">
        <v>490623</v>
      </c>
      <c r="V193" s="1">
        <v>436110</v>
      </c>
      <c r="W193" s="1">
        <v>392499</v>
      </c>
      <c r="X193" s="1">
        <v>356817</v>
      </c>
      <c r="Y193" s="48">
        <v>327082</v>
      </c>
      <c r="Z193" s="1">
        <v>3950025</v>
      </c>
      <c r="AA193" s="1">
        <v>1957509</v>
      </c>
      <c r="AB193" s="1">
        <v>1293542</v>
      </c>
      <c r="AC193" s="1">
        <v>961708</v>
      </c>
      <c r="AD193" s="1">
        <v>762724</v>
      </c>
      <c r="AE193" s="1">
        <v>629022</v>
      </c>
      <c r="AF193" s="1">
        <v>533616</v>
      </c>
      <c r="AG193" s="1">
        <v>462985</v>
      </c>
      <c r="AH193" s="1">
        <v>408108</v>
      </c>
      <c r="AI193" s="1">
        <v>364257</v>
      </c>
      <c r="AJ193" s="1">
        <v>328425</v>
      </c>
      <c r="AK193" s="1">
        <v>298605</v>
      </c>
    </row>
    <row r="194" spans="1:37">
      <c r="A194" t="s">
        <v>1280</v>
      </c>
      <c r="B194" s="4">
        <v>72.53</v>
      </c>
      <c r="C194" s="4">
        <v>73.59</v>
      </c>
      <c r="D194" s="4">
        <v>69.95</v>
      </c>
      <c r="E194" s="4">
        <v>71.55</v>
      </c>
      <c r="F194" s="4">
        <v>72.31</v>
      </c>
      <c r="G194" s="4">
        <v>72.13</v>
      </c>
      <c r="H194" s="4">
        <v>72.52</v>
      </c>
      <c r="I194" s="4">
        <v>72.5</v>
      </c>
      <c r="J194" s="4">
        <v>71.78</v>
      </c>
      <c r="K194" s="4">
        <v>71.61</v>
      </c>
      <c r="L194" s="4">
        <v>71.400000000000006</v>
      </c>
      <c r="M194" s="4">
        <v>70.81</v>
      </c>
      <c r="N194" s="4">
        <v>66.83</v>
      </c>
      <c r="O194" s="4">
        <v>67.55</v>
      </c>
      <c r="P194" s="4">
        <v>65.87</v>
      </c>
      <c r="Q194" s="4">
        <v>63.65</v>
      </c>
      <c r="R194" s="4">
        <v>64.739999999999995</v>
      </c>
      <c r="S194" s="4">
        <v>65.84</v>
      </c>
      <c r="T194" s="4">
        <v>67.2</v>
      </c>
      <c r="U194" s="4">
        <v>66.569999999999993</v>
      </c>
      <c r="V194" s="4">
        <v>65.41</v>
      </c>
      <c r="W194" s="4">
        <v>65.69</v>
      </c>
      <c r="X194" s="4">
        <v>65.41</v>
      </c>
      <c r="Y194" s="49">
        <v>65.489999999999995</v>
      </c>
      <c r="Z194" s="4">
        <v>65.66</v>
      </c>
      <c r="AA194" s="4">
        <v>65.27</v>
      </c>
      <c r="AB194" s="4">
        <v>65.02</v>
      </c>
      <c r="AC194" s="4">
        <v>65.2</v>
      </c>
      <c r="AD194" s="4">
        <v>65.25</v>
      </c>
      <c r="AE194" s="4">
        <v>65.430000000000007</v>
      </c>
      <c r="AF194" s="4">
        <v>65.69</v>
      </c>
      <c r="AG194" s="4">
        <v>65.489999999999995</v>
      </c>
      <c r="AH194" s="4">
        <v>65.53</v>
      </c>
      <c r="AI194" s="4">
        <v>65.58</v>
      </c>
      <c r="AJ194" s="4">
        <v>65.599999999999994</v>
      </c>
      <c r="AK194" s="4">
        <v>65.64</v>
      </c>
    </row>
    <row r="195" spans="1:37">
      <c r="A195" t="s">
        <v>1277</v>
      </c>
      <c r="B195" s="4">
        <v>140.25</v>
      </c>
      <c r="C195" s="4">
        <v>186.39</v>
      </c>
      <c r="D195" s="4">
        <v>199.72</v>
      </c>
      <c r="E195" s="4">
        <v>188.78</v>
      </c>
      <c r="F195" s="4">
        <v>185.53</v>
      </c>
      <c r="G195" s="4">
        <v>223.46</v>
      </c>
      <c r="H195" s="4">
        <v>220.35</v>
      </c>
      <c r="I195" s="4">
        <v>214.56</v>
      </c>
      <c r="J195" s="4">
        <v>203.43</v>
      </c>
      <c r="K195" s="4">
        <v>204.5</v>
      </c>
      <c r="L195" s="4">
        <v>197.62</v>
      </c>
      <c r="M195" s="4">
        <v>192.01</v>
      </c>
      <c r="N195" s="4">
        <v>196.25</v>
      </c>
      <c r="O195" s="4">
        <v>197.72</v>
      </c>
      <c r="P195" s="4">
        <v>220.04</v>
      </c>
      <c r="Q195" s="4">
        <v>228.6</v>
      </c>
      <c r="R195" s="4">
        <v>221.43</v>
      </c>
      <c r="S195" s="4">
        <v>212.86</v>
      </c>
      <c r="T195" s="4">
        <v>231.77</v>
      </c>
      <c r="U195" s="4">
        <v>228.07</v>
      </c>
      <c r="V195" s="4">
        <v>236.28</v>
      </c>
      <c r="W195" s="4">
        <v>240.02</v>
      </c>
      <c r="X195" s="4">
        <v>241.49</v>
      </c>
      <c r="Y195" s="49">
        <v>243.05</v>
      </c>
      <c r="Z195" s="4">
        <v>244.82</v>
      </c>
      <c r="AA195" s="4">
        <v>246.94</v>
      </c>
      <c r="AB195" s="4">
        <v>249.28</v>
      </c>
      <c r="AC195" s="4">
        <v>252.57</v>
      </c>
      <c r="AD195" s="4">
        <v>254.82</v>
      </c>
      <c r="AE195" s="4">
        <v>257.60000000000002</v>
      </c>
      <c r="AF195" s="4">
        <v>259.89999999999998</v>
      </c>
      <c r="AG195" s="4">
        <v>262.39</v>
      </c>
      <c r="AH195" s="4">
        <v>264.60000000000002</v>
      </c>
      <c r="AI195" s="4">
        <v>265.75</v>
      </c>
      <c r="AJ195" s="4">
        <v>266.92</v>
      </c>
      <c r="AK195" s="4">
        <v>267.26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37C5ACD678A845B2D7CD65F83A5E85" ma:contentTypeVersion="15" ma:contentTypeDescription="Create a new document." ma:contentTypeScope="" ma:versionID="08a548605b9c03df494c58e223a67272">
  <xsd:schema xmlns:xsd="http://www.w3.org/2001/XMLSchema" xmlns:xs="http://www.w3.org/2001/XMLSchema" xmlns:p="http://schemas.microsoft.com/office/2006/metadata/properties" xmlns:ns2="bb1c4810-8dcf-4252-88a7-334981416fd3" xmlns:ns3="59554d43-16a0-4095-849c-47732e62f44d" targetNamespace="http://schemas.microsoft.com/office/2006/metadata/properties" ma:root="true" ma:fieldsID="2b0f90e47fe5b68a9d1bdbd9b9e0e29c" ns2:_="" ns3:_="">
    <xsd:import namespace="bb1c4810-8dcf-4252-88a7-334981416fd3"/>
    <xsd:import namespace="59554d43-16a0-4095-849c-47732e62f4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c4810-8dcf-4252-88a7-334981416f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554d43-16a0-4095-849c-47732e62f44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f2111a7-d347-451b-b964-3dd893002846}" ma:internalName="TaxCatchAll" ma:showField="CatchAllData" ma:web="59554d43-16a0-4095-849c-47732e62f4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1c4810-8dcf-4252-88a7-334981416fd3">
      <Terms xmlns="http://schemas.microsoft.com/office/infopath/2007/PartnerControls"/>
    </lcf76f155ced4ddcb4097134ff3c332f>
    <TaxCatchAll xmlns="59554d43-16a0-4095-849c-47732e62f44d" xsi:nil="true"/>
  </documentManagement>
</p:properties>
</file>

<file path=customXml/itemProps1.xml><?xml version="1.0" encoding="utf-8"?>
<ds:datastoreItem xmlns:ds="http://schemas.openxmlformats.org/officeDocument/2006/customXml" ds:itemID="{72CDC061-87D3-4537-8AD0-D8DD63A822B1}"/>
</file>

<file path=customXml/itemProps2.xml><?xml version="1.0" encoding="utf-8"?>
<ds:datastoreItem xmlns:ds="http://schemas.openxmlformats.org/officeDocument/2006/customXml" ds:itemID="{1B2D3D43-6876-4D2D-A37B-26DD47C64B00}"/>
</file>

<file path=customXml/itemProps3.xml><?xml version="1.0" encoding="utf-8"?>
<ds:datastoreItem xmlns:ds="http://schemas.openxmlformats.org/officeDocument/2006/customXml" ds:itemID="{BEC415CF-5E05-4272-8657-626727968E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Elliott</dc:creator>
  <cp:keywords/>
  <dc:description/>
  <cp:lastModifiedBy>Rob Stafford</cp:lastModifiedBy>
  <cp:revision/>
  <dcterms:created xsi:type="dcterms:W3CDTF">2025-10-03T18:01:33Z</dcterms:created>
  <dcterms:modified xsi:type="dcterms:W3CDTF">2026-04-20T20:23:07Z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0x0101006A37C5ACD678A845B2D7CD65F83A5E85</vt:lpwstr>
  </property>
  <property fmtid="{D5CDD505-2E9C-101B-9397-08002B2CF9AE}" pid="3" name="MediaServiceImageTags">
    <vt:lpwstr/>
  </property>
</Properties>
</file>